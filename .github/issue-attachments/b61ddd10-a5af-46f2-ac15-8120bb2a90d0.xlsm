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threadedcomments+xml" PartName="/xl/threadedComments/threadedComment1.xml"/>
  <Override ContentType="application/vnd.ms-office.vbaProject" PartName="/xl/vbaProject.bin"/>
  <Override ContentType="application/vnd.ms-office.webextensiontaskpanes+xml" PartName="/xl/webextensions/taskpanes.xml"/>
  <Override ContentType="application/vnd.ms-office.webextension+xml" PartName="/xl/webextensions/webextension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97.xml"/>
  <Override ContentType="application/vnd.openxmlformats-officedocument.spreadsheetml.worksheet+xml" PartName="/xl/worksheets/sheet98.xml"/>
  <Override ContentType="application/vnd.openxmlformats-officedocument.spreadsheetml.worksheet+xml" PartName="/xl/worksheets/sheet99.xml"/>
  <Override ContentType="application/vnd.openxmlformats-officedocument.spreadsheetml.worksheet+xml" PartName="/xl/worksheets/sheet100.xml"/>
  <Override ContentType="application/vnd.openxmlformats-officedocument.spreadsheetml.worksheet+xml" PartName="/xl/worksheets/sheet101.xml"/>
  <Override ContentType="application/vnd.openxmlformats-officedocument.spreadsheetml.worksheet+xml" PartName="/xl/worksheets/sheet102.xml"/>
  <Override ContentType="application/vnd.openxmlformats-officedocument.spreadsheetml.worksheet+xml" PartName="/xl/worksheets/sheet103.xml"/>
  <Override ContentType="application/vnd.openxmlformats-officedocument.spreadsheetml.worksheet+xml" PartName="/xl/worksheets/sheet104.xml"/>
  <Override ContentType="application/vnd.openxmlformats-officedocument.spreadsheetml.worksheet+xml" PartName="/xl/worksheets/sheet105.xml"/>
  <Override ContentType="application/vnd.openxmlformats-officedocument.spreadsheetml.worksheet+xml" PartName="/xl/worksheets/sheet106.xml"/>
  <Override ContentType="application/vnd.openxmlformats-officedocument.spreadsheetml.worksheet+xml" PartName="/xl/worksheets/sheet107.xml"/>
  <Override ContentType="application/vnd.openxmlformats-officedocument.spreadsheetml.worksheet+xml" PartName="/xl/worksheets/sheet108.xml"/>
  <Override ContentType="application/vnd.openxmlformats-officedocument.spreadsheetml.worksheet+xml" PartName="/xl/worksheets/sheet109.xml"/>
  <Override ContentType="application/vnd.openxmlformats-officedocument.spreadsheetml.worksheet+xml" PartName="/xl/worksheets/sheet110.xml"/>
  <Override ContentType="application/vnd.openxmlformats-officedocument.spreadsheetml.worksheet+xml" PartName="/xl/worksheets/sheet111.xml"/>
  <Override ContentType="application/vnd.openxmlformats-officedocument.spreadsheetml.worksheet+xml" PartName="/xl/worksheets/sheet112.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 Id="rId5" Target="xl/webextensions/taskpanes.xml" Type="http://schemas.microsoft.com/office/2011/relationships/webextensiontaskpan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00000000-0000-0000-0000-000000000000}" lastEdited="7" lowestEdited="7" rupBuild="29721"/>
  <workbookPr codeName="ThisWorkbook"/>
  <mc:AlternateContent>
    <mc:Choice Requires="x15">
      <x15ac:absPath xmlns:x15ac="http://schemas.microsoft.com/office/spreadsheetml/2010/11/ac" url="C:\Users\sanket\Downloads\"/>
    </mc:Choice>
  </mc:AlternateContent>
  <xr:revisionPtr documentId="8_{251CAA07-4294-4D8A-8EA1-DA4206A96CC8}" revIDLastSave="12" xr10:uidLastSave="{9568E589-6CC9-4F7B-8602-561709F173EB}" xr6:coauthVersionLast="47" xr6:coauthVersionMax="47"/>
  <bookViews>
    <workbookView activeTab="6" firstSheet="6" tabRatio="892" windowHeight="12456" windowWidth="23256" xWindow="-108" xr2:uid="{DB3434B6-21C7-40E3-857A-D4E025ED97C8}" yWindow="-108"/>
  </bookViews>
  <sheets>
    <sheet name="Linking error log" r:id="rId1" sheetId="2" state="veryHidden"/>
    <sheet name="Excluded_Words" r:id="rId2" sheetId="93" state="veryHidden"/>
    <sheet name="Master Sheet" r:id="rId3" sheetId="3" state="veryHidden"/>
    <sheet name="Share Capital- Master Sheet" r:id="rId4" sheetId="85" state="veryHidden"/>
    <sheet name="Signing Page- Master Sheet" r:id="rId5" sheetId="86" state="veryHidden"/>
    <sheet name="NTA" r:id="rId6" sheetId="8" state="veryHidden"/>
    <sheet name="Cover Page" r:id="rId7" sheetId="80"/>
    <sheet name="No formula cells" r:id="rId8" sheetId="62" state="veryHidden"/>
    <sheet name="BS" r:id="rId9" sheetId="9"/>
    <sheet name="BS Sign page" r:id="rId10" sheetId="70"/>
    <sheet name="P&amp;L" r:id="rId11" sheetId="11"/>
    <sheet name="PL Sign page" r:id="rId12" sheetId="71"/>
    <sheet name="SOCE" r:id="rId13" sheetId="13"/>
    <sheet name="SOCE Sign Page" r:id="rId14" sheetId="14"/>
    <sheet name="CF" r:id="rId15" sheetId="15"/>
    <sheet name="CF Sign Page" r:id="rId16" sheetId="72"/>
    <sheet name="NT ACCT POLICY" r:id="rId17" sheetId="17"/>
    <sheet name="NT PPE" r:id="rId18" sheetId="18"/>
    <sheet name="NT ROU" r:id="rId19" sheetId="19"/>
    <sheet name="NT CWIP" r:id="rId20" sheetId="20"/>
    <sheet name="NT Intangible Assets" r:id="rId21" sheetId="21"/>
    <sheet name="NT ITA Under Dvlpmt" r:id="rId22" sheetId="23"/>
    <sheet name="NT BS1" r:id="rId23" sheetId="24"/>
    <sheet name="NT SC" r:id="rId24" sheetId="26"/>
    <sheet name="NT OE" r:id="rId25" sheetId="63"/>
    <sheet name="NT NCB &amp; CB" r:id="rId26" sheetId="59"/>
    <sheet name="NT BS2" r:id="rId27" sheetId="58"/>
    <sheet name="NT PL1" r:id="rId28" sheetId="28"/>
    <sheet name="NT PL2" r:id="rId29" sheetId="60"/>
    <sheet name="Fin.Instruments" r:id="rId30" sheetId="64"/>
    <sheet name="NT-Ratio" r:id="rId31" sheetId="35"/>
    <sheet name="Note Sign Page" r:id="rId32" sheetId="73"/>
    <sheet name="SourceMaster" r:id="rId33" sheetId="44"/>
    <sheet name="BSQ_SPEC_DATA" r:id="rId35" sheetId="95"/>
    <sheet name="FZ_Reference_Master" r:id="rId36" sheetId="96"/>
    <sheet name="Balance Sheet__15088" r:id="rId43" sheetId="97"/>
    <sheet name="Profit and Loss__15091" r:id="rId45" sheetId="98"/>
    <sheet name="Cashflow__15865" r:id="rId46" sheetId="99"/>
    <sheet name="BS Schedules__15190" r:id="rId47" sheetId="100"/>
    <sheet name="PL Schedules__15191" r:id="rId48" sheetId="101"/>
    <sheet name="SOCE Schedule__15093" r:id="rId49" sheetId="102"/>
    <sheet name="PPE__15094" r:id="rId50" sheetId="103"/>
    <sheet name="ROU__15095" r:id="rId51" sheetId="104"/>
    <sheet name="Intangible Asset__15096" r:id="rId52" sheetId="105"/>
    <sheet name="Changes in Inventory__15216" r:id="rId53" sheetId="106"/>
    <sheet name="sample__19565" r:id="rId54" sheetId="107"/>
    <sheet name="BSQ_SPEC_DATA" r:id="rId55" sheetId="108"/>
    <sheet name="FZ_Reference_Master" r:id="rId56" sheetId="109"/>
    <sheet name="FZ_Disclosure_Section_Master" r:id="rId57" sheetId="110"/>
    <sheet name="FZ_Token_Master" r:id="rId58" sheetId="111"/>
    <sheet name="FZ_Signatory_Master" r:id="rId59" sheetId="112"/>
  </sheets>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Raghu</author>
  </authors>
  <commentList>
    <comment ref="B14" authorId="0" shapeId="0" xr:uid="{D26EB12F-2F8A-46D0-8522-705B9EE208BE}">
      <text>
        <r>
          <rPr>
            <sz val="9"/>
            <color indexed="81"/>
            <rFont val="Tahoma"/>
            <family val="2"/>
          </rPr>
          <t xml:space="preserve">Name of Director
</t>
        </r>
      </text>
    </comment>
    <comment ref="D14" authorId="0" shapeId="0" xr:uid="{AAC58175-9B76-4F0E-95AE-50CEE0FB7178}">
      <text>
        <r>
          <rPr>
            <sz val="9"/>
            <color indexed="81"/>
            <rFont val="Tahoma"/>
            <family val="2"/>
          </rPr>
          <t xml:space="preserve">Name of Director
</t>
        </r>
      </text>
    </comment>
    <comment ref="B15" authorId="0" shapeId="0" xr:uid="{B69AC592-6B20-4C0A-BED5-F7495C851AF3}">
      <text>
        <r>
          <rPr>
            <sz val="9"/>
            <color indexed="81"/>
            <rFont val="Tahoma"/>
            <family val="2"/>
          </rPr>
          <t xml:space="preserve">Designation
</t>
        </r>
      </text>
    </comment>
    <comment ref="D15" authorId="0" shapeId="0" xr:uid="{4816B4AF-D0E5-4FBC-BD86-0B5E48F040B8}">
      <text>
        <r>
          <rPr>
            <sz val="9"/>
            <color indexed="81"/>
            <rFont val="Tahoma"/>
            <family val="2"/>
          </rPr>
          <t xml:space="preserve">Designation
</t>
        </r>
      </text>
    </comment>
    <comment ref="B21" authorId="0" shapeId="0" xr:uid="{CBAD1151-0230-46FD-8EC2-0017D98BD518}">
      <text>
        <r>
          <rPr>
            <sz val="9"/>
            <color indexed="81"/>
            <rFont val="Tahoma"/>
            <family val="2"/>
          </rPr>
          <t xml:space="preserve">Name of Director
</t>
        </r>
      </text>
    </comment>
    <comment ref="D21" authorId="0" shapeId="0" xr:uid="{15F45238-4EE3-42FB-A08A-C90A305ECFE8}">
      <text>
        <r>
          <rPr>
            <sz val="9"/>
            <color indexed="81"/>
            <rFont val="Tahoma"/>
            <family val="2"/>
          </rPr>
          <t xml:space="preserve">Name of Director
</t>
        </r>
      </text>
    </comment>
    <comment ref="B22" authorId="0" shapeId="0" xr:uid="{30FF4F38-A440-4136-93C2-2DAA2CBB7BF3}">
      <text>
        <r>
          <rPr>
            <sz val="9"/>
            <color indexed="81"/>
            <rFont val="Tahoma"/>
            <family val="2"/>
          </rPr>
          <t xml:space="preserve">Designation
</t>
        </r>
      </text>
    </comment>
    <comment ref="D22" authorId="0" shapeId="0" xr:uid="{F152955D-D9CF-41DE-BFB1-B43AFDBC0E15}">
      <text>
        <r>
          <rPr>
            <sz val="9"/>
            <color indexed="81"/>
            <rFont val="Tahoma"/>
            <family val="2"/>
          </rPr>
          <t xml:space="preserve">Designation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tc={0D60BC26-1A27-4271-B031-CD5141035334}</author>
  </authors>
  <commentList>
    <comment ref="D38" authorId="0" shapeId="0" xr:uid="{0D60BC26-1A27-4271-B031-CD5141035334}">
      <text>
        <t>[Threaded comment]
Your version of Excel allows you to read this threaded comment; however, any edits to it will get removed if the file is opened in a newer version of Excel. Learn more: https://go.microsoft.com/fwlink/?linkid=870924
Comment:
    Need to discuss:
net charges on foreign exchange contracts and
adjustments arising from exchange rate variations attributable to the assets. In case of land
the Company has availed fair value as deemed cost on the date of transition to Ind AS.</t>
      </text>
    </comment>
  </commentList>
</comments>
</file>

<file path=xl/sharedStrings.xml><?xml version="1.0" encoding="utf-8"?>
<sst xmlns="http://schemas.openxmlformats.org/spreadsheetml/2006/main" count="7821" uniqueCount="2892">
  <si>
    <t>Error Count</t>
  </si>
  <si>
    <t>Sheet names</t>
  </si>
  <si>
    <t>Description</t>
  </si>
  <si>
    <t>Error check CY</t>
  </si>
  <si>
    <t>Error check PY</t>
  </si>
  <si>
    <t>Remarks</t>
  </si>
  <si>
    <t>SOCE</t>
  </si>
  <si>
    <t>BS</t>
  </si>
  <si>
    <t>PL</t>
  </si>
  <si>
    <t>CF</t>
  </si>
  <si>
    <t>NT FV</t>
  </si>
  <si>
    <t>Master Sheet</t>
  </si>
  <si>
    <t>Share Capital- Master Sheet</t>
  </si>
  <si>
    <t>Signing Page- Master Sheet</t>
  </si>
  <si>
    <t>NTA</t>
  </si>
  <si>
    <t>No formula cells</t>
  </si>
  <si>
    <t>Excluded_Words</t>
  </si>
  <si>
    <t>Linking error log</t>
  </si>
  <si>
    <t>Company Name</t>
  </si>
  <si>
    <t>PL Name</t>
  </si>
  <si>
    <t>BS Name</t>
  </si>
  <si>
    <t>Cashflow Statement Name</t>
  </si>
  <si>
    <t>Notes Heading</t>
  </si>
  <si>
    <t>Current year ends date</t>
  </si>
  <si>
    <t>Previous year ends date</t>
  </si>
  <si>
    <t>BS_CY</t>
  </si>
  <si>
    <t>BS_PY</t>
  </si>
  <si>
    <t>BS_PPY</t>
  </si>
  <si>
    <t>PL_CY</t>
  </si>
  <si>
    <t>PL_PY</t>
  </si>
  <si>
    <t>Current Year</t>
  </si>
  <si>
    <t>Previous Year</t>
  </si>
  <si>
    <t>Pre Previous Year</t>
  </si>
  <si>
    <t>Current financial year</t>
  </si>
  <si>
    <t>Previous financial year</t>
  </si>
  <si>
    <t>PL Period CY</t>
  </si>
  <si>
    <t>PL Period PY</t>
  </si>
  <si>
    <t>EPS</t>
  </si>
  <si>
    <t>PPE Opening Balance</t>
  </si>
  <si>
    <t>PPE Closing Balance</t>
  </si>
  <si>
    <t>PPE Previous Year Opening</t>
  </si>
  <si>
    <t>PPE Previous Year Closing</t>
  </si>
  <si>
    <t>Net Carrying Value Current Year</t>
  </si>
  <si>
    <t>Net Carrying Value Previous Year</t>
  </si>
  <si>
    <t>Other Equity</t>
  </si>
  <si>
    <t>OE Opening Balance</t>
  </si>
  <si>
    <t>OE Closing Balance</t>
  </si>
  <si>
    <t>OE Previous Year Opening</t>
  </si>
  <si>
    <t>Data Validations</t>
  </si>
  <si>
    <t>Source</t>
  </si>
  <si>
    <t>TB Report</t>
  </si>
  <si>
    <t>FS Input</t>
  </si>
  <si>
    <t>Cash flow CY</t>
  </si>
  <si>
    <t>Cash flow PY</t>
  </si>
  <si>
    <t>SEBI PL</t>
  </si>
  <si>
    <t>Types of Relations with RP</t>
  </si>
  <si>
    <t>Entities with significant influence over the Company</t>
  </si>
  <si>
    <t>Associate entities of the Company</t>
  </si>
  <si>
    <t>Enterprise over which the Key Management Personnel of the Company is in a position to exercise control / joint control/ significant influence</t>
  </si>
  <si>
    <t>Key Management Personnel of the Company / Subsidiary Company</t>
  </si>
  <si>
    <t>Scenario</t>
  </si>
  <si>
    <t>001|Actual</t>
  </si>
  <si>
    <t>001|Casting</t>
  </si>
  <si>
    <t>Disclosure Requirement</t>
  </si>
  <si>
    <t>For BS, PnL &amp; Notes (CY)</t>
  </si>
  <si>
    <t>7755|001|INR|Actual|Consolidated</t>
  </si>
  <si>
    <t>For BS, PnL &amp; Notes (PY)</t>
  </si>
  <si>
    <t>7755|002|INR|Actual|Consolidated</t>
  </si>
  <si>
    <t>For BS, PnL &amp; Notes (PY to PY)</t>
  </si>
  <si>
    <t>7755|003|INR|Actual|Consolidated</t>
  </si>
  <si>
    <t>Cash Flow (CY) &amp; (PY)</t>
  </si>
  <si>
    <t>Cash Flow (PY to PY)</t>
  </si>
  <si>
    <t>Ratio (CY) &amp; (PY)</t>
  </si>
  <si>
    <t>Average KPI (CY)</t>
  </si>
  <si>
    <t>Average KPI (PY)</t>
  </si>
  <si>
    <t>Control</t>
  </si>
  <si>
    <t>Amount in</t>
  </si>
  <si>
    <t>Rounding off</t>
  </si>
  <si>
    <t>SEBI for quarter</t>
  </si>
  <si>
    <t>SEBI for  YTD</t>
  </si>
  <si>
    <t>002|Casting</t>
  </si>
  <si>
    <t xml:space="preserve">Figures in </t>
  </si>
  <si>
    <t>Applicable Quarter</t>
  </si>
  <si>
    <t>Company Code</t>
  </si>
  <si>
    <t>Country</t>
  </si>
  <si>
    <t>Currency</t>
  </si>
  <si>
    <t>Authorised Capital</t>
  </si>
  <si>
    <t>Issued Capital</t>
  </si>
  <si>
    <t>Tax Rate</t>
  </si>
  <si>
    <t>ABC</t>
  </si>
  <si>
    <t>Ghana</t>
  </si>
  <si>
    <t>GHC</t>
  </si>
  <si>
    <t>10,000,000 equity shares of GHC 1 each</t>
  </si>
  <si>
    <t xml:space="preserve">2,000,000 fully paid equity shares of GHC 1 each </t>
  </si>
  <si>
    <t>Kenya</t>
  </si>
  <si>
    <t>INR</t>
  </si>
  <si>
    <t>79,26,103 ordinary shares of INR 10 each</t>
  </si>
  <si>
    <t>79,26,103- fully paid ordinary shares of INR 10 each</t>
  </si>
  <si>
    <t>C003</t>
  </si>
  <si>
    <t>Madagascar</t>
  </si>
  <si>
    <t>MGA</t>
  </si>
  <si>
    <t>100 equity shares of MGA 100,000 each</t>
  </si>
  <si>
    <t xml:space="preserve">100 fully paid equity shares of MGA 100,000 each </t>
  </si>
  <si>
    <t>B001</t>
  </si>
  <si>
    <t>Mauritius</t>
  </si>
  <si>
    <t>MUR</t>
  </si>
  <si>
    <t>64,426,001 fully paid ordinary shares of MUR 1 each</t>
  </si>
  <si>
    <t xml:space="preserve">617,894,737 fully paid ordinary shares of MUR 0.57 each </t>
  </si>
  <si>
    <t>C004</t>
  </si>
  <si>
    <t>Mozambique</t>
  </si>
  <si>
    <t>MZN</t>
  </si>
  <si>
    <t>150,000 ordinary shares of MZN 1 each</t>
  </si>
  <si>
    <t>150000 fully paid ordinary shares of MZN 1 each</t>
  </si>
  <si>
    <t>C005</t>
  </si>
  <si>
    <t>Rwanda</t>
  </si>
  <si>
    <t>RWF</t>
  </si>
  <si>
    <t>581 equity shares of RWF 100,000 each</t>
  </si>
  <si>
    <t>581 fully paid equity shares of RWF 100,000 each</t>
  </si>
  <si>
    <t>C006</t>
  </si>
  <si>
    <t>Tanzania</t>
  </si>
  <si>
    <t>TZS</t>
  </si>
  <si>
    <t>10,000 ordinary shares of TSHS 1,000 each</t>
  </si>
  <si>
    <t>10,000 fully paid ordinary shares of TSHS 1,000 each</t>
  </si>
  <si>
    <t>C007</t>
  </si>
  <si>
    <t>Uganda</t>
  </si>
  <si>
    <t>SHS</t>
  </si>
  <si>
    <t>5,000 ordinary shares of SHS 10,000 each</t>
  </si>
  <si>
    <t>5,000 fully paid ordinary shares of SHS 10,000 each</t>
  </si>
  <si>
    <t>C008</t>
  </si>
  <si>
    <t>Zambia</t>
  </si>
  <si>
    <t>ZMW</t>
  </si>
  <si>
    <t>100,000 ordinary shares of ZMW 1 each</t>
  </si>
  <si>
    <t>100,000 fully paid ordinary shares of ZMW 1 each</t>
  </si>
  <si>
    <t>Authorised Share Capital</t>
  </si>
  <si>
    <t>Issued capital comprises:</t>
  </si>
  <si>
    <t>Subscribed and Paid up capital</t>
  </si>
  <si>
    <t>Auditor's Details</t>
  </si>
  <si>
    <t>Name of Auditor</t>
  </si>
  <si>
    <t>Below name of Firm</t>
  </si>
  <si>
    <t>Firm Reg. Number</t>
  </si>
  <si>
    <t>Signing Partner</t>
  </si>
  <si>
    <t>Registration number</t>
  </si>
  <si>
    <t>Location</t>
  </si>
  <si>
    <t>Chartered Accountants</t>
  </si>
  <si>
    <t>C002</t>
  </si>
  <si>
    <t>Ceritified Public Accountants</t>
  </si>
  <si>
    <t>Public Accountants</t>
  </si>
  <si>
    <t>Firm Registration Number</t>
  </si>
  <si>
    <t>Registration Number</t>
  </si>
  <si>
    <t>Board of Directors Details</t>
  </si>
  <si>
    <t>Name-1</t>
  </si>
  <si>
    <t>Designation</t>
  </si>
  <si>
    <t>DIN</t>
  </si>
  <si>
    <t>Name-2</t>
  </si>
  <si>
    <t>Name-3</t>
  </si>
  <si>
    <t>Name-4</t>
  </si>
  <si>
    <t>CS</t>
  </si>
  <si>
    <t>NA</t>
  </si>
  <si>
    <t>Notes to Accounts</t>
  </si>
  <si>
    <t>S.No</t>
  </si>
  <si>
    <t>FS nature</t>
  </si>
  <si>
    <t>Note Name</t>
  </si>
  <si>
    <t>Applicability of NTA</t>
  </si>
  <si>
    <t>Name Range</t>
  </si>
  <si>
    <t>Applicable Entity</t>
  </si>
  <si>
    <t>Note No</t>
  </si>
  <si>
    <t>Note/Sub Note</t>
  </si>
  <si>
    <t>TB/Non TB</t>
  </si>
  <si>
    <t>AHCL Cosol</t>
  </si>
  <si>
    <t>AHCL</t>
  </si>
  <si>
    <t>AEHL</t>
  </si>
  <si>
    <t>Elisar</t>
  </si>
  <si>
    <t>AJE</t>
  </si>
  <si>
    <t>Nigeria</t>
  </si>
  <si>
    <t>OICL</t>
  </si>
  <si>
    <t>OD</t>
  </si>
  <si>
    <t>Corporate Information</t>
  </si>
  <si>
    <t>OD_OTH_CI</t>
  </si>
  <si>
    <t>Yes</t>
  </si>
  <si>
    <t>Note</t>
  </si>
  <si>
    <t>Non-TB</t>
  </si>
  <si>
    <t>Significant Accounting Policies</t>
  </si>
  <si>
    <t>OD_OTH_SAP</t>
  </si>
  <si>
    <t>Critical Accounting Judgements And Key Sources Of Estimation Uncertainty</t>
  </si>
  <si>
    <t>OD_OTH_CAJ</t>
  </si>
  <si>
    <t>ASSETS</t>
  </si>
  <si>
    <t>Header</t>
  </si>
  <si>
    <t>TB</t>
  </si>
  <si>
    <t>NON-CURRENT ASSETS</t>
  </si>
  <si>
    <t>Property, Plant and Equipment</t>
  </si>
  <si>
    <t>BS_NCA_PPE</t>
  </si>
  <si>
    <t>PPE Sub Note-1</t>
  </si>
  <si>
    <t>BS_NCA_PPE_SN1</t>
  </si>
  <si>
    <t>Sub Note</t>
  </si>
  <si>
    <t>Right to Use Assets</t>
  </si>
  <si>
    <t>BS_NCA_ROU</t>
  </si>
  <si>
    <t>Capital Work-In-Progress</t>
  </si>
  <si>
    <t>BS_NCA_CWIP</t>
  </si>
  <si>
    <t>No</t>
  </si>
  <si>
    <t>Capital Work-In-Progress aging schedule</t>
  </si>
  <si>
    <t>OD_BS_NCA_CWIP_SN1</t>
  </si>
  <si>
    <t>Aging schedule of Capital-work-in progress, whose completion is overdue or has exceeded its cost compared to its original plan</t>
  </si>
  <si>
    <t>OD_BS_NCA_CWIP_SN2</t>
  </si>
  <si>
    <t>Goodwill</t>
  </si>
  <si>
    <t>BS_NCA_GW</t>
  </si>
  <si>
    <t>Other Intangible Assets</t>
  </si>
  <si>
    <t>Particulars of business combinations accounted by the Company</t>
  </si>
  <si>
    <t>OD_BS_NCA_GW_SN1</t>
  </si>
  <si>
    <t>Subsidiary wise breakup of Goodwill on Consolidation</t>
  </si>
  <si>
    <t>OD_BS_NCA_GW_SN2</t>
  </si>
  <si>
    <t>Breakup of Goodwill on acquisitions</t>
  </si>
  <si>
    <t>OD_BS_NCA_GW_SN3</t>
  </si>
  <si>
    <t>Sub-Note</t>
  </si>
  <si>
    <t>OD_BS_NCA_GW_SN4</t>
  </si>
  <si>
    <t>Intangible Assets Under Development</t>
  </si>
  <si>
    <t>BS_NCA_ITAUD</t>
  </si>
  <si>
    <t>Intangible Assets Under Development aging schedule</t>
  </si>
  <si>
    <t>OD_BS_NCA_ITAUD_SN1</t>
  </si>
  <si>
    <t>Aging schedule of Intangible Assets Under Development, whose completion is overdue or has exceeded its cost compared to its original plan</t>
  </si>
  <si>
    <t>OD_BS_NCA_ITAUD_SN2</t>
  </si>
  <si>
    <t>Financial Assets</t>
  </si>
  <si>
    <t>Investments</t>
  </si>
  <si>
    <t>BS_NCA_INV</t>
  </si>
  <si>
    <t>Category-wise Non-Current Investment</t>
  </si>
  <si>
    <t>OD_BS_NCA_INV_SN1</t>
  </si>
  <si>
    <t>Loans</t>
  </si>
  <si>
    <t>BS_NCA_LOAN</t>
  </si>
  <si>
    <t>Other Financial Assets</t>
  </si>
  <si>
    <t>BS_NCA_OFA</t>
  </si>
  <si>
    <t>Non Current Tax Assets (Net)</t>
  </si>
  <si>
    <t>BS_NCA_Tax</t>
  </si>
  <si>
    <t>Income Tax</t>
  </si>
  <si>
    <t>OD_INC_TAX</t>
  </si>
  <si>
    <t>Income Tax recognized in statement of profit and loss</t>
  </si>
  <si>
    <t>OD_INC_TAX_SN1</t>
  </si>
  <si>
    <t>Income tax recognized in other Comprehensive income</t>
  </si>
  <si>
    <t>OD_INC_TAX_SN2</t>
  </si>
  <si>
    <t>Reconciliation of income tax expense and the accounting profit multiplied by Company’s domestic tax rate</t>
  </si>
  <si>
    <t>OD_INC_TAX_SN3</t>
  </si>
  <si>
    <t>Deferred Tax Assets (Net)</t>
  </si>
  <si>
    <t>BS_NCA_DTA</t>
  </si>
  <si>
    <t>Movement in Deferred Tax Assets/(Liabilities)</t>
  </si>
  <si>
    <t>OD_BS_NCA_DTA_SN1</t>
  </si>
  <si>
    <t>Other Non-Current Assets</t>
  </si>
  <si>
    <t>BS_NCA_ONCA</t>
  </si>
  <si>
    <t>Total Non-Current Assets</t>
  </si>
  <si>
    <t>Total</t>
  </si>
  <si>
    <t>CURRENT ASSETS</t>
  </si>
  <si>
    <t>Inventories</t>
  </si>
  <si>
    <t>BS_CA_INVENTORIES</t>
  </si>
  <si>
    <t>OD_BS_CA_INVENTORIES_SN1</t>
  </si>
  <si>
    <t>BS_CA_INV</t>
  </si>
  <si>
    <t>OD_BS_CA_INV_SN1</t>
  </si>
  <si>
    <t>Trade Receivables</t>
  </si>
  <si>
    <t>BS_CA_TR</t>
  </si>
  <si>
    <t>Trade Receivables ageing schedule-Current Period</t>
  </si>
  <si>
    <t>OD_BS_CA_TR_SN1</t>
  </si>
  <si>
    <t>Trade Receivables ageing schedule-Previous Period</t>
  </si>
  <si>
    <t>OD_BS_CA_TR_SN2</t>
  </si>
  <si>
    <t>Credit period and risk</t>
  </si>
  <si>
    <t>OD_BS_CA_TR_SN3</t>
  </si>
  <si>
    <t>Related party transactions and balances</t>
  </si>
  <si>
    <t>OD_BS_CA_TR_SN4</t>
  </si>
  <si>
    <t>Expected credit loss allowance</t>
  </si>
  <si>
    <t>OD_BS_CA_TR_SN5</t>
  </si>
  <si>
    <t>Movement in the allowance for doubtful receivables (including expected credit loss allowance)</t>
  </si>
  <si>
    <t>OD_BS_CA_TR_SN6</t>
  </si>
  <si>
    <t>Cash and Cash Equivalents</t>
  </si>
  <si>
    <t>BS_CA_CASH</t>
  </si>
  <si>
    <t>Bank Balances other than Cash and Cash Equivalents</t>
  </si>
  <si>
    <t>BS_CA_BANK</t>
  </si>
  <si>
    <t>BS_CA_LOAN</t>
  </si>
  <si>
    <t>BS_CA_OFA</t>
  </si>
  <si>
    <t>Current Tax Assets (Net)</t>
  </si>
  <si>
    <t>BS_CA_TAX</t>
  </si>
  <si>
    <t>Other Current Assets</t>
  </si>
  <si>
    <t>BS_CA_OCA</t>
  </si>
  <si>
    <t>Total Current Assets</t>
  </si>
  <si>
    <t>Total Assets</t>
  </si>
  <si>
    <t>EQUITY AND LIABILITIES</t>
  </si>
  <si>
    <t>EQUITY</t>
  </si>
  <si>
    <t>Equity Share Capital</t>
  </si>
  <si>
    <t>BS_ESC</t>
  </si>
  <si>
    <t>Reconciliation of the Number of Shares and Amount Outstanding at the Beginning and at the End of the Reporting Period</t>
  </si>
  <si>
    <t>OD_BS_ESC_SN1</t>
  </si>
  <si>
    <t>Details of shares held by Globex india Limited (Holding Company/ Ultimate Holding Company)</t>
  </si>
  <si>
    <t>OD_BS_ESC_SN2</t>
  </si>
  <si>
    <t>Terms / rights attached to Equity Shares</t>
  </si>
  <si>
    <t>OD_BS_ESC_SN3</t>
  </si>
  <si>
    <t>Details of shares held by each shareholder holding more than 5% shares</t>
  </si>
  <si>
    <t>OD_BS_ESC_SN4</t>
  </si>
  <si>
    <t xml:space="preserve">Share holding by promoters </t>
  </si>
  <si>
    <t>OD_BS_ESC_SN5</t>
  </si>
  <si>
    <t>BS_EQ_RS</t>
  </si>
  <si>
    <t>General Reserve</t>
  </si>
  <si>
    <t>BS_EQ_RS_SN1</t>
  </si>
  <si>
    <t xml:space="preserve">Securities Premium </t>
  </si>
  <si>
    <t>BS_EQ_RS_SN2</t>
  </si>
  <si>
    <t xml:space="preserve">Retained earnings </t>
  </si>
  <si>
    <t>BS_EQ_RS_SN3</t>
  </si>
  <si>
    <t>Capital redemption reserve</t>
  </si>
  <si>
    <t>BS_EQ_RS_SN4</t>
  </si>
  <si>
    <t>ESOP Reserve</t>
  </si>
  <si>
    <t>BS_EQ_RS_SN5</t>
  </si>
  <si>
    <t>Capital reserve</t>
  </si>
  <si>
    <t>BS_EQ_RS_SN6</t>
  </si>
  <si>
    <t>Exchange Difference on Translation of Foreign Subsidiary</t>
  </si>
  <si>
    <t>BS_EQ_RS_SN7</t>
  </si>
  <si>
    <t>Non Controlling interest</t>
  </si>
  <si>
    <t>BS_EQ_IOCI</t>
  </si>
  <si>
    <t>Total Equity</t>
  </si>
  <si>
    <t>LIABILITIES</t>
  </si>
  <si>
    <t>NON-CURRENT LIABILITIES</t>
  </si>
  <si>
    <t>Financial Liabilities</t>
  </si>
  <si>
    <t>Borrowings</t>
  </si>
  <si>
    <t>BS_NCL_B</t>
  </si>
  <si>
    <t>Details of Term Loan from Banks / Others - Secured</t>
  </si>
  <si>
    <t>OD_BS_NCL_B_SN1</t>
  </si>
  <si>
    <t>Long term borrowings - Related Party</t>
  </si>
  <si>
    <t>OD_BS_NCL_B_SN2</t>
  </si>
  <si>
    <t>Details of Redeemable Non Convertible Debentures</t>
  </si>
  <si>
    <t>OD_BS_NCL_B_SN3</t>
  </si>
  <si>
    <t>Issues of Fully and Compulsorily Convertible Debentures and Non- Cumulative Participative Preference Shares</t>
  </si>
  <si>
    <t>OD_BS_NCL_B_SN4</t>
  </si>
  <si>
    <t>Lease Liabilities</t>
  </si>
  <si>
    <t>BS_NCL_LL</t>
  </si>
  <si>
    <t>Other Financial Liabilities</t>
  </si>
  <si>
    <t>BS_NCL_OFL</t>
  </si>
  <si>
    <t>Provisions</t>
  </si>
  <si>
    <t>BS_NCL_PROV</t>
  </si>
  <si>
    <t>OD_BS_NCL_PROV_SN1</t>
  </si>
  <si>
    <t>Deferred Tax Liabilities (Net)</t>
  </si>
  <si>
    <t>Non Current Tax Liabilities (Net)</t>
  </si>
  <si>
    <t>BS_NCL_NCTL</t>
  </si>
  <si>
    <t>Other non-current liabilities</t>
  </si>
  <si>
    <t>BS_NCL_ONCL</t>
  </si>
  <si>
    <t>Total Non-Current Liabilities</t>
  </si>
  <si>
    <t>CURRENT LIABILITIES</t>
  </si>
  <si>
    <t>BS_CL_B</t>
  </si>
  <si>
    <t>Maturity profile of Unsecured Term Loans</t>
  </si>
  <si>
    <t>OD_BS_CL_B_SN1</t>
  </si>
  <si>
    <t>BS_CL_LL</t>
  </si>
  <si>
    <t>Trade Payables due to</t>
  </si>
  <si>
    <t>BS_CL_TP</t>
  </si>
  <si>
    <t>Micro Enterprises and Small Enterprises</t>
  </si>
  <si>
    <t>Other than Micro Enterprises and Small Enterprises</t>
  </si>
  <si>
    <t>Trade Payables ageing schedule-Current Period</t>
  </si>
  <si>
    <t>OD_BS_CL_TP_SN1</t>
  </si>
  <si>
    <t>Trade Payables ageing schedule-Previous Period</t>
  </si>
  <si>
    <t>OD_BS_CL_TP_SN2</t>
  </si>
  <si>
    <t>BS_CL_OFL</t>
  </si>
  <si>
    <t>Other Current Liabilities</t>
  </si>
  <si>
    <t>BS_CL_OCL</t>
  </si>
  <si>
    <t>Current Tax Liabilities (Net)</t>
  </si>
  <si>
    <t>BS_CL_CTL</t>
  </si>
  <si>
    <t>BS_CL_PROV</t>
  </si>
  <si>
    <t>OD_BS_CL_PROV_SN1</t>
  </si>
  <si>
    <t>Total Current Liabilities</t>
  </si>
  <si>
    <t>Total Liabilities</t>
  </si>
  <si>
    <t>Total Equity and Liabilities</t>
  </si>
  <si>
    <t>P&amp;L</t>
  </si>
  <si>
    <t>INCOME</t>
  </si>
  <si>
    <t>Revenue from Operations</t>
  </si>
  <si>
    <t>PL_INC_RFO</t>
  </si>
  <si>
    <t>Disaggregation of the revenue Information</t>
  </si>
  <si>
    <t>OD_PL_INC_RFO_SN1</t>
  </si>
  <si>
    <t>Trade Receivables and Contract Balances</t>
  </si>
  <si>
    <t>OD_PL_INC_RFO_SN2</t>
  </si>
  <si>
    <t>Performance obligations and remaining performance obligations</t>
  </si>
  <si>
    <t>OD_PL_INC_RFO_SN3</t>
  </si>
  <si>
    <t>Geographical Revenue Breakdown</t>
  </si>
  <si>
    <t>OD_PL_INC_RFO_SN4</t>
  </si>
  <si>
    <t>Other Income</t>
  </si>
  <si>
    <t>PL_INC_OI</t>
  </si>
  <si>
    <t>Total Income</t>
  </si>
  <si>
    <t>EXPENSES</t>
  </si>
  <si>
    <t>Cost Of Materials Consumed</t>
  </si>
  <si>
    <t>PL_EXP_COMC</t>
  </si>
  <si>
    <t>Purchases of stock-in-trade</t>
  </si>
  <si>
    <t>PL_EXP_PSIT</t>
  </si>
  <si>
    <t>Changes In Inventories Of Finished Goods,Stock-In-Trade And Work-In-Progress</t>
  </si>
  <si>
    <t>PL_EXP_CII</t>
  </si>
  <si>
    <t>Cost of Goods Sold</t>
  </si>
  <si>
    <t>OD_PL_EXP_COGS</t>
  </si>
  <si>
    <t>Employee Benefits Expense</t>
  </si>
  <si>
    <t>PL_EXP_EMP</t>
  </si>
  <si>
    <t>Finance Costs</t>
  </si>
  <si>
    <t>PL_EXP_FC</t>
  </si>
  <si>
    <t>Depreciation And Amortisation Expenses</t>
  </si>
  <si>
    <t>PL_EXP_DEP</t>
  </si>
  <si>
    <t>Other Expenses</t>
  </si>
  <si>
    <t>PL_EXP_OE</t>
  </si>
  <si>
    <t>Payment to Auditors</t>
  </si>
  <si>
    <t>OD_PL_EXP_OE_SN1</t>
  </si>
  <si>
    <t>Corporate Social Responsibility (CSR)</t>
  </si>
  <si>
    <t>OD_PL_EXP_OE_SN2</t>
  </si>
  <si>
    <t>Total Expenses</t>
  </si>
  <si>
    <t>Profit/ (Loss) Before Exceptional Items</t>
  </si>
  <si>
    <t>Exceptional Items</t>
  </si>
  <si>
    <t>PL_EXCEPT</t>
  </si>
  <si>
    <t>The Income Tax Expenses for the year can be reconciled to the accounting profit as follows:</t>
  </si>
  <si>
    <t>Advance Income Tax (Net of provision)</t>
  </si>
  <si>
    <t>Profit/ (Loss) Before Tax</t>
  </si>
  <si>
    <t>TAX EXPENSE</t>
  </si>
  <si>
    <t>Current Tax</t>
  </si>
  <si>
    <t>PL_TAX_CT</t>
  </si>
  <si>
    <t>Deferred Tax</t>
  </si>
  <si>
    <t>PL_TAX_DT</t>
  </si>
  <si>
    <t>Total Tax Expenses</t>
  </si>
  <si>
    <t>Profit/ (Loss) for the year</t>
  </si>
  <si>
    <t>OTHER COMPREHENSIVE INCOME</t>
  </si>
  <si>
    <t>Items that will not be reclassified to Profit or Loss</t>
  </si>
  <si>
    <t>Remeasurements of the defined benefit liabilities / (asset)</t>
  </si>
  <si>
    <t>Income tax relating to items that will not be reclassified to Profit or Loss</t>
  </si>
  <si>
    <t>Items that will be reclassified to Profit or Loss</t>
  </si>
  <si>
    <t>Total Other Comprehensive Income</t>
  </si>
  <si>
    <t>Total Comprehensive Income for the year</t>
  </si>
  <si>
    <t>Profit  for the year attributable to:</t>
  </si>
  <si>
    <t>Owners of the Company</t>
  </si>
  <si>
    <t>Non controlling interests</t>
  </si>
  <si>
    <t>Other Comprehensive Income for the year attributable to:</t>
  </si>
  <si>
    <t>Total Comprehensive Income for the year attributable to:</t>
  </si>
  <si>
    <t>Earnings per equity share (Face value of Rs.10/- each)</t>
  </si>
  <si>
    <t>Basic(in Rs.)</t>
  </si>
  <si>
    <t>Diluted(Rs.)</t>
  </si>
  <si>
    <t>Disclosures required under Section 22 of the Micro, Small and Medium Enterprises Development Act, 2006</t>
  </si>
  <si>
    <t>OD_OTH_MSME</t>
  </si>
  <si>
    <t>Disclosure under Section 186 (4) of the Companies Act, 2013</t>
  </si>
  <si>
    <t>OD_DISC_COMP_ACT_186</t>
  </si>
  <si>
    <t>Capital Commitments</t>
  </si>
  <si>
    <t>OD_OTH_CAP_COMM</t>
  </si>
  <si>
    <t>Contingent Liabilities</t>
  </si>
  <si>
    <t>OD_OTH_CONT_LIA</t>
  </si>
  <si>
    <t>Employee Benefits</t>
  </si>
  <si>
    <t>OD_OTH_EMP_BEN</t>
  </si>
  <si>
    <t>Defined Contribution plans</t>
  </si>
  <si>
    <t>OD_OTH_EMP_BEN_SN1</t>
  </si>
  <si>
    <t>Compensated Absences</t>
  </si>
  <si>
    <t>OD_OTH_EMP_BEN_SN2</t>
  </si>
  <si>
    <t>Defined benefit plans</t>
  </si>
  <si>
    <t>OD_OTH_EMP_BEN_SN3</t>
  </si>
  <si>
    <t>Segment Reporting</t>
  </si>
  <si>
    <t>OD_OTH_SEG_REP</t>
  </si>
  <si>
    <t>Disclosure of segment information pursuant to Ind AS 108 "Operating Segments"</t>
  </si>
  <si>
    <t>OD_OTH_OPE_SEG</t>
  </si>
  <si>
    <t>Leases</t>
  </si>
  <si>
    <t>OD_OTH_LEASES</t>
  </si>
  <si>
    <t>OD_OTH_LEASES_SN1</t>
  </si>
  <si>
    <t>OD_OTH_LEASES_SN2</t>
  </si>
  <si>
    <t>Amounts recognised in the Statement of Profit and Loss</t>
  </si>
  <si>
    <t>OD_OTH_LEASES_SN3</t>
  </si>
  <si>
    <t>Amounts recognised in the Cash Flow Statement</t>
  </si>
  <si>
    <t>OD_OTH_LEASES_SN4</t>
  </si>
  <si>
    <t>Finance lease liabilities</t>
  </si>
  <si>
    <t>OD_OTH_LEASES_SN5</t>
  </si>
  <si>
    <t>Share-based payments</t>
  </si>
  <si>
    <t>OD_OTH_SHARE_BP</t>
  </si>
  <si>
    <t xml:space="preserve">Stock Awards </t>
  </si>
  <si>
    <t>OD_OTH_SHARE_BP_SN1</t>
  </si>
  <si>
    <t>ESOP</t>
  </si>
  <si>
    <t>OD_OTH_SHARE_BP_SN2</t>
  </si>
  <si>
    <t>SAR</t>
  </si>
  <si>
    <t>OD_OTH_SHARE_BP_SN3</t>
  </si>
  <si>
    <t>Total expense accounted for by the Group on account of the above are given below:</t>
  </si>
  <si>
    <t>OD_OTH_SHARE_BP_SN4</t>
  </si>
  <si>
    <t>Earnings Per Share</t>
  </si>
  <si>
    <t>OD_OTH_EPS</t>
  </si>
  <si>
    <t xml:space="preserve">Financial Instruments </t>
  </si>
  <si>
    <t>OD_OTH_FIN_INS</t>
  </si>
  <si>
    <t>Capital Management</t>
  </si>
  <si>
    <t>OD_OTH_FIN_INS_SN1</t>
  </si>
  <si>
    <t>Categories of Financial Instruments</t>
  </si>
  <si>
    <t>OD_OTH_FIN_INS_SN2</t>
  </si>
  <si>
    <t>Financial Risk Management Framework</t>
  </si>
  <si>
    <t>OD_OTH_FIN_INS_SN3</t>
  </si>
  <si>
    <t>Fair value of financial assets and financial liabilities that are not measured at fair value (but fair value disclosures are required)</t>
  </si>
  <si>
    <t>OD_OTH_FIN_INS_SN4</t>
  </si>
  <si>
    <t>Offsetting of financial assets and financial liabilities</t>
  </si>
  <si>
    <t>OD_OTH_FIN_INS_SN5</t>
  </si>
  <si>
    <t>Fair Value Measurement</t>
  </si>
  <si>
    <t>OD_OTH_FIN_INS_SN6</t>
  </si>
  <si>
    <t>Related Party Disclosure</t>
  </si>
  <si>
    <t>OD_OTH_RPT</t>
  </si>
  <si>
    <t>Names of Related Parties and Nature of Relationships*</t>
  </si>
  <si>
    <t>Transactions carried out with related parties referred to above in the ordinary course of business during the year</t>
  </si>
  <si>
    <t>Compensation of key management personnel</t>
  </si>
  <si>
    <t>Balances outstanding as at year end</t>
  </si>
  <si>
    <t>ANNUAL REPORT &amp; FINANCIAL STATEMENTS</t>
  </si>
  <si>
    <t>rt</t>
  </si>
  <si>
    <t>Sheet name</t>
  </si>
  <si>
    <t>Line item</t>
  </si>
  <si>
    <t>BS2</t>
  </si>
  <si>
    <t>##H</t>
  </si>
  <si>
    <t>Source_CY</t>
  </si>
  <si>
    <t>CY</t>
  </si>
  <si>
    <t>PY</t>
  </si>
  <si>
    <t>Check</t>
  </si>
  <si>
    <t>As per Application</t>
  </si>
  <si>
    <t>Difference</t>
  </si>
  <si>
    <t>No of Counts having differences</t>
  </si>
  <si>
    <t>Particulars</t>
  </si>
  <si>
    <t>Notes</t>
  </si>
  <si>
    <t>C12110000</t>
  </si>
  <si>
    <t>C12130000</t>
  </si>
  <si>
    <t>C12140000</t>
  </si>
  <si>
    <t>C12150000</t>
  </si>
  <si>
    <t>C12120000</t>
  </si>
  <si>
    <t>C12160000</t>
  </si>
  <si>
    <t>C12210000</t>
  </si>
  <si>
    <t>C12250000</t>
  </si>
  <si>
    <t>C12290000</t>
  </si>
  <si>
    <t>C12700000</t>
  </si>
  <si>
    <t>C12600000</t>
  </si>
  <si>
    <t>C12900000</t>
  </si>
  <si>
    <t>C11300000</t>
  </si>
  <si>
    <t>C11210000</t>
  </si>
  <si>
    <t>C11220000</t>
  </si>
  <si>
    <t>C11230000</t>
  </si>
  <si>
    <t>C11240000</t>
  </si>
  <si>
    <t>C11250000</t>
  </si>
  <si>
    <t>C11290000</t>
  </si>
  <si>
    <t>C11700000</t>
  </si>
  <si>
    <t>C11900000</t>
  </si>
  <si>
    <t>C30000000</t>
  </si>
  <si>
    <t>C30510000</t>
  </si>
  <si>
    <t>Equity attributable to owners of the Company</t>
  </si>
  <si>
    <t>C30520000</t>
  </si>
  <si>
    <t>C22260000</t>
  </si>
  <si>
    <t>C22270000</t>
  </si>
  <si>
    <t>C22290000</t>
  </si>
  <si>
    <t>C22800000</t>
  </si>
  <si>
    <t>C22600000</t>
  </si>
  <si>
    <t>C22700000</t>
  </si>
  <si>
    <t>C22000000</t>
  </si>
  <si>
    <t>C21260000</t>
  </si>
  <si>
    <t>C21270000</t>
  </si>
  <si>
    <t>C21280200</t>
  </si>
  <si>
    <t>C21280100</t>
  </si>
  <si>
    <t>C21290000</t>
  </si>
  <si>
    <t>C21900000</t>
  </si>
  <si>
    <t>C21700000</t>
  </si>
  <si>
    <t>C21800000</t>
  </si>
  <si>
    <t>C21000000</t>
  </si>
  <si>
    <t>As per our report of even date attached</t>
  </si>
  <si>
    <t xml:space="preserve">For </t>
  </si>
  <si>
    <t>For and on behalf of  Board of Directors</t>
  </si>
  <si>
    <t xml:space="preserve">Firm's Registration Number: </t>
  </si>
  <si>
    <t>(Name)</t>
  </si>
  <si>
    <t>Partner</t>
  </si>
  <si>
    <t>Membership No:</t>
  </si>
  <si>
    <t>DIN:</t>
  </si>
  <si>
    <t>Place : Chennai</t>
  </si>
  <si>
    <t>Date : 10 August 2023</t>
  </si>
  <si>
    <t>Tag ID</t>
  </si>
  <si>
    <t>C40001000</t>
  </si>
  <si>
    <t>C40200000</t>
  </si>
  <si>
    <t>C40000000</t>
  </si>
  <si>
    <t>COGS</t>
  </si>
  <si>
    <t>C50300000</t>
  </si>
  <si>
    <t>C50400000</t>
  </si>
  <si>
    <t>C50500000</t>
  </si>
  <si>
    <t>C50600000</t>
  </si>
  <si>
    <t>C50700000</t>
  </si>
  <si>
    <t>C50000000</t>
  </si>
  <si>
    <t>C50800100</t>
  </si>
  <si>
    <t>C50800200</t>
  </si>
  <si>
    <t>C50800000</t>
  </si>
  <si>
    <t>C71110110</t>
  </si>
  <si>
    <t>C71110120</t>
  </si>
  <si>
    <t>C71120100</t>
  </si>
  <si>
    <t>Place :</t>
  </si>
  <si>
    <t>Date :</t>
  </si>
  <si>
    <t>A.</t>
  </si>
  <si>
    <t>EQUITY SHARE CAPITAL</t>
  </si>
  <si>
    <t>Balance at the beginning of 1st April, 2022</t>
  </si>
  <si>
    <t>Change during the year 2022-23</t>
  </si>
  <si>
    <t>Balance as at 31st March, 2023</t>
  </si>
  <si>
    <t>Change during the year 2023-24</t>
  </si>
  <si>
    <t>B.</t>
  </si>
  <si>
    <t>OTHER EQUITY</t>
  </si>
  <si>
    <t>Reserves and Surplus</t>
  </si>
  <si>
    <t>Non-Controlling interest (B)</t>
  </si>
  <si>
    <t>Total Other Equity
(A+B)</t>
  </si>
  <si>
    <t>Securities Premium</t>
  </si>
  <si>
    <t>Retained Earnings</t>
  </si>
  <si>
    <t>Capital Redemption reserve</t>
  </si>
  <si>
    <t>Foreign Currency Translation Reserve</t>
  </si>
  <si>
    <t>ESOP Reserves</t>
  </si>
  <si>
    <t>Total(A)</t>
  </si>
  <si>
    <t>Equity Instruments Through Other Comprehensive Income</t>
  </si>
  <si>
    <t>C30510910</t>
  </si>
  <si>
    <t>Profit for the year</t>
  </si>
  <si>
    <t>Payment of Dividend on equity shares</t>
  </si>
  <si>
    <t>Premium on Shares issued</t>
  </si>
  <si>
    <t>Application of Securities premium for issue of equity shares</t>
  </si>
  <si>
    <t>Remeasurements of the defined benefit plans (net of taxes)</t>
  </si>
  <si>
    <t>C30510920</t>
  </si>
  <si>
    <t>Employee Stock option Plan</t>
  </si>
  <si>
    <t>Adjustments arising on additional stake acquired in a Subsidiary</t>
  </si>
  <si>
    <t>Adjustments arising on Merger of Wholly owned Step-down Subsidiary</t>
  </si>
  <si>
    <t>On Acquisition</t>
  </si>
  <si>
    <t>Expenses incurred towards issue of shares during the year</t>
  </si>
  <si>
    <t>Premium on Shares issued/converted during the year</t>
  </si>
  <si>
    <t xml:space="preserve"> Equity Compenent of Compulsorily Convertible Debentures</t>
  </si>
  <si>
    <t>Pre-acquisition reserve</t>
  </si>
  <si>
    <t>Weight</t>
  </si>
  <si>
    <t>CF Codes</t>
  </si>
  <si>
    <t>Source_PY</t>
  </si>
  <si>
    <t>A:</t>
  </si>
  <si>
    <t>CASH FLOW FROM OPERATING ACTIVITIES</t>
  </si>
  <si>
    <t>Profit/ (Loss) Before Tax as per Statement of Profit and Loss</t>
  </si>
  <si>
    <t>Adjusted for:</t>
  </si>
  <si>
    <t>(Profit)/ Loss on Sale/ Discard of Property, Plant and Equipment and Other Intangible Assets (Net)</t>
  </si>
  <si>
    <t>Cash Flow - CY</t>
  </si>
  <si>
    <t>Cash Flow - PY</t>
  </si>
  <si>
    <t>Bad Debts and Net Allowance for/ (Reversal of) Doubtful Receivables</t>
  </si>
  <si>
    <t>Depreciation and Amortisation Expense</t>
  </si>
  <si>
    <t>Impairment of Long Term Investments</t>
  </si>
  <si>
    <t>Net Foreign Exchange (Gain)/ Loss</t>
  </si>
  <si>
    <t>Liabilities/ Provisions no longer required written back</t>
  </si>
  <si>
    <t>Net (Gain)/ Loss arising on Financial Assets Designated at Fair Value Through Profit or Loss</t>
  </si>
  <si>
    <t>Dividend Income</t>
  </si>
  <si>
    <t>Sale of Rights Entitlement</t>
  </si>
  <si>
    <t>Interest Income</t>
  </si>
  <si>
    <t>Operating Profit/ (Loss) before Working Capital Changes</t>
  </si>
  <si>
    <t>Trade and Other Receivables</t>
  </si>
  <si>
    <t>Trade and Other Payables</t>
  </si>
  <si>
    <t>Cash Generated from/ (Used in) Operations</t>
  </si>
  <si>
    <t>Taxes (Paid)/ Refund (Net)</t>
  </si>
  <si>
    <t>Net Cash Generated from/ (Used in) Operating Activities</t>
  </si>
  <si>
    <t>B:</t>
  </si>
  <si>
    <t>CASH FLOW FROM INVESTING ACTIVITIES</t>
  </si>
  <si>
    <t>Payment for Property, Plant and Equipment, Capital Work-In-Progress and Other Intangible Assets</t>
  </si>
  <si>
    <t>Proceeds from Disposal of Property, Plant and Equipment and Other Intangible Assets</t>
  </si>
  <si>
    <t xml:space="preserve">Purchase of Non-Current Investments </t>
  </si>
  <si>
    <t>Proceeds from Redemption/ Sale of Non-Current Investments</t>
  </si>
  <si>
    <t xml:space="preserve">Purchase of Current Investments </t>
  </si>
  <si>
    <t>Proceeds from Redemption/ Sale of Current Investments</t>
  </si>
  <si>
    <t>Non-Current Loan received back</t>
  </si>
  <si>
    <t>Non-Current Loan given</t>
  </si>
  <si>
    <t>Current Loan given</t>
  </si>
  <si>
    <t>Current Loan received back</t>
  </si>
  <si>
    <t>(Increase)/ Decrease in Other Bank Balances</t>
  </si>
  <si>
    <t>Interest received</t>
  </si>
  <si>
    <t>Net Cash Generated from/ (Used in) Investing Activities</t>
  </si>
  <si>
    <t>C:</t>
  </si>
  <si>
    <t>CASH FLOW FROM FINANCING ACTIVITIES</t>
  </si>
  <si>
    <t>Proceeds from Borrowings - Non-Current</t>
  </si>
  <si>
    <t>Payment of Lease Liabilities</t>
  </si>
  <si>
    <t>Repayment of Borrowings - Non-Current</t>
  </si>
  <si>
    <t>Proceeds from Issue of Equity Share Capital</t>
  </si>
  <si>
    <t>Borrowings - Current (Net)</t>
  </si>
  <si>
    <t>Unclaimed Matured Deposits and Interest Accrued thereon paid</t>
  </si>
  <si>
    <t>Unclaimed Preference Shares redemption amount paid</t>
  </si>
  <si>
    <t>Net Cash Generated from/ (Used in) Financing Activities</t>
  </si>
  <si>
    <t>Net Increase / (Decrease) in Cash and Cash Equivalents</t>
  </si>
  <si>
    <t>Opening balance of Cash and Cash Equivalents</t>
  </si>
  <si>
    <t>Group_Id_CY</t>
  </si>
  <si>
    <t>Group_Id_PY</t>
  </si>
  <si>
    <t>CHANGE IN LIABILITY ARISING FROM FINANCING ACTIVITIES</t>
  </si>
  <si>
    <t>Opening balance at the beginning of 1st April, 2022</t>
  </si>
  <si>
    <t>3400649</t>
  </si>
  <si>
    <t>Adjustment during the year</t>
  </si>
  <si>
    <t>Cash Flow during the year</t>
  </si>
  <si>
    <t>Opening balance at the beginning of 1st April, 2023</t>
  </si>
  <si>
    <t xml:space="preserve">Check </t>
  </si>
  <si>
    <t>CORPORATE INFORMATION</t>
  </si>
  <si>
    <t>________________(“the Company”) is incorporated in India. The registered office of the Company is situated at ___________________________________. The Company is engaged in activities ________________________________.</t>
  </si>
  <si>
    <t>SIGNIFICANT ACCOUNTING POLICIES</t>
  </si>
  <si>
    <t>Basis of Preparation and Presentation</t>
  </si>
  <si>
    <t>The Standalone Financial Statements have been prepared on the historical cost basis except for certain financial assets and liabilities, defined benefit plans - plan assets which have been measured at fair value amount.</t>
  </si>
  <si>
    <r>
      <t xml:space="preserve">The standalone financial statements of the Company have been prepared to comply with the Indian Accounting Standards (‘Ind AS’), including the rules notified under the relevant provisions of the Companies Act, 2013, (as </t>
    </r>
    <r>
      <rPr>
        <sz val="10"/>
        <rFont val="Arial"/>
        <family val="2"/>
      </rPr>
      <t>amended from time to time) and Presentation and disclosure requirements of Division II of Schedule III to the Companies Act,2013, (Ind AS Compliant Schedule III) as amended from time to time.</t>
    </r>
  </si>
  <si>
    <t>The Company's standalone financial statements are presented in Indian Rupees (₹), which is its functional currency and all values are rounded to the nearest lakh (₹ 00,000), except when otherwise indicated.</t>
  </si>
  <si>
    <t>Summary of Significant Accounting Policies</t>
  </si>
  <si>
    <t>(a)</t>
  </si>
  <si>
    <t>Current and Non-Current Classification</t>
  </si>
  <si>
    <t>The Company presents assets and liabilities in the Balance Sheet based on Current/ Non-Current classification.</t>
  </si>
  <si>
    <t>An asset is treated as Current when it is –</t>
  </si>
  <si>
    <t xml:space="preserve">- </t>
  </si>
  <si>
    <t>Expected to be realised or intended to be sold or consumed in normal operating cycle;</t>
  </si>
  <si>
    <t>Held primarily for the purpose of trading;</t>
  </si>
  <si>
    <t>Expected to be realised within twelve months after the reporting period; or</t>
  </si>
  <si>
    <t>Cash or cash equivalent unless restricted from being exchanged or used to settle a liability for at least twelve months after the reporting period.</t>
  </si>
  <si>
    <t>All other assets are classified as non-current.</t>
  </si>
  <si>
    <t>A liability is current when -</t>
  </si>
  <si>
    <t xml:space="preserve"> - </t>
  </si>
  <si>
    <t>It is expected to be settled in normal operating cycle;</t>
  </si>
  <si>
    <t>It is held primarily for the purpose of trading;</t>
  </si>
  <si>
    <t>It is due to be settled within twelve months after the reporting period, or</t>
  </si>
  <si>
    <t>There is no unconditional right to defer the settlement of the liability for at least twelve months after the reporting period.</t>
  </si>
  <si>
    <t>The Company classifies all other liabilities as non-current.</t>
  </si>
  <si>
    <t>Deferred tax assets and liabilities are classified as non-current assets and liabilities.</t>
  </si>
  <si>
    <t>(b)</t>
  </si>
  <si>
    <t>Property, Plant and Equipment:</t>
  </si>
  <si>
    <t>Property, Plant and Equipment are stated at cost, net of recoverable taxes, trade discount and rebates less accumulated depreciation and impairment losses, if any. Such cost includes purchase price, borrowing cost and any cost directly attributable to bringing the assets to its working condition for its intended use.</t>
  </si>
  <si>
    <t>Subsequent costs are included in the asset’s carrying amount or recognised as a separate asset, as appropriate, only when it is probable that future economic benefits associated with the item will flow to the entity and the cost can be measured reliably.</t>
  </si>
  <si>
    <t>Projects under which assets are not ready for there intended use are shown as Capital Work in Progress.</t>
  </si>
  <si>
    <t>Depreciation on property, plant and equipment is provided using straight-line method. Depreciation is provided based on useful life of the assets as prescribed in Schedule II to the Companies Act, 2013. Leasehold improvements are depreciated over the period of lease agreement or the useful life whichever is shorter.</t>
  </si>
  <si>
    <t>The residual values, useful lives and methods of depreciation of property, plant and equipment are reviewed at each financial year end and adjusted prospectively, if appropriate.</t>
  </si>
  <si>
    <t>Gains or losses arising from derecognition of a property, plant and equipment are measured as the difference between the net disposal proceeds and the carrying amount of the asset and are recognised in the Statement of Profit and Loss when the asset is derecognised.</t>
  </si>
  <si>
    <t xml:space="preserve">(c) </t>
  </si>
  <si>
    <t>Leases:</t>
  </si>
  <si>
    <t>The Company, as a lessee, recognizes a right-of-use asset and a lease liability for its leasing arrangements, if the contract conveys the right to control the use of an identified asset. The contract conveys the right to control the use of an identified asset, if it involves the use of an identified asset and the Company has substantially all of the economic benefits from use of the asset and has right to direct the use of the identified asset.</t>
  </si>
  <si>
    <t xml:space="preserve">The cost of the right-of-use asset shall comprise of the amount of the initial measurement of the lease liability adjusted for any lease payments made at or before the commencement date plus any initial direct costs incurred. The right-of-use assets is subsequently measured at cost less any accumulated depreciation, accumulated impairment losses, if any and adjusted for any remeasurement of the lease liability. </t>
  </si>
  <si>
    <t xml:space="preserve">The right-of-use assets is depreciated using the straight-line method from the commencement date over the shorter of lease term or useful life of right-of-use asset. </t>
  </si>
  <si>
    <t>The Company measures the lease liability at the present value of the lease payments that are not paid at the commencement date of the lease. The lease payments are discounted using the interest rate implicit in the lease, if that rate can be readily determined. If that rate cannot be readily determined, the Company uses incremental borrowing rate.</t>
  </si>
  <si>
    <t>For short-term and low value leases, the Company recognises the lease payments as an operating expense on a straight-line basis over the lease term.</t>
  </si>
  <si>
    <t>(d)</t>
  </si>
  <si>
    <t>Other Intangible Assets:</t>
  </si>
  <si>
    <t>Other Intangible Assets are stated at cost of acquisition net of recoverable taxes, trade discount and rebate less accumulated amortisation/ depletion and impairment loss, if any. Such cost includes purchase price, borrowing costs, and any cost directly attributable to bringing the asset to its working condition for the intended use.</t>
  </si>
  <si>
    <t>Subsequent costs are included in the asset's carrying amount or recognized as a separate asset, as appropriate, only when it is probable that future economic benefits associated with the items will flow to the Company and cost can be measured reliably.</t>
  </si>
  <si>
    <t>Gains or losses arising from derecognition of other intangible asset are measured as the difference between the net disposal proceeds and the carrying amount of the asset and are recognised in the Statement of Profit and Loss when the asset is derecognised.</t>
  </si>
  <si>
    <t>The Company’s intangible assets comprises assets with finite useful life which are amortised on a straight-line basis over the period of their expected useful life.</t>
  </si>
  <si>
    <t>Computer Softwares and License pertaining to satellite rights are being amortised over its estimated useful life of 5 years. News archives is being depreciated over a period of 21 years as the contents of the same are continuously used in day to day programming and hence the economic benefits from the same arise for a period longer than 20 years.</t>
  </si>
  <si>
    <t>The amortisation period and the amortisation method for Intangible Assets with a finite useful life are reviewed at each reporting date.</t>
  </si>
  <si>
    <t>(e)</t>
  </si>
  <si>
    <t>Borrowing Cost</t>
  </si>
  <si>
    <t>Borrowing costs that are directly attributable to the acquisition or construction of qualifying assets are capitalised as part of the cost of such assets. A qualifying asset is one that necessarily takes substantial period of time to get ready for its intended use.</t>
  </si>
  <si>
    <r>
      <t xml:space="preserve">All other borrowing costs are charged to the Statement of Profit and Loss </t>
    </r>
    <r>
      <rPr>
        <sz val="10"/>
        <rFont val="Arial"/>
        <family val="2"/>
      </rPr>
      <t>for the period for which they are incurred.</t>
    </r>
  </si>
  <si>
    <t>(f)</t>
  </si>
  <si>
    <t>Impairment of Non-Financial Assets</t>
  </si>
  <si>
    <t>The Company assesses at each reporting date as to whether there is any indication that any Property, Plant and Equipment and Other Intangible assets or group of assets, called Cash Generating Unit ('CGU') may be impaired. If any such indication exists, the recoverable amount of assets or CGU is estimated to determine the extent of impairment, if any. When it is not possible to estimate the recoverable amount of an individual asset, the Company estimates the recoverable amount of the CGU to which the asset belongs.</t>
  </si>
  <si>
    <t>Goodwill is allocated to each of the CGUs (or groups of CGUs) for the purposes of impairment testing. A CGU to which goodwill has been allocated is tested for impairment annually, or more frequently when there is an indication that the unit may be impaired. If the recoverable amount of the cash-generating unit is less than its carrying amount, the impairment loss is allocated first to reduce the carrying amount of any goodwill allocated to the unit and then to the other assets of the unit pro-rata based on the carrying amount of each asset in the unit.</t>
  </si>
  <si>
    <r>
      <t xml:space="preserve">An impairment loss is recognized in the Statement of the Profit and Loss to the extent, asset's carrying amount exceeds its recoverable amount. The recoverable amount is higher of an asset's fair value less cost of disposal and value in use; considering recent transactions </t>
    </r>
    <r>
      <rPr>
        <sz val="10"/>
        <color rgb="FF0070C0"/>
        <rFont val="Arial"/>
        <family val="2"/>
      </rPr>
      <t>or</t>
    </r>
    <r>
      <rPr>
        <sz val="10"/>
        <rFont val="Arial"/>
        <family val="2"/>
      </rPr>
      <t xml:space="preserve"> independent valuer’s report. Value in use is based on the estimated future cash flows, discounted to their present value using pre-tax discount rate that reflects current market assessments of the time value of money and risk specific to the assets.</t>
    </r>
  </si>
  <si>
    <t>The impairment loss, other than goodwill, recognised in prior accounting period is reversed if there has been a change in the estimate of recoverable amount.</t>
  </si>
  <si>
    <t>(g)</t>
  </si>
  <si>
    <t>Provisions and Contingencies</t>
  </si>
  <si>
    <r>
      <t xml:space="preserve">Provisions are recognised when the Company has a present obligation </t>
    </r>
    <r>
      <rPr>
        <sz val="10"/>
        <rFont val="Arial"/>
        <family val="2"/>
      </rPr>
      <t>(legal or constructive) as a result of a past event, it is probable that an outflow of resources embodying economic benefits will be required to settle the obligation and a reliable estimate can be made of the amount of the obligation.</t>
    </r>
  </si>
  <si>
    <t>If the effect of the time value of money is material, provisions are discounted using a current pre-tax rate that reflects, when appropriate, the risks specific to the liability. When discounting is used, the increase in the provision due to the passage of time is recognised as a finance cost.</t>
  </si>
  <si>
    <t>Disclosure of contingent liability is made when there is a possible obligation arising from past events, the existence of which will be confirmed only by the occurrence or non-occurrence of one or more uncertain future events not wholly within the control of the Company or a present obligation that arises from past events where it is either not probable that an outflow of resources embodying economic benefits will be required to settle or a reliable estimate of amount cannot be made.</t>
  </si>
  <si>
    <t>(h)</t>
  </si>
  <si>
    <t>Short Term Employee Benefits</t>
  </si>
  <si>
    <t>The undiscounted amount of short term employee benefits expected to be paid in exchange for the services rendered by employees are recognised as an expense during the period when the employees render the services.</t>
  </si>
  <si>
    <t>Long Term Employee Benefits</t>
  </si>
  <si>
    <t>Compensated absences which are not expected to occur within twelve months after the end of the period in which the employee renders the related service are recognised as a liability as at the Balance Sheet date on the basis of actuarial valuation as per Projected Unit Credit Method.</t>
  </si>
  <si>
    <t>Post-Employment Benefits</t>
  </si>
  <si>
    <t>Defined Contribution Plans</t>
  </si>
  <si>
    <t>A defined contribution plan is a post-employment benefit plan under which the Company pays specified contributions towards Provident Fund, Employee State Insurance and Pension Scheme. The Company’s contribution is recognised as an expense in the Statement of Profit and Loss during the period in which the employee renders the related service.</t>
  </si>
  <si>
    <t>Defined Benefit Plans</t>
  </si>
  <si>
    <r>
      <t xml:space="preserve">The Company pays gratuity to the employees who have completed five years of service with the Company at the time of resignation/ superannuation. The gratuity is paid @ 15 days </t>
    </r>
    <r>
      <rPr>
        <sz val="10"/>
        <rFont val="Arial"/>
        <family val="2"/>
      </rPr>
      <t>basic salary for every completed year of service as per the Payment of Gratuity Act, 1972.</t>
    </r>
  </si>
  <si>
    <t>The liability in respect of gratuity and other post-employment benefits is calculated using the Projected Unit Credit Method and spread over the period during which the benefit is expected to be derived from employees’ services.</t>
  </si>
  <si>
    <t>Re-measurement of defined benefit plans in respect of post-employment benefits are charged to the Other Comprehensive Income.</t>
  </si>
  <si>
    <t>(i)</t>
  </si>
  <si>
    <t xml:space="preserve">Tax Expenses </t>
  </si>
  <si>
    <t>The tax expense for the period comprises of current and deferred tax. Tax is recognised in the Statement of Profit and Loss, except to the extent that it relates to items recognised in the Other Comprehensive Income. In which case, the tax is also recognised in Other Comprehensive Income.</t>
  </si>
  <si>
    <t>Current tax assets and liabilities are measured at the amount expected to be recovered from or paid to the Income tax authorities, based on tax rates and laws that are enacted or substantively enacted at the Balance Sheet date.</t>
  </si>
  <si>
    <t>(ii)</t>
  </si>
  <si>
    <t>Deferred tax is recognised on temporary differences between the carrying amounts of assets and liabilities in the standalone financial statements and the corresponding tax bases used in the computation of taxable profit.</t>
  </si>
  <si>
    <t>Deferred income tax assets are reassessed at each reporting period and are recognised to the extent that it is probable that taxable profits will be available against which the deductible temporary differences and the carry forward of unused tax credits and unused tax losses can be utilised.</t>
  </si>
  <si>
    <t>The carrying amount of deferred income tax assets is reviewed at each reporting date and reduced to the extent that it is no longer probable that sufficient taxable profit will be available to allow all or part of the deferred income tax assets to be utilised.</t>
  </si>
  <si>
    <t>Deferred tax liabilities and assets are measured at the tax rates that are expected to apply in the period in which the liability is settled or the asset is realised, based on tax rates (and tax laws) that have been enacted or substantively enacted by the end of the reporting period. The carrying amount of deferred tax liabilities and assets are reviewed at the end of each reporting period.</t>
  </si>
  <si>
    <t>(j)</t>
  </si>
  <si>
    <t>Foreign currencies transactions and translation</t>
  </si>
  <si>
    <t>(n) Share Based Payments - Not found in our FS</t>
  </si>
  <si>
    <t>Transactions in foreign currencies are recorded at the exchange rate prevailing on the date of transaction. Monetary assets and liabilities denominated in foreign currencies are translated at the functional currency's closing rates of exchange at the reporting date.</t>
  </si>
  <si>
    <t>Exchange differences arising on settlement or translation of monetary items are recognised in Statement of Profit and Loss.</t>
  </si>
  <si>
    <t>Non-monetary items that are measured in terms of historical cost in a foreign currency are recorded using the exchange rates at the date of the transaction. Non-monetary items measured at fair value in a foreign currency are translated using the exchange rates at the date when the fair value was measured. The gain or loss arising on translation of non-monetary items measured at fair value is treated in line with the recognition of the gain or loss on the change in fair value of the item.</t>
  </si>
  <si>
    <t>(k)</t>
  </si>
  <si>
    <t>Revenue recognition</t>
  </si>
  <si>
    <t>Revenue from contracts with customers is recognised when control of the goods or services are transferred to the customer at an amount that reflects the consideration entitled in exchange for those goods or services.</t>
  </si>
  <si>
    <t>Revenue from contracts with customers includes sale of goods and services. Revenue from rendering of services includes advertisement revenue, subscription revenue, revenue from sale of content, facility and equipment rental, program revenue, revenue from sponsorship of events and revenue from media related professional and consultancy services. Revenue from rendering of services is recognised over time where the Company satisfies the performance obligation over time or point in time where the Company satisfies the performance obligation at a point in time.</t>
  </si>
  <si>
    <t>Generally, control is transferred upon shipment of goods to the customer or when the goods is made available to the customer, provided transfer of title to the customer occurs and the Company has not retained any significant risks of ownership or future obligations with respect to the goods shipped.</t>
  </si>
  <si>
    <t>Revenue is measured at the amount of consideration which the Company expects to be entitled to in exchange for transferring distinct goods or services to a customer as specified in the contract, net of returns and allowances, trade discounts and volume rebates and excluding amounts collected on behalf of third parties (for example taxes and duties collected on behalf of the government). Consideration is generally due upon satisfaction of performance obligations and the receivable is recognized when it becomes unconditional.</t>
  </si>
  <si>
    <t>Contract balances</t>
  </si>
  <si>
    <t>Trade receivables represents the Company’s right to an amount of consideration that is unconditional. Revenues in excess of invoicing are considered as contract assets and disclosed as accrued revenue.</t>
  </si>
  <si>
    <t>Invoicing in excess of revenues are considered as contract liabilities and disclosed as unearned revenues. When a customer pays consideration before the Company transfers goods or services to the customer, a contract liability is recognised and disclosed as advances from customers.</t>
  </si>
  <si>
    <t>Contract liabilities are recognised as revenue when the Company performs under the contract.</t>
  </si>
  <si>
    <t>Interest income</t>
  </si>
  <si>
    <t>Interest Income from Financial Assets is recognised using effective interest rate method.</t>
  </si>
  <si>
    <t>Dividend income</t>
  </si>
  <si>
    <t>Dividend Income is recognised when the Company’s right to receive the amount has been established.</t>
  </si>
  <si>
    <t>(l)</t>
  </si>
  <si>
    <t>Financial instruments</t>
  </si>
  <si>
    <t xml:space="preserve">A financial instrument is any contract that gives rise to a financial asset of one entity and a financial liability or an equity instrument of another entity. </t>
  </si>
  <si>
    <t>Initial recognition and measurement:</t>
  </si>
  <si>
    <t>All financial assets are initially recognised at fair value. However, trade receivables that do not contain a significant financing component are measured at transaction prices. Transaction costs that are directly attributable to the acquisition or issue of financial assets, which are not accounted at fair value through profit or loss, are adjusted to the fair value on initial recognition. Purchase and sale of financial assets are recognised using trade date accounting.</t>
  </si>
  <si>
    <t>Subsequent measurement:</t>
  </si>
  <si>
    <t xml:space="preserve">a) </t>
  </si>
  <si>
    <t>Financial assets measured at amortised cost</t>
  </si>
  <si>
    <t>A financial asset is subsequently measured at amortised cost if it is held within a business model whose objective is to hold the asset in order to collect contractual cash flows and the contractual terms of the financial asset give rise on specified dates to cash flows that are solely payments of principal and interest on the principal amount outstanding.</t>
  </si>
  <si>
    <t>The effective interest rate amortisation is included in other income in the Statement of Profit and Loss.</t>
  </si>
  <si>
    <t xml:space="preserve">b) </t>
  </si>
  <si>
    <t>Financial assets measured at fair value through other comprehensive income (FVTOCI)</t>
  </si>
  <si>
    <t>A financial asset is measured at fair value through other comprehensive income if it is held within a business model whose objective is achieved by both collecting contractual cash flows and selling financial assets and the contractual terms of the financial assets give rise on specified dates to cash flows that are solely payments of principal and interest on the principal amount outstanding.</t>
  </si>
  <si>
    <t xml:space="preserve">c) </t>
  </si>
  <si>
    <t>Financial assets measured at fair value through profit or loss (FVTPL)</t>
  </si>
  <si>
    <t>A financial asset which is not classified in any of the above categories are measured at fair value through profit or loss.</t>
  </si>
  <si>
    <t>C.</t>
  </si>
  <si>
    <t>Investment in subsidiaries, associates and joint ventures</t>
  </si>
  <si>
    <t>The Company accounts for its investments in subsidiaries, associates and joint venture at cost less impairment loss (if any).</t>
  </si>
  <si>
    <t>D.</t>
  </si>
  <si>
    <t>Other Equity investments:</t>
  </si>
  <si>
    <t>All other equity investments are measured at fair value, with value changes recognised in the Statement of Profit and Loss, except for those equity investments for which the Company has elected to present the value changes in ‘Other Comprehensive Income’. However, dividend on such equity investments are recognised in the Statement of Profit and loss when the Company’s right to receive the amount is established.</t>
  </si>
  <si>
    <t>E.</t>
  </si>
  <si>
    <t>Impairment of financial assets</t>
  </si>
  <si>
    <t>In accordance with Ind AS 109, the Company uses 'Expected Credit Loss' (ECL) model, for evaluating impairment of financial assets other than those measured at fair value through profit and loss (FVTPL).</t>
  </si>
  <si>
    <t>Expected credit losses are measured through a loss allowance at an amount equal to:</t>
  </si>
  <si>
    <t>a)</t>
  </si>
  <si>
    <t>The 12-months expected credit losses (expected credit losses that result from those default events on the financial instrument that are possible within 12 months after the reporting date); or</t>
  </si>
  <si>
    <t>b)</t>
  </si>
  <si>
    <t>Full lifetime expected credit losses (expected credit losses that result from all possible default events over the life of the financial instrument)</t>
  </si>
  <si>
    <t>For trade receivables, the Company applies 'simplified approach' which requires expected lifetime losses to be recognised from initial recognition of the receivables. Further, the Company uses historical default rates to determine impairment loss on the portfolio of the trade receivables. At every reporting date, these historical default rates are reviewed and changes in the forward looking estimates are analysed.</t>
  </si>
  <si>
    <t>For other assets, the Company uses 12 months ECL to provide for impairment loss where there is no significant increase in credit risk. If there is significant increase in credit risk full lifetime ECL is used. ECL impairment allowance is recognised in the Statement of Profit and Loss.</t>
  </si>
  <si>
    <t>All financial liabilities are recognized initially at fair value and in case of borrowings, net of directly attributable cost. Fees of recurring nature are directly recognised in the Statement of Profit and Loss as finance cost.</t>
  </si>
  <si>
    <t>Financial liabilities are carried at amortised cost using the effective interest method. For trade and other payables maturing within one year from the Balance Sheet date, the carrying amounts approximate fair value due to the short maturity of these instruments.</t>
  </si>
  <si>
    <t>(iii)</t>
  </si>
  <si>
    <t>Derivative financial instruments</t>
  </si>
  <si>
    <t>The Company uses derivative financial instruments such as forwards, currency swaps and options to mitigate the risk of changes in exchange rates. Such derivative financial instrument are initially recognised at fair value on the date on which a derivative contract is entered into and are also subsequently measured at fair value. Derivatives are carried as Financial Assets when the fair value is positive and as Financial Liabilities when the fair value is negative. Any gains or losses arising from changes in the fair value of derivatives are taken to Statement of Profit and Loss.</t>
  </si>
  <si>
    <t>(iv)</t>
  </si>
  <si>
    <t>Derecognition of financial instruments</t>
  </si>
  <si>
    <t>The Company derecognizes a financial asset when the contractual rights to the cash flows from the financial asset expire or it transfers the financial asset and the transfer qualifies for derecognition under Ind AS 109. A financial liability (or a part of a financial liability) is derecognized from the Company’s Balance Sheet when the obligation specified in the contract is discharged or cancelled or expires.</t>
  </si>
  <si>
    <t>(v)</t>
  </si>
  <si>
    <t>Offsetting</t>
  </si>
  <si>
    <t>Financial assets and financial liabilities are offset and the net amount is presented in the balance sheet when, and only when, the Company has a legally enforceable right to set off the amount and it intends, either to settle them on a net basis or to realise the asset and settle the liability simultaneously.</t>
  </si>
  <si>
    <t>(m)</t>
  </si>
  <si>
    <t>Cash and cash equivalents</t>
  </si>
  <si>
    <r>
      <t>Cash and cash equivalents comprise of cash on hand</t>
    </r>
    <r>
      <rPr>
        <sz val="10"/>
        <rFont val="Arial"/>
        <family val="2"/>
      </rPr>
      <t>, cash at banks, short-term deposits and short-term, highly liquid investments that are readily convertible to known amounts of cash and which are subject to an insignificant risk of changes in value.</t>
    </r>
  </si>
  <si>
    <t>(n)</t>
  </si>
  <si>
    <t>Earnings per share</t>
  </si>
  <si>
    <t>Basic earnings per share is calculated by dividing the net profit after tax by the weighted average number of equity shares outstanding during the year adjusted for bonus element in equity share. Diluted earnings per share adjusts the figures used in determination of basic earnings per share to take into account the conversion of all dilutive potential equity shares. Dilutive potential equity shares are deemed converted as at the beginning of the period unless issued at a later date.</t>
  </si>
  <si>
    <t>STANDARD ISSUED BUT NOT EFFECTIVE:</t>
  </si>
  <si>
    <t>On 31st March, 2023, the Ministry of Corporate Affairs (MCA) has notified Companies (Indian Accounting Standards) Amendment Rules, 2023. This notification has resulted into amendments in the following existing accounting standards which are applicable to company from 1st April, 2023.</t>
  </si>
  <si>
    <t>i.</t>
  </si>
  <si>
    <t xml:space="preserve">Ind AS 101 – First-time Adoption of Indian Accounting Standards </t>
  </si>
  <si>
    <t>ii.</t>
  </si>
  <si>
    <t>Ind AS 102 – Share-based Payment</t>
  </si>
  <si>
    <t>iii.</t>
  </si>
  <si>
    <t xml:space="preserve">Ind AS 103 – Business Combinations </t>
  </si>
  <si>
    <t>iv.</t>
  </si>
  <si>
    <t xml:space="preserve">Ind AS 107 – Financial Instruments Disclosures </t>
  </si>
  <si>
    <t>v.</t>
  </si>
  <si>
    <t xml:space="preserve">Ind AS 109 – Financial Instruments </t>
  </si>
  <si>
    <t>vi.</t>
  </si>
  <si>
    <t>Ind AS 115 – Revenue from Contracts with Customers</t>
  </si>
  <si>
    <t>vii.</t>
  </si>
  <si>
    <t>Ind AS 1 – Presentation of Financial Statements</t>
  </si>
  <si>
    <t>viii.</t>
  </si>
  <si>
    <t>Ind AS 8 - Accounting Policies, Changes in Accounting Estimates and Errors</t>
  </si>
  <si>
    <t>ix.</t>
  </si>
  <si>
    <t>Ind AS 12 – Income Taxes</t>
  </si>
  <si>
    <t>x.</t>
  </si>
  <si>
    <t xml:space="preserve">Ind AS 34 - Interim Financial Reporting </t>
  </si>
  <si>
    <t>Application of above standards are not expected to have any significant impact on the company’s financial statements.</t>
  </si>
  <si>
    <t>CRITICAL ACCOUNTING JUDGEMENTS AND KEY SOURCES OF ESTIMATION UNCERTAINTY:</t>
  </si>
  <si>
    <t>The preparation of the Company’s standalone financial statements requires management to make judgements, estimates and assumptions that affect the reported amount of revenue, expenses, assets and liabilities and the accompanying disclosures. Uncertainty about these judgements, estimates and assumptions could result in outcomes that require a material adjustment to the carrying amount of assets or liabilities affected in future periods.</t>
  </si>
  <si>
    <t>Depreciation/ Amortisation and useful lives of Property, Plant and Equipment and Other Intangible Assets:</t>
  </si>
  <si>
    <t>Property, Plant and Equipment/ Other Intangible Assets are depreciated/ amortised over their estimated useful lives, after taking into account their estimated residual value. Management reviews the estimated useful lives and residual values of the assets annually in order to determine the amount of depreciation/ amortisation to be recorded during any reporting period. The useful lives and residual values are based on the Company’s historical experience with similar assets and take into account anticipated technological changes. The depreciation/ amortisation for future periods is adjusted if there are significant changes from previous estimates.</t>
  </si>
  <si>
    <t>Determining the lease term</t>
  </si>
  <si>
    <t>The Company determines the lease term as the non-cancellable term of the lease, together with any periods covered by an option to extend the lease if it is reasonably certain to be exercised, or any periods covered by an option to terminate the lease, if it is reasonably certain not to be exercised. It considers all relevant factors that create an economic incentive for it to exercise either the renewal or termination.</t>
  </si>
  <si>
    <t>(c)</t>
  </si>
  <si>
    <t>Recoverability of trade receivables:</t>
  </si>
  <si>
    <t>Judgements are required in assessing the recoverability of overdue trade receivables and determining whether a provision against those receivables is required. Factors considered include the credit rating of the counterparty, the amount and timing of anticipated future payments and any possible actions that can be taken to mitigate the risk of non-payment.</t>
  </si>
  <si>
    <t>Provisions:</t>
  </si>
  <si>
    <t>Provisions and liabilities are recognized in the period when it becomes probable that there will be a future outflow of funds resulting from past operations or events and the amount of cash outflow can be reliably estimated. The timing of recognition and quantification of the liability require the application of judgement to existing facts and circumstances, which can be subject to change. The carrying amounts of provisions and liabilities are reviewed regularly and adjusted to take account of changing facts and circumstances.</t>
  </si>
  <si>
    <t>Impairment of non-financial assets:</t>
  </si>
  <si>
    <r>
      <t xml:space="preserve">The Company assesses at each reporting date whether there is an indication that an asset may be impaired. Goodwill is allocated to cash–generating units ('CGU') for the purposes of impairment testing. A CGU to which goodwill has been allocated is tested for impairment annually, or more frequently when there is an indication that the unit may be impaired. If any indication exists, or when annual impairment testing for an asset is required, the Company estimates the asset’s recoverable amount. An asset’s recoverable amount is the higher of an asset’s or CGU’s fair value less costs of disposal and its value in use; considering recent transaction </t>
    </r>
    <r>
      <rPr>
        <sz val="10"/>
        <color rgb="FF0070C0"/>
        <rFont val="Arial"/>
        <family val="2"/>
      </rPr>
      <t>or</t>
    </r>
    <r>
      <rPr>
        <sz val="10"/>
        <rFont val="Arial"/>
        <family val="2"/>
      </rPr>
      <t xml:space="preserve"> independent valuer’s report. It is determined for an individual asset, unless the asset does not generate cash inflows that are largely independent of those from other assets or a groups of assets. Where the carrying amount of an asset or CGU exceeds its recoverable amount, the asset is considered impaired and is written down to its recoverable amount.</t>
    </r>
  </si>
  <si>
    <t>In assessing value in use, the estimated future cash flows covering generally a period of five years are discounted to their present value using pre-tax discount rate that reflects current market assessments of the time value of money and the risks specific to the asset. Estimated future cash flows involve judgement and estimates relating to revenue growth rates, net profit margin and perpetual growth rates. In determining fair value less costs of disposal, recent market transaction are taken into account, if no such transactions can be identified, an appropriate valuation model is used.</t>
  </si>
  <si>
    <t>Impairment of financial assets:</t>
  </si>
  <si>
    <r>
      <t>The impairment provisions for financial assets depending on their classification are based on assumptions about risk of default, expected cash loss rates, discounting rates applied to these forecasted future cash flows, revenue multiples, EBITDA multiples, recent transactions,</t>
    </r>
    <r>
      <rPr>
        <sz val="10"/>
        <rFont val="Arial"/>
        <family val="2"/>
      </rPr>
      <t xml:space="preserve"> independent valuer's report and reorganisation of businesses. The Company uses judgement in making these assumptions and selecting the inputs to the impairment calculation, based on Company’s past history, existing market conditions as well as forward looking estimates at the end of each reporting period.</t>
    </r>
  </si>
  <si>
    <t>Defined benefit plans:</t>
  </si>
  <si>
    <t>The employment benefit obligations depends on a number of factors that are determined on an actuarial basis using a number of assumptions. The assumptions used in determining the net cost/ income include the discount rate, salary escalation and mortality assumptions. Any changes in these assumptions will impact upon the carrying amount of employment benefit obligations.</t>
  </si>
  <si>
    <t>Deferred tax</t>
  </si>
  <si>
    <t>Deferred income tax assets are reassessed at each reporting period and are recognised to the extent that it is probable that taxable profits will be available against which the deductible temporary differences and the carry forward of unused tax credits and unused tax losses can be utilised. The Company uses judgement to determine the amount of deferred tax assets that can be recognised, based upon the likely timing and the level of future taxable profits and business developments.</t>
  </si>
  <si>
    <t>Fair value measurement</t>
  </si>
  <si>
    <t>For estimates relating to fair value of financial instruments Refer Note 40.</t>
  </si>
  <si>
    <t>STANDARD/ AMMENDMENTS ISSUED:</t>
  </si>
  <si>
    <t>Effective during the year</t>
  </si>
  <si>
    <t>Application of the following amendment did not have any impact on the standalone financial statements of the Company.</t>
  </si>
  <si>
    <t>i)</t>
  </si>
  <si>
    <t>ii)</t>
  </si>
  <si>
    <t>Furniture and Fixtures</t>
  </si>
  <si>
    <t>Vehicles</t>
  </si>
  <si>
    <t>Computers</t>
  </si>
  <si>
    <t>Electrical Fittings</t>
  </si>
  <si>
    <t>Medical Equipments</t>
  </si>
  <si>
    <t>Leasehold Improvements</t>
  </si>
  <si>
    <t>Buildings</t>
  </si>
  <si>
    <t>Office Equipments</t>
  </si>
  <si>
    <t>I. Gross carrying value</t>
  </si>
  <si>
    <t>C12111010</t>
  </si>
  <si>
    <t>C12111020</t>
  </si>
  <si>
    <t>C12111030</t>
  </si>
  <si>
    <t>C12111040</t>
  </si>
  <si>
    <t>C12111050</t>
  </si>
  <si>
    <t>C12111060</t>
  </si>
  <si>
    <t>C12111070</t>
  </si>
  <si>
    <t>C12111080</t>
  </si>
  <si>
    <t>C12111000</t>
  </si>
  <si>
    <t>Additions</t>
  </si>
  <si>
    <t>N104111001</t>
  </si>
  <si>
    <t>N104111002</t>
  </si>
  <si>
    <t>N104111003</t>
  </si>
  <si>
    <t>N104111004</t>
  </si>
  <si>
    <t>N104111005</t>
  </si>
  <si>
    <t>N104111006</t>
  </si>
  <si>
    <t>N104111007</t>
  </si>
  <si>
    <t>N104111008</t>
  </si>
  <si>
    <t>Acquisitions through business combinations</t>
  </si>
  <si>
    <t>N104112001</t>
  </si>
  <si>
    <t>N104112002</t>
  </si>
  <si>
    <t>N104112003</t>
  </si>
  <si>
    <t>N104112004</t>
  </si>
  <si>
    <t>N104112005</t>
  </si>
  <si>
    <t>N104112006</t>
  </si>
  <si>
    <t>N104112007</t>
  </si>
  <si>
    <t>N104112008</t>
  </si>
  <si>
    <t>Adjustments during the year</t>
  </si>
  <si>
    <t>N104113001</t>
  </si>
  <si>
    <t>N104113002</t>
  </si>
  <si>
    <t>N104113003</t>
  </si>
  <si>
    <t>N104113004</t>
  </si>
  <si>
    <t>N104113005</t>
  </si>
  <si>
    <t>N104113006</t>
  </si>
  <si>
    <t>N104113007</t>
  </si>
  <si>
    <t>N104113008</t>
  </si>
  <si>
    <t>Disposals / Deletions during the year</t>
  </si>
  <si>
    <t>N104114001</t>
  </si>
  <si>
    <t>N104114002</t>
  </si>
  <si>
    <t>N104114003</t>
  </si>
  <si>
    <t>N104114004</t>
  </si>
  <si>
    <t>N104114005</t>
  </si>
  <si>
    <t>N104114006</t>
  </si>
  <si>
    <t>N104114007</t>
  </si>
  <si>
    <t>N104114008</t>
  </si>
  <si>
    <t>Foreign Currency Translation Adjustment</t>
  </si>
  <si>
    <t xml:space="preserve">II.  Accumulated depreciation and impairment </t>
  </si>
  <si>
    <t>C12112010</t>
  </si>
  <si>
    <t>C12112020</t>
  </si>
  <si>
    <t>C12112030</t>
  </si>
  <si>
    <t>C12112040</t>
  </si>
  <si>
    <t>C12112050</t>
  </si>
  <si>
    <t>C12112060</t>
  </si>
  <si>
    <t>C12112070</t>
  </si>
  <si>
    <t>C12112080</t>
  </si>
  <si>
    <t>C12112000</t>
  </si>
  <si>
    <t>Charge for the year</t>
  </si>
  <si>
    <t>N104121001</t>
  </si>
  <si>
    <t>N104121002</t>
  </si>
  <si>
    <t>N104121003</t>
  </si>
  <si>
    <t>N104121004</t>
  </si>
  <si>
    <t>N104121005</t>
  </si>
  <si>
    <t>N104121006</t>
  </si>
  <si>
    <t>N104121007</t>
  </si>
  <si>
    <t>N104121008</t>
  </si>
  <si>
    <t>N104122001</t>
  </si>
  <si>
    <t>N104122002</t>
  </si>
  <si>
    <t>N104122003</t>
  </si>
  <si>
    <t>N104122004</t>
  </si>
  <si>
    <t>N104122005</t>
  </si>
  <si>
    <t>N104122006</t>
  </si>
  <si>
    <t>N104122007</t>
  </si>
  <si>
    <t>N104122008</t>
  </si>
  <si>
    <t>N104123001</t>
  </si>
  <si>
    <t>N104123002</t>
  </si>
  <si>
    <t>N104123003</t>
  </si>
  <si>
    <t>N104123004</t>
  </si>
  <si>
    <t>N104123005</t>
  </si>
  <si>
    <t>N104123006</t>
  </si>
  <si>
    <t>N104123007</t>
  </si>
  <si>
    <t>N104123008</t>
  </si>
  <si>
    <t>N104124001</t>
  </si>
  <si>
    <t>N104124002</t>
  </si>
  <si>
    <t>N104124003</t>
  </si>
  <si>
    <t>N104124004</t>
  </si>
  <si>
    <t>N104124005</t>
  </si>
  <si>
    <t>N104124006</t>
  </si>
  <si>
    <t>N104124007</t>
  </si>
  <si>
    <t>N104124008</t>
  </si>
  <si>
    <t>In accordance with the requirements of Ind AS 16, the management has assessed the method of depreciation for PPE followed by the entity at the year end. Based on the evaluation, management has evaluated that the straight-line method of depreciation more appropriately reflects the pattern of consumption and future economic benefits associated with the PPE. Accordingly, the management has changed the depreciation method from WDV to SLM with effect from 1st April 2022. The impact of the same has been quantified by the management which aggregates to Rs. 24.90 Crores  (depreciation is lower) and the same has been appropriately disclosed in the financial results and financial statements.</t>
  </si>
  <si>
    <t>AHCL Consol</t>
  </si>
  <si>
    <t>During the period ended 31st March 2023, the Company has changed its method of depreciation from its existing method of written down value for certain categories of assets to straight line method taking into account its reassessment of the expected pattern of economic benefits from those assets. Had the Company continued its previous method of written down value for these assets, depreciation expense for the year ended 31st March 2023 would have been higher by Rs. 19.32 crores.</t>
  </si>
  <si>
    <t>In accordance with the requirements of Ind AS 16, the management has assessed the method of depreciation for PPE followed by the entity at the year end. Hitherto, the Company was following written down value method of depreciation for all assets. Effective April 1, 2022, the Company has changed the method of computing the depreciation for these assets to straight line method based on technical assessment, to more appropriately reflect the pattern of consumption and future economic benefits associated with the PPE. Consequently, the depreciation amount of Rs. 0.37 crores is reversed during the current year in respect of the same.
The Company has also re-assessed its useful lives based on inputs from its technical team and confirmed that the existing useful lives remain appropriate taking into all relevant factors impacting the life of such assets.</t>
  </si>
  <si>
    <t>In accordance with the requirements of IAS 16, the management has assessed the method of depreciation for PPE followed by the entity at the year end. Based on the evaluation, management has evaluated that the straight-line method of depreciation more appropriately reflects the pattern of consumption and future economic benefits associated with the PPE. Accordingly, the management has changed the depreciation method from WDV to SLM with effect from 1st April 2022.</t>
  </si>
  <si>
    <t>Check points</t>
  </si>
  <si>
    <t>Gross Block</t>
  </si>
  <si>
    <t>Accumulated Depreciation</t>
  </si>
  <si>
    <t>Leasehold land</t>
  </si>
  <si>
    <t>C12131010</t>
  </si>
  <si>
    <t>C12131020</t>
  </si>
  <si>
    <t>C12131030</t>
  </si>
  <si>
    <t>C12131000</t>
  </si>
  <si>
    <t>N104211001</t>
  </si>
  <si>
    <t>N104211002</t>
  </si>
  <si>
    <t>N104211003</t>
  </si>
  <si>
    <t>Additions through business Combinations</t>
  </si>
  <si>
    <t>N104212001</t>
  </si>
  <si>
    <t>N104212002</t>
  </si>
  <si>
    <t>N104212003</t>
  </si>
  <si>
    <t>Disposals / Adjustments during the year</t>
  </si>
  <si>
    <t>N104213001</t>
  </si>
  <si>
    <t>N104213002</t>
  </si>
  <si>
    <t>N104213003</t>
  </si>
  <si>
    <t>Nigeria closed branch</t>
  </si>
  <si>
    <t>N104214001</t>
  </si>
  <si>
    <t>N104214002</t>
  </si>
  <si>
    <t>N104214003</t>
  </si>
  <si>
    <t>C12132010</t>
  </si>
  <si>
    <t>C12132020</t>
  </si>
  <si>
    <t>C12132030</t>
  </si>
  <si>
    <t>C12132000</t>
  </si>
  <si>
    <t>N104221001</t>
  </si>
  <si>
    <t>N104221002</t>
  </si>
  <si>
    <t>N104221003</t>
  </si>
  <si>
    <t xml:space="preserve">Acquisitions through business combinations </t>
  </si>
  <si>
    <t>N104222001</t>
  </si>
  <si>
    <t>N104222002</t>
  </si>
  <si>
    <t>N104222003</t>
  </si>
  <si>
    <t>Transferred to CWIP</t>
  </si>
  <si>
    <t>N104223001</t>
  </si>
  <si>
    <t>N104223002</t>
  </si>
  <si>
    <t>N104223003</t>
  </si>
  <si>
    <t>N104224001</t>
  </si>
  <si>
    <t>N104224002</t>
  </si>
  <si>
    <t>N104224003</t>
  </si>
  <si>
    <t>N104225001</t>
  </si>
  <si>
    <t>N104225002</t>
  </si>
  <si>
    <t>N104225003</t>
  </si>
  <si>
    <t>Capital Work-in-Progress</t>
  </si>
  <si>
    <t>Amount in CWIP for a period of</t>
  </si>
  <si>
    <t>Projects in progress</t>
  </si>
  <si>
    <t>Less than 1 year</t>
  </si>
  <si>
    <t>N104411001</t>
  </si>
  <si>
    <t>1 - 2 year</t>
  </si>
  <si>
    <t>N104411002</t>
  </si>
  <si>
    <t>2 - 3 year</t>
  </si>
  <si>
    <t>N104411004</t>
  </si>
  <si>
    <t>More than 3 year</t>
  </si>
  <si>
    <t>N104411003</t>
  </si>
  <si>
    <t>Projects temporarily suspended</t>
  </si>
  <si>
    <t>N104412001</t>
  </si>
  <si>
    <t>N104412002</t>
  </si>
  <si>
    <t>N104412004</t>
  </si>
  <si>
    <t>N104412003</t>
  </si>
  <si>
    <t>N104421001</t>
  </si>
  <si>
    <t>N104421002</t>
  </si>
  <si>
    <t>N104421004</t>
  </si>
  <si>
    <t>N104421003</t>
  </si>
  <si>
    <t>N104422001</t>
  </si>
  <si>
    <t>N104422002</t>
  </si>
  <si>
    <t>N104422004</t>
  </si>
  <si>
    <t>N104422003</t>
  </si>
  <si>
    <t>Check Point</t>
  </si>
  <si>
    <t>Description of Assets</t>
  </si>
  <si>
    <t>Goodwill on consolidation</t>
  </si>
  <si>
    <t>Subtotal - Goodwill (A)</t>
  </si>
  <si>
    <t>Trademarks</t>
  </si>
  <si>
    <t>Computer Software</t>
  </si>
  <si>
    <t>Customer Relationship</t>
  </si>
  <si>
    <t>Non Compete Agreement</t>
  </si>
  <si>
    <t>Subtotal - Other Intangibles (B)</t>
  </si>
  <si>
    <t>C12152010</t>
  </si>
  <si>
    <t>C12152020</t>
  </si>
  <si>
    <t>C12152000</t>
  </si>
  <si>
    <t>C12121030</t>
  </si>
  <si>
    <t>C12121010</t>
  </si>
  <si>
    <t>C12121040</t>
  </si>
  <si>
    <t>C12121020</t>
  </si>
  <si>
    <t>C12121000</t>
  </si>
  <si>
    <t>Adjustments on account of merger</t>
  </si>
  <si>
    <t>N104311001</t>
  </si>
  <si>
    <t>N104311002</t>
  </si>
  <si>
    <t>N104311003</t>
  </si>
  <si>
    <t>N104311004</t>
  </si>
  <si>
    <t>N104311005</t>
  </si>
  <si>
    <t>N104311006</t>
  </si>
  <si>
    <t>Restated Balance as at 1 April 2021</t>
  </si>
  <si>
    <t>N104312001</t>
  </si>
  <si>
    <t>N104312002</t>
  </si>
  <si>
    <t>N104312003</t>
  </si>
  <si>
    <t>N104312004</t>
  </si>
  <si>
    <t>N104312005</t>
  </si>
  <si>
    <t>N104312006</t>
  </si>
  <si>
    <t>Additions through business combination</t>
  </si>
  <si>
    <t>N104313001</t>
  </si>
  <si>
    <t>N104313002</t>
  </si>
  <si>
    <t>N104313003</t>
  </si>
  <si>
    <t>N104313004</t>
  </si>
  <si>
    <t>N104313005</t>
  </si>
  <si>
    <t>N104313006</t>
  </si>
  <si>
    <t>N104314001</t>
  </si>
  <si>
    <t>N104314002</t>
  </si>
  <si>
    <t>N104314003</t>
  </si>
  <si>
    <t>N104314004</t>
  </si>
  <si>
    <t>N104314005</t>
  </si>
  <si>
    <t>N104314006</t>
  </si>
  <si>
    <t>Nigeria Closed branch</t>
  </si>
  <si>
    <t>N104315001</t>
  </si>
  <si>
    <t>N104315002</t>
  </si>
  <si>
    <t>N104315003</t>
  </si>
  <si>
    <t>N104315004</t>
  </si>
  <si>
    <t>N104315005</t>
  </si>
  <si>
    <t>N104315006</t>
  </si>
  <si>
    <t xml:space="preserve">Adjustments </t>
  </si>
  <si>
    <t>N104316001</t>
  </si>
  <si>
    <t>N104316002</t>
  </si>
  <si>
    <t>N104316003</t>
  </si>
  <si>
    <t>N104316004</t>
  </si>
  <si>
    <t>N104316005</t>
  </si>
  <si>
    <t>N104316006</t>
  </si>
  <si>
    <t>Restated Balance as at 1  April 2022</t>
  </si>
  <si>
    <t>Other Adjustments</t>
  </si>
  <si>
    <t xml:space="preserve">II.  Accumulated amortization and impairment </t>
  </si>
  <si>
    <t>C12151010</t>
  </si>
  <si>
    <t>C12151020</t>
  </si>
  <si>
    <t>C12151000</t>
  </si>
  <si>
    <t>C12122030</t>
  </si>
  <si>
    <t>C12122010</t>
  </si>
  <si>
    <t>C12122040</t>
  </si>
  <si>
    <t>C12122020</t>
  </si>
  <si>
    <t>C12122000</t>
  </si>
  <si>
    <t>Amortization charge for the year</t>
  </si>
  <si>
    <t>N104321001</t>
  </si>
  <si>
    <t>N104321002</t>
  </si>
  <si>
    <t>N104321003</t>
  </si>
  <si>
    <t>N104321004</t>
  </si>
  <si>
    <t>N104321005</t>
  </si>
  <si>
    <t>N104321006</t>
  </si>
  <si>
    <t>N104322001</t>
  </si>
  <si>
    <t>N104322002</t>
  </si>
  <si>
    <t>N104322003</t>
  </si>
  <si>
    <t>N104322004</t>
  </si>
  <si>
    <t>N104322005</t>
  </si>
  <si>
    <t>N104322006</t>
  </si>
  <si>
    <t>N104323001</t>
  </si>
  <si>
    <t>N104323002</t>
  </si>
  <si>
    <t>N104323003</t>
  </si>
  <si>
    <t>N104323004</t>
  </si>
  <si>
    <t>N104323005</t>
  </si>
  <si>
    <t>N104323006</t>
  </si>
  <si>
    <t>N104324001</t>
  </si>
  <si>
    <t>N104324002</t>
  </si>
  <si>
    <t>N104324003</t>
  </si>
  <si>
    <t>N104324004</t>
  </si>
  <si>
    <t>N104324005</t>
  </si>
  <si>
    <t>N104324006</t>
  </si>
  <si>
    <t>N104325001</t>
  </si>
  <si>
    <t>N104325002</t>
  </si>
  <si>
    <t>N104325003</t>
  </si>
  <si>
    <t>N104325004</t>
  </si>
  <si>
    <t>N104325005</t>
  </si>
  <si>
    <t>N104325006</t>
  </si>
  <si>
    <t>N104326001</t>
  </si>
  <si>
    <t>N104326002</t>
  </si>
  <si>
    <t>N104326003</t>
  </si>
  <si>
    <t>N104326004</t>
  </si>
  <si>
    <t>N104326005</t>
  </si>
  <si>
    <t>N104326006</t>
  </si>
  <si>
    <t>Impairment loss for the year</t>
  </si>
  <si>
    <t>Intangible assets under development</t>
  </si>
  <si>
    <t>N01025</t>
  </si>
  <si>
    <t>To be completed in</t>
  </si>
  <si>
    <t>Project 1</t>
  </si>
  <si>
    <t>N01026</t>
  </si>
  <si>
    <t>Project 2</t>
  </si>
  <si>
    <t>N01027</t>
  </si>
  <si>
    <t>Project 3</t>
  </si>
  <si>
    <t>N01028</t>
  </si>
  <si>
    <t>Investments in subsidiaries</t>
  </si>
  <si>
    <t>C12210500</t>
  </si>
  <si>
    <t>Total Non-Current Investments</t>
  </si>
  <si>
    <t>AHCL standalone</t>
  </si>
  <si>
    <t>Loans and advances to related parties</t>
  </si>
  <si>
    <t xml:space="preserve">   - Considered good and recoverable</t>
  </si>
  <si>
    <t>C12250100</t>
  </si>
  <si>
    <t xml:space="preserve">   - Considered doubtful</t>
  </si>
  <si>
    <t>Less:Provision for doubtful loans and advances</t>
  </si>
  <si>
    <t>C12250200</t>
  </si>
  <si>
    <t>Notes:</t>
  </si>
  <si>
    <t>AHCL Standalone</t>
  </si>
  <si>
    <t>Non-Current</t>
  </si>
  <si>
    <t>Due from private company in which director of the Company is a director in the private company</t>
  </si>
  <si>
    <t>(Non-currrent,at amortized cost)</t>
  </si>
  <si>
    <t xml:space="preserve"> </t>
  </si>
  <si>
    <t>Security Deposits</t>
  </si>
  <si>
    <t>C12290100</t>
  </si>
  <si>
    <t>Rental Deposits</t>
  </si>
  <si>
    <t>Related Party - Rental Deposits</t>
  </si>
  <si>
    <t>C12290220</t>
  </si>
  <si>
    <t>Others - Rental Deposits</t>
  </si>
  <si>
    <t>C12290210</t>
  </si>
  <si>
    <t>As at 31st March 2023</t>
  </si>
  <si>
    <t>As at 31st March 2022</t>
  </si>
  <si>
    <t>Other Income tax receivables</t>
  </si>
  <si>
    <t>C12700100</t>
  </si>
  <si>
    <t>TCS receivables</t>
  </si>
  <si>
    <t>C12700200</t>
  </si>
  <si>
    <t>TDS receivables</t>
  </si>
  <si>
    <t>C12700300</t>
  </si>
  <si>
    <t>Advance tax</t>
  </si>
  <si>
    <t>C12700400</t>
  </si>
  <si>
    <t>Less: Provision for Tax</t>
  </si>
  <si>
    <t>C12700500</t>
  </si>
  <si>
    <t>(i) Current Tax:</t>
  </si>
  <si>
    <t>- in respect of current year</t>
  </si>
  <si>
    <t>- in respect of prior years</t>
  </si>
  <si>
    <t>Total (A)</t>
  </si>
  <si>
    <t>(ii) Deferred Tax:</t>
  </si>
  <si>
    <t>Total (B)</t>
  </si>
  <si>
    <t>Total income tax expense recognized in profit and loss account (A+B)</t>
  </si>
  <si>
    <t>Deferred tax related to items recognized in other comprehensive income during the year:</t>
  </si>
  <si>
    <t>- Remeasurement of defined benefit obligations</t>
  </si>
  <si>
    <t>N01030</t>
  </si>
  <si>
    <t>- FVTOCI Financial Assets</t>
  </si>
  <si>
    <t>Classification of income tax recognized in other comprehensive income</t>
  </si>
  <si>
    <t>- Income taxes related to items that will be reclassified to profit or loss</t>
  </si>
  <si>
    <t>N01031</t>
  </si>
  <si>
    <t>- Income taxes related to items that will not be reclassified to profit or loss</t>
  </si>
  <si>
    <t>Profit / (Loss) before tax after exceptional items</t>
  </si>
  <si>
    <t>Income Tax using the tax rate of entities consolidated (Refer Note (i)  below)</t>
  </si>
  <si>
    <t>Tax Effect of :</t>
  </si>
  <si>
    <t>-  Recognition of deferred tax asset on account of brought forward business losses and depreciation</t>
  </si>
  <si>
    <t>N01032</t>
  </si>
  <si>
    <t>-  adjustment on account of brought forward losses and depreciation</t>
  </si>
  <si>
    <t xml:space="preserve"> - Deferred Tax Credit not recognized till FY 22 and recognised in current year</t>
  </si>
  <si>
    <t xml:space="preserve"> -  Effect of expenses that are non-deductible in determining taxable profit</t>
  </si>
  <si>
    <t xml:space="preserve"> -  Deferred tax not recognised</t>
  </si>
  <si>
    <t xml:space="preserve"> -  Unrecognised deferred tax changes</t>
  </si>
  <si>
    <t xml:space="preserve"> - Others</t>
  </si>
  <si>
    <t>Tax expense recognized in statement of profit or loss from continuing operations</t>
  </si>
  <si>
    <t>Consolidated</t>
  </si>
  <si>
    <t>MUR-Con INR</t>
  </si>
  <si>
    <t>Components of Deferred Tax:</t>
  </si>
  <si>
    <t>Deferred Tax Assets</t>
  </si>
  <si>
    <t>Deferred Tax Liabilities</t>
  </si>
  <si>
    <t>Net Deferred Tax Assets/ (Liabilities)</t>
  </si>
  <si>
    <t>Check of Difference as per Grouping ID and Deferred Tax Note Total</t>
  </si>
  <si>
    <t>Charge/(Credit) recognized in</t>
  </si>
  <si>
    <t>Statement of Profit and Loss</t>
  </si>
  <si>
    <t>Other Comprehensive Income</t>
  </si>
  <si>
    <t>Foreign Currency Translation adjustment</t>
  </si>
  <si>
    <t>Tax effect of items constituting deferred tax assets / (deferred tax liabilities) :</t>
  </si>
  <si>
    <t>Property, Plant and Equipment and Intangible Assets</t>
  </si>
  <si>
    <t>N105101001</t>
  </si>
  <si>
    <t>N105101003</t>
  </si>
  <si>
    <t>N105101006</t>
  </si>
  <si>
    <t xml:space="preserve">Lease assets net of lease liabilities  </t>
  </si>
  <si>
    <t>N105101008</t>
  </si>
  <si>
    <t>Unrealised exchange differences</t>
  </si>
  <si>
    <t>N105101007</t>
  </si>
  <si>
    <t>Brought Forward Loss and Unabsorbed Depreciation</t>
  </si>
  <si>
    <t>N105101004</t>
  </si>
  <si>
    <t>Financial assets at fair value through profit &amp; loss</t>
  </si>
  <si>
    <t>N105101002</t>
  </si>
  <si>
    <t>Other items</t>
  </si>
  <si>
    <t>N105101009</t>
  </si>
  <si>
    <t>MAT Credit</t>
  </si>
  <si>
    <t>N105101005</t>
  </si>
  <si>
    <t>Less: Valuation Allowance</t>
  </si>
  <si>
    <t>N105101010</t>
  </si>
  <si>
    <t>The Company has recognized Deferred tax asset of INR 39.86 Crores in the books as there is reasonable certainity of earning future taxable profits based on the annual analysis of future projections of taxable income of the Company as at 31 March 2023 .</t>
  </si>
  <si>
    <t>Consolidation</t>
  </si>
  <si>
    <t>The Company has taxable profits during the year and basis the projections and performance of the Company there is reasonable certainty with convincing evidence of utilizing all the brought forward losses/depreciation in next 2 years. Considering the same, the Company had recognized Deferred Tax Asset during the year amounting to Rs. 39.00 crores (net).</t>
  </si>
  <si>
    <t>(Unsecured and Considered Good)</t>
  </si>
  <si>
    <t>Capital Advances</t>
  </si>
  <si>
    <t>C12900100</t>
  </si>
  <si>
    <t>Prepaid expenses</t>
  </si>
  <si>
    <t>C12900200</t>
  </si>
  <si>
    <t>Advances to employees</t>
  </si>
  <si>
    <t>C12900300</t>
  </si>
  <si>
    <t>Traded Goods</t>
  </si>
  <si>
    <t>Opticals</t>
  </si>
  <si>
    <t>C11300110</t>
  </si>
  <si>
    <t>Pharmaceutical Products</t>
  </si>
  <si>
    <t>C11300120</t>
  </si>
  <si>
    <t>Contact Lens and Accessories</t>
  </si>
  <si>
    <t>C11300130</t>
  </si>
  <si>
    <t>Raw materials and Components</t>
  </si>
  <si>
    <t>C11300200</t>
  </si>
  <si>
    <t>Consumables</t>
  </si>
  <si>
    <t>C11300300</t>
  </si>
  <si>
    <t>Clinical Items and Equipments held for trading</t>
  </si>
  <si>
    <t>C11300400</t>
  </si>
  <si>
    <t>Stores and Spare parts</t>
  </si>
  <si>
    <t>C11300500</t>
  </si>
  <si>
    <t>The cost of inventories recognized as an expense during the year</t>
  </si>
  <si>
    <t>The cost of inventories recognized as an expense, includes write downs of inventory to net realizable value</t>
  </si>
  <si>
    <t>N01033</t>
  </si>
  <si>
    <t>The mode of valuation of inventories has been stated in Note-____ of Accounting policy</t>
  </si>
  <si>
    <t>Current Investments - carried at Fair Value through Profit &amp; Loss</t>
  </si>
  <si>
    <t>Total Investments - Current</t>
  </si>
  <si>
    <t>C11210100</t>
  </si>
  <si>
    <t>Aggregate book value of quoted investments</t>
  </si>
  <si>
    <t>Aggregate market value of quoted investments</t>
  </si>
  <si>
    <t>Aggregate amount of impairment in the value of investments</t>
  </si>
  <si>
    <t>Undisputed Trade Receivables - Considered Good</t>
  </si>
  <si>
    <t>C11220100</t>
  </si>
  <si>
    <t>Allowance for expected credit loss</t>
  </si>
  <si>
    <t>C11220200</t>
  </si>
  <si>
    <t>Trade receivables due from related parties</t>
  </si>
  <si>
    <t>C11220300</t>
  </si>
  <si>
    <t>Outstanding for following periods 
from due date of payment  *</t>
  </si>
  <si>
    <t>Less than 6 months</t>
  </si>
  <si>
    <t>6 months -1 year</t>
  </si>
  <si>
    <t>1 - 2 years</t>
  </si>
  <si>
    <t>2 - 3 years</t>
  </si>
  <si>
    <t>More than 3 years</t>
  </si>
  <si>
    <t>Undisputed Trade receivables – considered good</t>
  </si>
  <si>
    <t>N106001001</t>
  </si>
  <si>
    <t>N106001002</t>
  </si>
  <si>
    <t>N106001003</t>
  </si>
  <si>
    <t>N106001004</t>
  </si>
  <si>
    <t>N106001005</t>
  </si>
  <si>
    <t>Allowance for doubtful debts - secured - considered good</t>
  </si>
  <si>
    <t>N106002001</t>
  </si>
  <si>
    <t>N106002002</t>
  </si>
  <si>
    <t>N106002003</t>
  </si>
  <si>
    <t>N106002004</t>
  </si>
  <si>
    <t>N106002005</t>
  </si>
  <si>
    <t>Undisputed Trade Receivables – which have significant increase in credit risk</t>
  </si>
  <si>
    <t>N106003001</t>
  </si>
  <si>
    <t>N106003002</t>
  </si>
  <si>
    <t>N106003003</t>
  </si>
  <si>
    <t>N106003004</t>
  </si>
  <si>
    <t>N106003005</t>
  </si>
  <si>
    <t>Undisputed Trade Receivables – credit impaired</t>
  </si>
  <si>
    <t>N106004001</t>
  </si>
  <si>
    <t>N106004002</t>
  </si>
  <si>
    <t>N106004003</t>
  </si>
  <si>
    <t>N106004004</t>
  </si>
  <si>
    <t>N106004005</t>
  </si>
  <si>
    <t>Disputed Trade Receivables–considered good</t>
  </si>
  <si>
    <t>N106005001</t>
  </si>
  <si>
    <t>N106005002</t>
  </si>
  <si>
    <t>N106005003</t>
  </si>
  <si>
    <t>N106005004</t>
  </si>
  <si>
    <t>N106005005</t>
  </si>
  <si>
    <t>Disputed Trade Receivables – which have significant increase in credit risk</t>
  </si>
  <si>
    <t>N106006001</t>
  </si>
  <si>
    <t>N106006002</t>
  </si>
  <si>
    <t>N106006003</t>
  </si>
  <si>
    <t>N106006004</t>
  </si>
  <si>
    <t>N106006005</t>
  </si>
  <si>
    <t>Disputed Trade Receivables – credit impaired</t>
  </si>
  <si>
    <t>N106007001</t>
  </si>
  <si>
    <t>N106007002</t>
  </si>
  <si>
    <t>N106007003</t>
  </si>
  <si>
    <t>N106007004</t>
  </si>
  <si>
    <t>N106007005</t>
  </si>
  <si>
    <t>Outstanding for following periods 
from due date of payment #</t>
  </si>
  <si>
    <t>Significant portion of the Group's business is against receipt of advance. Credit is provided mainly to Insurance Companies, Corporate customers and customers covered by Government accorded health benefits. The Insurance Companies are required to maintain minimum reserve levels and pre-approve the insurance claim, Government undertakings and the Corporate Customers are enterprises with high credit ratings. Accordingly, the Group exposure to credit risk in relation to trade receivables is low.</t>
  </si>
  <si>
    <t>Mozamqiue</t>
  </si>
  <si>
    <t>Trade receivables are non-interest bearing and are generally due immediately when the invoice is raised. Of the Trade Receivable as at 31 March 2023 and 31 March 2022, following is the details of customers having more than 10% of the total balance of trade receivables:</t>
  </si>
  <si>
    <t>Number of customers having more than 10% of the total balance of trade receivables</t>
  </si>
  <si>
    <t>N206008001</t>
  </si>
  <si>
    <t>Balance Outstanding</t>
  </si>
  <si>
    <t>N106008001</t>
  </si>
  <si>
    <t>There are no other customers who represent more than 5% of the total balance of trade receivables.</t>
  </si>
  <si>
    <t>Trade receivables are non-interest bearing and are generally due immediately when the invoice is raised. Of the Trade Receivable as at 31 March 2023, Rs. 31.78 Crores (As at 31 March 2022: Rs. 18.62 crores) are due from six of the Company's customers i.e. having more than 5% of the total outstanding trade receivable balance. There are no other customers who represent more than 5% of the total balance of trade receivables.</t>
  </si>
  <si>
    <t xml:space="preserve">Trade receivables are non-interest bearing and are generally on terms of upto 30 days. Of the Trade Receivable as at 31 March 2023, Rs. 0.21 Crores (As at 31 March 2022: Rs. 0.04 crores) are due from five of the Company's customers i.e having more than 5% of the total outstanding trade receivable balance. There are no other customers who represent more than 5% of the total balance of trade receivables. </t>
  </si>
  <si>
    <t>Trade receivables are non-interest bearing and are generally due immediately when the invoice is raised. Of the Trade Receivable as at 31 March 2023, Rs. 11.74 Crores (As at 31 March 2022: Rs. 8.82 crores) are due from seven of the Company's customers i.e. having more than 5% of the total outstanding trade receivable balance. There are no other customers who represent more than 5% of the total balance of trade receivables.</t>
  </si>
  <si>
    <t>No trade receivable are due from directors or other officers of the Company either severally or jointly with any other person. Nor any trade receivable are due from firms or private companies respectively in which any director is a partner, a director or a member.</t>
  </si>
  <si>
    <t>The company is controlled by Orbit Health Care Services International Operations Limited incorporated in Mauritius, which owns 100% of the company's shares.</t>
  </si>
  <si>
    <t>The following transactions were carried out with related parties:</t>
  </si>
  <si>
    <t>Key Managerial Personnel Compensation</t>
  </si>
  <si>
    <t>Director's renumeration</t>
  </si>
  <si>
    <t>Outstanding balances arising from purchase of goods</t>
  </si>
  <si>
    <t>Payable due to related parties</t>
  </si>
  <si>
    <t>Orbit Health Care Services (Mauritius) Limited</t>
  </si>
  <si>
    <t>The payables from related parties are interest free, have no specific dates of repayment and are unsecured.</t>
  </si>
  <si>
    <t>The Group has used a practical expedient by computing the expected loss allowance for trade receivables based on provision matrix. The provision matrix takes into account the historical credit loss experience and adjustments for forward looking information. The expected credit loss allowance is based on the ageing of the days the receivables are due and the rates as given in the provision matrix, considering the amounts due from the government undertakings and the other undertakings.</t>
  </si>
  <si>
    <t>The Company has used a practical expedient by computing the expected loss allowance for trade receivables based on provision matrix. The provision matrix takes into account the historical credit loss experience and adjustments for forward looking information. The expected credit loss allowance is based on the ageing of the days the receivables are due and the rates as given in the provision matrix, considering the amounts due from the government undertakings and the other undertakings.</t>
  </si>
  <si>
    <t>The provision matrix is as follows:</t>
  </si>
  <si>
    <t>1-90 days past due</t>
  </si>
  <si>
    <t>91-180 days past due</t>
  </si>
  <si>
    <t>181-270 days past due</t>
  </si>
  <si>
    <t>271-360 days past due</t>
  </si>
  <si>
    <t>361-450 days past due</t>
  </si>
  <si>
    <t>451-540 days past due</t>
  </si>
  <si>
    <t>541-630 days past due</t>
  </si>
  <si>
    <t>630-720 days past due</t>
  </si>
  <si>
    <t>720-810 days past due</t>
  </si>
  <si>
    <t>More than 810 days past due</t>
  </si>
  <si>
    <t>Balance at beginning of the year</t>
  </si>
  <si>
    <t>N106009001</t>
  </si>
  <si>
    <t>(Add) Provision Created during the year</t>
  </si>
  <si>
    <t>N106009002</t>
  </si>
  <si>
    <t>N106009003</t>
  </si>
  <si>
    <t>(Less) Provision written off during the year</t>
  </si>
  <si>
    <t>N106009004</t>
  </si>
  <si>
    <t>(Less) Provision revesred during the year</t>
  </si>
  <si>
    <t>N106009005</t>
  </si>
  <si>
    <t>Movement in expected credit loss allowance on trade receivables calculated at lifetime expected credit losses</t>
  </si>
  <si>
    <t>Balance at end of the year</t>
  </si>
  <si>
    <t>During the year ended 31 march 2023, the Company has written-off trade receivable balances amounting to Rs. 4.98 cores (31 March 2022-INR 4.03 crores) which are outstanding for more than 3 years as at 31 March 2023 and have utilised the existing allowances towards expected credit loss. The company does not expect to receive future cash flows/recoveries from trade receivables previously written off.</t>
  </si>
  <si>
    <t>During the year ended 31 March 2023, the Company has written-off trade receivables balances amounting to Rs. 2.15 crores which are outstanding for more than 3 years as at 31 March 2023 and have utilised the existing allowances towards expected credit loss. The company  does not expect to receive future cash flows/recoveries from trade receivables previously written off.</t>
  </si>
  <si>
    <t>Bank balances</t>
  </si>
  <si>
    <t>C11230100</t>
  </si>
  <si>
    <t>In Current Accounts</t>
  </si>
  <si>
    <t>C11230110</t>
  </si>
  <si>
    <t>In Fixed deposits with maturity less than 3 months</t>
  </si>
  <si>
    <t>C11230120</t>
  </si>
  <si>
    <t>Cash on Hand</t>
  </si>
  <si>
    <t>C11230200</t>
  </si>
  <si>
    <t>In Fixed Deposits - under Lien</t>
  </si>
  <si>
    <t>C11240300</t>
  </si>
  <si>
    <t>In Earmarked Escrow Accounts</t>
  </si>
  <si>
    <t>C11240400</t>
  </si>
  <si>
    <t>Unpaid dividend</t>
  </si>
  <si>
    <t>C11240200</t>
  </si>
  <si>
    <t>Fixed deposits - Other bank balances</t>
  </si>
  <si>
    <t>C11240100</t>
  </si>
  <si>
    <t>Deposit under Lien represents deposits placed for Bank Guarantees obtained by the Company 
from Banks towards:</t>
  </si>
  <si>
    <t>Customers</t>
  </si>
  <si>
    <t>N107001001</t>
  </si>
  <si>
    <t>Outstanding Interest Payable to Debenture Holder (CDC Group PLC)</t>
  </si>
  <si>
    <t>N107001002</t>
  </si>
  <si>
    <t>FD marked under Lien - towards acquisition of Aditya Jyot Eye Hospital Pvt Ltd.</t>
  </si>
  <si>
    <t>N107001003</t>
  </si>
  <si>
    <t>Loans to Related Parties</t>
  </si>
  <si>
    <t>C11250100</t>
  </si>
  <si>
    <t>Loans and Advances to Others</t>
  </si>
  <si>
    <t>C11250200</t>
  </si>
  <si>
    <t>Interest accrued not due</t>
  </si>
  <si>
    <t>C11290100</t>
  </si>
  <si>
    <t>On Fixed deposits</t>
  </si>
  <si>
    <t>C11290110</t>
  </si>
  <si>
    <t>Related Party - Interest</t>
  </si>
  <si>
    <t>C11290120</t>
  </si>
  <si>
    <t>Less: Provision for doubtful loans and advances</t>
  </si>
  <si>
    <t>C11290130</t>
  </si>
  <si>
    <t>Other Current Financial Assets</t>
  </si>
  <si>
    <t>C11290200</t>
  </si>
  <si>
    <t>Receivable from Related Parties</t>
  </si>
  <si>
    <t>C11290210</t>
  </si>
  <si>
    <t>Receivable from Others</t>
  </si>
  <si>
    <t>C11290220</t>
  </si>
  <si>
    <t>Rental Deposits - Current</t>
  </si>
  <si>
    <t>C11290300</t>
  </si>
  <si>
    <t>Related Party - Rental Deposits - Current</t>
  </si>
  <si>
    <t>C11290320</t>
  </si>
  <si>
    <t>Others - Rental Deposits - Current</t>
  </si>
  <si>
    <t>C11290310</t>
  </si>
  <si>
    <t>(amount in ₹)</t>
  </si>
  <si>
    <t>C11700100</t>
  </si>
  <si>
    <t>C11700200</t>
  </si>
  <si>
    <t>C11700300</t>
  </si>
  <si>
    <t>C11700400</t>
  </si>
  <si>
    <t>Less : Provision for Tax - Current</t>
  </si>
  <si>
    <t>C11700500</t>
  </si>
  <si>
    <t>Prepaid expenses - Current</t>
  </si>
  <si>
    <t>C11900100</t>
  </si>
  <si>
    <t>Advances to employees - Current</t>
  </si>
  <si>
    <t>C11900200</t>
  </si>
  <si>
    <t>Balances with Government Authorities</t>
  </si>
  <si>
    <t>C11900300</t>
  </si>
  <si>
    <t>Input Credit Receivables</t>
  </si>
  <si>
    <t>C11900310</t>
  </si>
  <si>
    <t>Statutory remittances - Balances with Government Authorities</t>
  </si>
  <si>
    <t>C11900320</t>
  </si>
  <si>
    <t>Advances to suppliers</t>
  </si>
  <si>
    <t>C11900400</t>
  </si>
  <si>
    <t>Prepaid share issue expenses</t>
  </si>
  <si>
    <t>C11900500</t>
  </si>
  <si>
    <t>Number of Shares</t>
  </si>
  <si>
    <t>N201001006</t>
  </si>
  <si>
    <t>N101001006</t>
  </si>
  <si>
    <t xml:space="preserve">617,894,737 fully paid equity shares of MUR 0.57 each </t>
  </si>
  <si>
    <t>N201001007</t>
  </si>
  <si>
    <t>N101001007</t>
  </si>
  <si>
    <t>N201002001</t>
  </si>
  <si>
    <t>N101002004</t>
  </si>
  <si>
    <t>N201002006</t>
  </si>
  <si>
    <t>N101002005</t>
  </si>
  <si>
    <t>N201003001</t>
  </si>
  <si>
    <t>C30000100</t>
  </si>
  <si>
    <t>N01048</t>
  </si>
  <si>
    <t xml:space="preserve">Total               </t>
  </si>
  <si>
    <t>Equity Shares</t>
  </si>
  <si>
    <t>Shares outstanding as at the beginning of the year</t>
  </si>
  <si>
    <t>N201004002</t>
  </si>
  <si>
    <t>N101004002</t>
  </si>
  <si>
    <t>Add: Fresh issue of shares/Adjustment during the year</t>
  </si>
  <si>
    <t>N201004003</t>
  </si>
  <si>
    <t>N101004003</t>
  </si>
  <si>
    <t>Add: Conversion during the year</t>
  </si>
  <si>
    <t>N201004004</t>
  </si>
  <si>
    <t>N101004004</t>
  </si>
  <si>
    <t>Add: Exercise of ESOPs</t>
  </si>
  <si>
    <t>N201004005</t>
  </si>
  <si>
    <t>N101004005</t>
  </si>
  <si>
    <t>Add: Bonus issue during the year</t>
  </si>
  <si>
    <t>N201004006</t>
  </si>
  <si>
    <t>N101004006</t>
  </si>
  <si>
    <t>Less: Buy-back of shares during the year</t>
  </si>
  <si>
    <t>N201004007</t>
  </si>
  <si>
    <t>N101004007</t>
  </si>
  <si>
    <t>Shares outstanding as at the end of the year</t>
  </si>
  <si>
    <t>Class of Shares</t>
  </si>
  <si>
    <t>Equity Shares of MUR 1/- each</t>
  </si>
  <si>
    <t>N201009004</t>
  </si>
  <si>
    <t>N301009004</t>
  </si>
  <si>
    <t>Equity Shares of MUR 0.57/- each</t>
  </si>
  <si>
    <t>N201009005</t>
  </si>
  <si>
    <t>N301009005</t>
  </si>
  <si>
    <t>The Company has two classes of Equity shares having a par value of Rs.10 and Rs.100 respectively. Each share holder is entitled to one vote per equity share. Dividends are paid in Indian Rupees. Dividend proposed by the Board of Directors, if any, is subject to the approval of the shareholders at the Annual General Meeting except in case of interim dividend. Repayment of capital will be in accordance with the terms of the Articles of Association and in proportion to the number of equity shares held.</t>
  </si>
  <si>
    <t>Name of Shareholders</t>
  </si>
  <si>
    <t>Number of Shares held</t>
  </si>
  <si>
    <t>% holding of equity shares</t>
  </si>
  <si>
    <t>Equity Shares of 10 each:</t>
  </si>
  <si>
    <t>ABC holders</t>
  </si>
  <si>
    <t>N201006001</t>
  </si>
  <si>
    <t>MNO Holders</t>
  </si>
  <si>
    <t>N201006003</t>
  </si>
  <si>
    <t>% Change in share holding</t>
  </si>
  <si>
    <t>N201008001</t>
  </si>
  <si>
    <t>N201008002</t>
  </si>
  <si>
    <t>Total Promoter Holdings</t>
  </si>
  <si>
    <t>Note:</t>
  </si>
  <si>
    <t>There were no shares issued pursuant to contract without payment being received in cash, allotted as fully paid up by way of bonus issues or brought back during the last five years immediately preceding 31 March 2023.</t>
  </si>
  <si>
    <t>Total Reserves and Surplus</t>
  </si>
  <si>
    <t xml:space="preserve">Opening Balance </t>
  </si>
  <si>
    <t>C30510500</t>
  </si>
  <si>
    <t>Closing balance</t>
  </si>
  <si>
    <t>The general reserve represents appropriation of retained earnings by transfering profits. As the general reserve is created by a transfer from one component of equity to another and is not an item of other comprehensive income, items included in the general reserve will not be reclassified subsequently to profit or loss.</t>
  </si>
  <si>
    <t>C30510200</t>
  </si>
  <si>
    <t>Add : Premium on Shares issued/ Converted during the Year</t>
  </si>
  <si>
    <t>Less: Application of securities premium for issue of equity shares</t>
  </si>
  <si>
    <t>C30510220</t>
  </si>
  <si>
    <t>Add : Acquitision</t>
  </si>
  <si>
    <t>Less: Transaction costs arising on equity issue</t>
  </si>
  <si>
    <t>Less: Transfer of amount to Capital Redemption Reserve</t>
  </si>
  <si>
    <t>Amounts received on issue of shares in excess of the par value has been classified as securities premium.</t>
  </si>
  <si>
    <t>C30510121</t>
  </si>
  <si>
    <t>C30510100</t>
  </si>
  <si>
    <t>Adjustments</t>
  </si>
  <si>
    <t>Ind AS adoption entries</t>
  </si>
  <si>
    <t xml:space="preserve">Profit attributable to owners of the Company </t>
  </si>
  <si>
    <t>Prior period adjustment</t>
  </si>
  <si>
    <t>C30510130</t>
  </si>
  <si>
    <t>Tax on Dividend</t>
  </si>
  <si>
    <t>C30510110</t>
  </si>
  <si>
    <t>C71000000</t>
  </si>
  <si>
    <t>Dividends distributed to Equity Shareholders</t>
  </si>
  <si>
    <t>C30510120</t>
  </si>
  <si>
    <t>Add/(Less): Other Comprehensive Income for the year</t>
  </si>
  <si>
    <t>Transition Effect of Ind AS 116 adjustment (net of taxes)</t>
  </si>
  <si>
    <t>C30510150</t>
  </si>
  <si>
    <t>Remeasurement of net defined benefit liability or asset</t>
  </si>
  <si>
    <t>Adjustments pursuant to merger</t>
  </si>
  <si>
    <t>C30510140</t>
  </si>
  <si>
    <t>Adjustments pursuant to disposal of step down subsidiary</t>
  </si>
  <si>
    <t>Excess consideration paid over net assets upon acquisition of non-controlling interest</t>
  </si>
  <si>
    <t>The amount that can be distributed by the Group as dividends to its equity shareholders is determined based on the financial statements of the Company and also considering the requirements of the Companies Act, 2013. Thus, the amounts reported above are not distributable in entirety.
During the year ended March 31, 2023, the holding company acquired additional shares in its subsidiary Aditya Jyot Private Limited. INR (-) 5.68 Crores has been recognised as the difference between invested value and networth of the entity for the percentage shareholding acquired.</t>
  </si>
  <si>
    <t>C30510400</t>
  </si>
  <si>
    <t>C30510600</t>
  </si>
  <si>
    <t>C30510300</t>
  </si>
  <si>
    <t>Orbit Healthcare International Operations Limited (Step Down Subsidiary) merged its operations with Orbit Healthcare Mauritius limited (Subsidiary Co), resulting in capital reserve of  INR 1.68 Crores.</t>
  </si>
  <si>
    <t>C30510900</t>
  </si>
  <si>
    <t>Add/(Less): Other Comprehensive Income for the year, net of income tax</t>
  </si>
  <si>
    <t>Balance at beginning of year</t>
  </si>
  <si>
    <t>Profit/(loss) attributable to Non controlling Interest (NCI)</t>
  </si>
  <si>
    <t>Dividend paid by subsidiaries to Non-controlling interests</t>
  </si>
  <si>
    <t>Balance at end of year</t>
  </si>
  <si>
    <t>Borrowings measured at amortized cost:</t>
  </si>
  <si>
    <t>(Secured Borrowings)</t>
  </si>
  <si>
    <t>C22260100</t>
  </si>
  <si>
    <t>C22260200</t>
  </si>
  <si>
    <t>Vehicle loans - Non Current</t>
  </si>
  <si>
    <t>C22260400</t>
  </si>
  <si>
    <t>Redeemable Non Convertible Debentures</t>
  </si>
  <si>
    <t>C22260300</t>
  </si>
  <si>
    <t>The Company has availed  Term Loan from Banks as at 31 March 2023. The details of tenor, interest rate, repayment terms of the same are given below:</t>
  </si>
  <si>
    <t>S.No.</t>
  </si>
  <si>
    <t>Original Tenor (in Months)</t>
  </si>
  <si>
    <t>Interest Rate</t>
  </si>
  <si>
    <t>No of Installments outstanding as at</t>
  </si>
  <si>
    <t>Repayment Terms</t>
  </si>
  <si>
    <r>
      <t xml:space="preserve">Term Loan from </t>
    </r>
    <r>
      <rPr>
        <b/>
        <sz val="10"/>
        <rFont val="Arial"/>
        <family val="2"/>
      </rPr>
      <t>HDFC</t>
    </r>
    <r>
      <rPr>
        <sz val="10"/>
        <rFont val="Arial"/>
        <family val="2"/>
      </rPr>
      <t xml:space="preserve"> Bank (Refer Note (i)(b) below)</t>
    </r>
  </si>
  <si>
    <t>21 Quarters</t>
  </si>
  <si>
    <t>3M T Bill + Spread</t>
  </si>
  <si>
    <t>Balloon Payout</t>
  </si>
  <si>
    <t>N202001001</t>
  </si>
  <si>
    <t>N102001001</t>
  </si>
  <si>
    <t>21Quarters</t>
  </si>
  <si>
    <t>N202001002</t>
  </si>
  <si>
    <t>N102001002</t>
  </si>
  <si>
    <t>72 Months EMI</t>
  </si>
  <si>
    <t>N202001003</t>
  </si>
  <si>
    <t>N102001003</t>
  </si>
  <si>
    <t>Total of borrowings from Banks</t>
  </si>
  <si>
    <t>Less : Current Maturities of long-term borrowings (Refer Note 23)</t>
  </si>
  <si>
    <t>Long-term Borrowings from Banks</t>
  </si>
  <si>
    <t>(i) Security</t>
  </si>
  <si>
    <t>(a) Term loan from HDFC Bank</t>
  </si>
  <si>
    <t>The details of Security provided are as follows:</t>
  </si>
  <si>
    <t xml:space="preserve">First pari-passu charge over the movable fixed assets of the Company </t>
  </si>
  <si>
    <t>Exclusive charge over the current assets of the Company</t>
  </si>
  <si>
    <t xml:space="preserve">First pari-passu charge over all the bank accounts of the Company </t>
  </si>
  <si>
    <t>Exclusive Charge of pledge over the shares of the Company held by promoters upto 9.9% .</t>
  </si>
  <si>
    <t>First pari-passu charge of non-disposal undertaking and negative pledge in respect of the shares in Dr. Agarwal's Eye Hospital Limited owned by the Company;</t>
  </si>
  <si>
    <t>Personal guarantee of all the promoters</t>
  </si>
  <si>
    <t>Represents loan provided by ____________</t>
  </si>
  <si>
    <t>Acquisition Liabilities measured at Amortised Cost (Refer Note below)</t>
  </si>
  <si>
    <t>C22290100</t>
  </si>
  <si>
    <t>Other Financial Liabilities measured at Fair Value(Non Current) - SARs</t>
  </si>
  <si>
    <t>C22290200</t>
  </si>
  <si>
    <t>Provision for Employee Benefits:</t>
  </si>
  <si>
    <t>Gratuity Payable</t>
  </si>
  <si>
    <t>C22800100</t>
  </si>
  <si>
    <t>C22800200</t>
  </si>
  <si>
    <t>Provision for Contingencies</t>
  </si>
  <si>
    <t>C22800300</t>
  </si>
  <si>
    <t>Provision for Share appreciation rights</t>
  </si>
  <si>
    <t>C22800400</t>
  </si>
  <si>
    <t>Opening Balance</t>
  </si>
  <si>
    <t>Provision made during the year</t>
  </si>
  <si>
    <t>Amounts Utilized during the year</t>
  </si>
  <si>
    <t>Unused Amounts Reversed during the year</t>
  </si>
  <si>
    <t>Closing Balance</t>
  </si>
  <si>
    <t>Provision for Tax</t>
  </si>
  <si>
    <t>C22700100</t>
  </si>
  <si>
    <t>Loans from Banks</t>
  </si>
  <si>
    <t>Current Maturities of Long-Term Borrowings</t>
  </si>
  <si>
    <t>Secured Borrowings-Bank</t>
  </si>
  <si>
    <t>C21260112</t>
  </si>
  <si>
    <t>Secured Borrowings-Others</t>
  </si>
  <si>
    <t>C21260111</t>
  </si>
  <si>
    <t>Unsecured bank loans - other borrowings</t>
  </si>
  <si>
    <t>C21260120</t>
  </si>
  <si>
    <t>Vehicle loan</t>
  </si>
  <si>
    <t>C21260130</t>
  </si>
  <si>
    <t>Bank overdrafts</t>
  </si>
  <si>
    <t>C21260200</t>
  </si>
  <si>
    <t>Loan from Related parties</t>
  </si>
  <si>
    <t>C21260300</t>
  </si>
  <si>
    <t>Borrowings - Current</t>
  </si>
  <si>
    <t xml:space="preserve">Less than 3 months </t>
  </si>
  <si>
    <t>N6371</t>
  </si>
  <si>
    <t>FS Input_N Code</t>
  </si>
  <si>
    <t>3 months - 6 months</t>
  </si>
  <si>
    <t>N6372</t>
  </si>
  <si>
    <t>6 months - 12 months</t>
  </si>
  <si>
    <t>N6373</t>
  </si>
  <si>
    <t>1-3 Years</t>
  </si>
  <si>
    <t>N6374</t>
  </si>
  <si>
    <t>3-5 Years</t>
  </si>
  <si>
    <t>N6375</t>
  </si>
  <si>
    <t>Above 5 Years</t>
  </si>
  <si>
    <t>N6376</t>
  </si>
  <si>
    <t>Includes Commercial Paper Discount of ₹ ___ lakh (Previous year ₹ ____ lakh)</t>
  </si>
  <si>
    <t>The above bank loans carry an interest rate referenced to the respective bank's marginal cost of lending rate/ equivalent rate and mutually agreed spread.</t>
  </si>
  <si>
    <t>Maximum outstanding balance of Commercial Paper during the year was ₹ _____ lakh (Previous year ₹ _____ lakh).</t>
  </si>
  <si>
    <t>Notes :</t>
  </si>
  <si>
    <t>(i) The details of interest rate, repayment and other terms of the Short Term Borrowings are as follows:</t>
  </si>
  <si>
    <t>Type</t>
  </si>
  <si>
    <t>Name of the party</t>
  </si>
  <si>
    <t>Cash Credit facility from Bank</t>
  </si>
  <si>
    <t>HDFC Bank</t>
  </si>
  <si>
    <t>N103001001</t>
  </si>
  <si>
    <t>(ii) Security</t>
  </si>
  <si>
    <t>- first pari-passu charge over the current assets of the Company</t>
  </si>
  <si>
    <t xml:space="preserve">- Extension of equitable mortgage on a property owned by Dr. Agarwal's Eye Institute for the exposure; </t>
  </si>
  <si>
    <t xml:space="preserve">- Comfort Letter from Dr. Agarwal's Eye Hospital Limited; </t>
  </si>
  <si>
    <t>- personal guarantee of all the promoters</t>
  </si>
  <si>
    <t>Dues of Micro Enterprises and Small Enterprises (Refer Note 33)</t>
  </si>
  <si>
    <t>Dues of Creditors Other than Micro Enterprises and Small Enterprises</t>
  </si>
  <si>
    <t>C21280000</t>
  </si>
  <si>
    <t>Outstanding for following periods
 from due date of payment</t>
  </si>
  <si>
    <t>Not due</t>
  </si>
  <si>
    <t>MSME</t>
  </si>
  <si>
    <t>N108001001</t>
  </si>
  <si>
    <t>N108001002</t>
  </si>
  <si>
    <t>N108001003</t>
  </si>
  <si>
    <t>N108001004</t>
  </si>
  <si>
    <t>N108001005</t>
  </si>
  <si>
    <t>Others</t>
  </si>
  <si>
    <t>N108002001</t>
  </si>
  <si>
    <t>N108002002</t>
  </si>
  <si>
    <t>N108002003</t>
  </si>
  <si>
    <t>N108002004</t>
  </si>
  <si>
    <t>N108002005</t>
  </si>
  <si>
    <t>Disputed dues - MSME</t>
  </si>
  <si>
    <t>N108003001</t>
  </si>
  <si>
    <t>N108003002</t>
  </si>
  <si>
    <t>N108003003</t>
  </si>
  <si>
    <t>N108003004</t>
  </si>
  <si>
    <t>N108003005</t>
  </si>
  <si>
    <t>Disputed dues - Others</t>
  </si>
  <si>
    <t>N108004001</t>
  </si>
  <si>
    <t>N108004002</t>
  </si>
  <si>
    <t>N108004003</t>
  </si>
  <si>
    <t>N108004004</t>
  </si>
  <si>
    <t>N108004005</t>
  </si>
  <si>
    <t>Outstanding for following periods 
from due date of payment</t>
  </si>
  <si>
    <t>(Measured at Amortised Cost)</t>
  </si>
  <si>
    <t>Payables towards purchase of Property, Plant and Equipment</t>
  </si>
  <si>
    <t>C21290100</t>
  </si>
  <si>
    <t>Interest Accrued But Not Due on Borrowings</t>
  </si>
  <si>
    <t>C21290200</t>
  </si>
  <si>
    <t>To Banks - Other Financial liabilities</t>
  </si>
  <si>
    <t>C21290210</t>
  </si>
  <si>
    <t>To Related Parties</t>
  </si>
  <si>
    <t>C21290220</t>
  </si>
  <si>
    <t>Acquisition Liabilities(Refer Note below)</t>
  </si>
  <si>
    <t>C21290300</t>
  </si>
  <si>
    <t>Financial liabilities-Unpaid dividend</t>
  </si>
  <si>
    <t>C21290400</t>
  </si>
  <si>
    <t>Contract liabilities</t>
  </si>
  <si>
    <t>C21900100</t>
  </si>
  <si>
    <t>Statutory remittances</t>
  </si>
  <si>
    <t>C21900200</t>
  </si>
  <si>
    <t>Liability towards corporate social responsibility</t>
  </si>
  <si>
    <t>C21900300</t>
  </si>
  <si>
    <t>Others - Current liabilities</t>
  </si>
  <si>
    <t>C21900400</t>
  </si>
  <si>
    <t>C21700100</t>
  </si>
  <si>
    <t>C21800400</t>
  </si>
  <si>
    <t>C21800200</t>
  </si>
  <si>
    <t>C21800100</t>
  </si>
  <si>
    <t>C21800300</t>
  </si>
  <si>
    <t>Other Current Provisions</t>
  </si>
  <si>
    <t>C21800500</t>
  </si>
  <si>
    <t>Whilst the provision as at 31 March 2023 is considered as current in nature, the actual outflow with regard to said matters depends on the exhaustion of remedies available under the law based on various developments. No recoveries are expected against the provision.</t>
  </si>
  <si>
    <t>Other Operating Revenues</t>
  </si>
  <si>
    <t>C40140000</t>
  </si>
  <si>
    <t>Sale of Products comprises the following:</t>
  </si>
  <si>
    <t>Traded (Domestic)</t>
  </si>
  <si>
    <t>Sale of Opticals</t>
  </si>
  <si>
    <t>C40110100</t>
  </si>
  <si>
    <t>Sale of Pharmaceutical Products</t>
  </si>
  <si>
    <t>C40110200</t>
  </si>
  <si>
    <t>Sale of Contact Lens and Accessories</t>
  </si>
  <si>
    <t>C40110300</t>
  </si>
  <si>
    <t>Sale of food items</t>
  </si>
  <si>
    <t>C40110400</t>
  </si>
  <si>
    <t>Sale of Advanced Vision Analyzer -AVA &amp; Trial Lens</t>
  </si>
  <si>
    <t>C40110500</t>
  </si>
  <si>
    <t>C40110000</t>
  </si>
  <si>
    <t>Traded (Export)</t>
  </si>
  <si>
    <t>C40120100</t>
  </si>
  <si>
    <t>C40120200</t>
  </si>
  <si>
    <t>Sale of Clinical Items and Equipments</t>
  </si>
  <si>
    <t>C40120300</t>
  </si>
  <si>
    <t>C40120000</t>
  </si>
  <si>
    <t>Total - Sale of Products</t>
  </si>
  <si>
    <t>C40100000</t>
  </si>
  <si>
    <t>Sale of Services comprises the following :</t>
  </si>
  <si>
    <t>Income from Surgeries</t>
  </si>
  <si>
    <t>C40130100</t>
  </si>
  <si>
    <t>Income from Consultation</t>
  </si>
  <si>
    <t>C40130200</t>
  </si>
  <si>
    <t>Income from Treatments and Investigations</t>
  </si>
  <si>
    <t>C40130300</t>
  </si>
  <si>
    <t>Income from Annual Maintainanace Contracts</t>
  </si>
  <si>
    <t>C40130400</t>
  </si>
  <si>
    <t>Total - Sale of Services</t>
  </si>
  <si>
    <t>C40130000</t>
  </si>
  <si>
    <t xml:space="preserve">The services are rendered to various patients and there are no patients who represent more than 10% of the total revenue. However, the Hospital also serves patients who are covered under insurance/health schemes run by insurance companies, corporates and the central/state government agencies, wherein the services rendered to the patient is on credit to be reimbursed by the said insurance company, corporate or government agency. </t>
  </si>
  <si>
    <t>The group classifies the right to consideration in exchange for deliverables as receivable.</t>
  </si>
  <si>
    <t>A receivable is a right to consideration that is unconditional upon passage of time. Revenue is recognized as and when the related goods / services are delivered / performed to the customer.</t>
  </si>
  <si>
    <t>Trade receivable are presented net of impairment in the Balance Sheet.</t>
  </si>
  <si>
    <t>Contract liabilities include payments received in advance of performance under the contract, and are realized with the associated revenue recognized under the contract.</t>
  </si>
  <si>
    <t>The remaining performance obligation disclosure provides the aggregate amount of the transaction price yet to be recognised as at the end of the reporting period and an explanation as to when the Company expects to recognise these amounts in revenue. Applying the practical expedient as given in IND AS - 115, the Company has not disclosed information about remaining performance obligations in contracts where the original contract duration is one year or less or where the entity has the right to consideration that corresponds directly with the value of entity’s performance completed to date.</t>
  </si>
  <si>
    <t>Interest Income on financial assets carried at amortised cost</t>
  </si>
  <si>
    <t>C40200100</t>
  </si>
  <si>
    <t>Interest Income - Bank deposits</t>
  </si>
  <si>
    <t>C40200110</t>
  </si>
  <si>
    <t>Interest Income - Related party</t>
  </si>
  <si>
    <t>C40200120</t>
  </si>
  <si>
    <t>Interest Income - Security deposits</t>
  </si>
  <si>
    <t>C40200140</t>
  </si>
  <si>
    <t>Interest Income - Others</t>
  </si>
  <si>
    <t>C40200130</t>
  </si>
  <si>
    <t>Interest on Income Tax refund</t>
  </si>
  <si>
    <t>C40200150</t>
  </si>
  <si>
    <t>Profit on sale of Property, Plant and Equipment</t>
  </si>
  <si>
    <t>C40200200</t>
  </si>
  <si>
    <t>Liabilities no longer required - Written Back</t>
  </si>
  <si>
    <t>C40200300</t>
  </si>
  <si>
    <t>Profit on termination of lease (Net)</t>
  </si>
  <si>
    <t>C40200400</t>
  </si>
  <si>
    <t>Net gain on Foreign Currency Transactions and Translation</t>
  </si>
  <si>
    <t>C40200500</t>
  </si>
  <si>
    <t>Profit on Redemption of Current Investments</t>
  </si>
  <si>
    <t>C40200600</t>
  </si>
  <si>
    <t>C40200700</t>
  </si>
  <si>
    <t>Miscellaneous Income</t>
  </si>
  <si>
    <t>C40200800</t>
  </si>
  <si>
    <t>Opening Stock of Raw Materials/consumables</t>
  </si>
  <si>
    <t>Add: Purchases during the year</t>
  </si>
  <si>
    <t>Less: Closing stock of Raw Materials/consumables</t>
  </si>
  <si>
    <t xml:space="preserve">Total   </t>
  </si>
  <si>
    <t xml:space="preserve">        </t>
  </si>
  <si>
    <t>Inventories at the beginning of the year:</t>
  </si>
  <si>
    <t>Inventories at the end of the year:</t>
  </si>
  <si>
    <t>C50300100</t>
  </si>
  <si>
    <t>Purchase for food item</t>
  </si>
  <si>
    <t>C50300200</t>
  </si>
  <si>
    <t>Pharmaceuticals Products</t>
  </si>
  <si>
    <t>C50300300</t>
  </si>
  <si>
    <t>C50300400</t>
  </si>
  <si>
    <t>Clinical Items and Equipment</t>
  </si>
  <si>
    <t>C50300500</t>
  </si>
  <si>
    <t>Other Raw materials - Purchases</t>
  </si>
  <si>
    <t>C50300600</t>
  </si>
  <si>
    <t>C50300700</t>
  </si>
  <si>
    <t>Salaries and Bonus</t>
  </si>
  <si>
    <t>C50400400</t>
  </si>
  <si>
    <t>Contributions to Provident and Other Funds</t>
  </si>
  <si>
    <t>C50400300</t>
  </si>
  <si>
    <t>Staff welfare expenses</t>
  </si>
  <si>
    <t>C50400200</t>
  </si>
  <si>
    <t>Expenses related to compensated absence</t>
  </si>
  <si>
    <t>C50400500</t>
  </si>
  <si>
    <t>Employee Stock option</t>
  </si>
  <si>
    <t>C50400100</t>
  </si>
  <si>
    <t>Interest expense</t>
  </si>
  <si>
    <t>C50500100</t>
  </si>
  <si>
    <t>Interest on Term loan - Bank</t>
  </si>
  <si>
    <t>C50500110</t>
  </si>
  <si>
    <t>Interest on Term loan - Related Party</t>
  </si>
  <si>
    <t>C50500120</t>
  </si>
  <si>
    <t>Interest on Debentures</t>
  </si>
  <si>
    <t>C50500130</t>
  </si>
  <si>
    <t>Interest on Deferred Consideration</t>
  </si>
  <si>
    <t>C50500150</t>
  </si>
  <si>
    <t>Interest on delayed remittance of statutory dues</t>
  </si>
  <si>
    <t>C50500200</t>
  </si>
  <si>
    <t>Interest on lease liability</t>
  </si>
  <si>
    <t>C50500400</t>
  </si>
  <si>
    <t>Other Borrowing Costs</t>
  </si>
  <si>
    <t>C50500300</t>
  </si>
  <si>
    <t>Net Loss on Foreign Currency Transactions and Translation</t>
  </si>
  <si>
    <t>C50500600</t>
  </si>
  <si>
    <t xml:space="preserve">           </t>
  </si>
  <si>
    <t>Depreciation on Tangible Assets</t>
  </si>
  <si>
    <t>C50600100</t>
  </si>
  <si>
    <t>Amortization on Intangible Assets</t>
  </si>
  <si>
    <t>C50600200</t>
  </si>
  <si>
    <t>Depreciation on Right-of-use assets</t>
  </si>
  <si>
    <t>C50600300</t>
  </si>
  <si>
    <t>Consultancy charges</t>
  </si>
  <si>
    <t>C50700100</t>
  </si>
  <si>
    <t>Power and Fuel</t>
  </si>
  <si>
    <t>C50700200</t>
  </si>
  <si>
    <t>Business Promotion and Entertainment</t>
  </si>
  <si>
    <t>C50700300</t>
  </si>
  <si>
    <t>C50700400</t>
  </si>
  <si>
    <t>Software Maintenance Charges</t>
  </si>
  <si>
    <t>C50700500</t>
  </si>
  <si>
    <t>Brokerage and Commission</t>
  </si>
  <si>
    <t>C50700600</t>
  </si>
  <si>
    <t>Rates and Taxes</t>
  </si>
  <si>
    <t>C50700700</t>
  </si>
  <si>
    <t>Marketing Expenses</t>
  </si>
  <si>
    <t>C50700800</t>
  </si>
  <si>
    <t>Bank charges</t>
  </si>
  <si>
    <t>C50700900</t>
  </si>
  <si>
    <t>Rent</t>
  </si>
  <si>
    <t>C50701000</t>
  </si>
  <si>
    <t>Repairs &amp; Maintenance</t>
  </si>
  <si>
    <t>C50701100</t>
  </si>
  <si>
    <t>Repairs &amp; Maintenance - equipments</t>
  </si>
  <si>
    <t>C50701110</t>
  </si>
  <si>
    <t>Repairs &amp; Maintenance -Others</t>
  </si>
  <si>
    <t>C50701120</t>
  </si>
  <si>
    <t>Loss on property, plant and equipment discarded</t>
  </si>
  <si>
    <t>C50701200</t>
  </si>
  <si>
    <t>Communication</t>
  </si>
  <si>
    <t>C50701300</t>
  </si>
  <si>
    <t>Loss on Sale of property, plant and equipment</t>
  </si>
  <si>
    <t>C50701400</t>
  </si>
  <si>
    <t>Legal and Professional Charges</t>
  </si>
  <si>
    <t>C50701500</t>
  </si>
  <si>
    <t>C50701600</t>
  </si>
  <si>
    <t>Travelling and Conveyance</t>
  </si>
  <si>
    <t>C50701700</t>
  </si>
  <si>
    <t>Allowance for expected credit losses</t>
  </si>
  <si>
    <t>C50701800</t>
  </si>
  <si>
    <t>Bad Receivables Written off</t>
  </si>
  <si>
    <t>C50701810</t>
  </si>
  <si>
    <t>Less: Utilisation of allowances other Allowance for expected credit losses</t>
  </si>
  <si>
    <t>C50701820</t>
  </si>
  <si>
    <t>Water Consumption</t>
  </si>
  <si>
    <t>C50701900</t>
  </si>
  <si>
    <t>Hospital Maintenance charges</t>
  </si>
  <si>
    <t>C50702000</t>
  </si>
  <si>
    <t>Insurance</t>
  </si>
  <si>
    <t>C50702100</t>
  </si>
  <si>
    <t>Expenditure on Corporate Social Responsibilty</t>
  </si>
  <si>
    <t>C50702200</t>
  </si>
  <si>
    <t>C50702300</t>
  </si>
  <si>
    <t>Printing and Stationery</t>
  </si>
  <si>
    <t>C50702400</t>
  </si>
  <si>
    <t>Impairment Loss</t>
  </si>
  <si>
    <t>C50702500</t>
  </si>
  <si>
    <t>Directors Remuneration</t>
  </si>
  <si>
    <t>C50702600</t>
  </si>
  <si>
    <t>Freight Charges</t>
  </si>
  <si>
    <t>C50702700</t>
  </si>
  <si>
    <t>Fitting Charges</t>
  </si>
  <si>
    <t>C50702800</t>
  </si>
  <si>
    <t>C50702900</t>
  </si>
  <si>
    <t>Miscellaneous Expenses</t>
  </si>
  <si>
    <t>C50703000</t>
  </si>
  <si>
    <t xml:space="preserve">Total           </t>
  </si>
  <si>
    <t xml:space="preserve">As Auditors: </t>
  </si>
  <si>
    <t xml:space="preserve">For Statutory Audit </t>
  </si>
  <si>
    <t>N109101001</t>
  </si>
  <si>
    <t>For Tax Audit</t>
  </si>
  <si>
    <t>N109101002</t>
  </si>
  <si>
    <t>For Limited review</t>
  </si>
  <si>
    <t>Other Services</t>
  </si>
  <si>
    <t>N109101003</t>
  </si>
  <si>
    <t>Reimbursement of Expenses</t>
  </si>
  <si>
    <t>N109101004</t>
  </si>
  <si>
    <t>Goods and Service Tax</t>
  </si>
  <si>
    <t>N109101005</t>
  </si>
  <si>
    <t>To cost auditors for cost audit</t>
  </si>
  <si>
    <t>(Amount in INR)</t>
  </si>
  <si>
    <t>Amount required to be spent by the Group 
during the year</t>
  </si>
  <si>
    <t>N109201003</t>
  </si>
  <si>
    <t>Amount approved by the Board to be spent 
during the year</t>
  </si>
  <si>
    <t>N109201004</t>
  </si>
  <si>
    <t>Amount spent during the year</t>
  </si>
  <si>
    <t>N109201005</t>
  </si>
  <si>
    <t>(i) Construction/ acquisition of any asset</t>
  </si>
  <si>
    <t>N01055</t>
  </si>
  <si>
    <t>(ii) On purposes other than (i) above</t>
  </si>
  <si>
    <t>Details of related party transactions</t>
  </si>
  <si>
    <t>Details of unspent obligations</t>
  </si>
  <si>
    <t>Details of ongoing project and other than ongoing project</t>
  </si>
  <si>
    <t>In case of Section 135(5) of the Companies Act, 2013 (Ongoing project)</t>
  </si>
  <si>
    <t>Amount required to be spent during the year</t>
  </si>
  <si>
    <t>With Company</t>
  </si>
  <si>
    <t>In Separate CSR Unspent account</t>
  </si>
  <si>
    <t>From Company’s bank account</t>
  </si>
  <si>
    <t>From Separate CSR Unspent account</t>
  </si>
  <si>
    <t>N109201001</t>
  </si>
  <si>
    <t>N109201002</t>
  </si>
  <si>
    <t>In case of Section 135(5) of the Companies Act, 2013 (Other than ongoing project)</t>
  </si>
  <si>
    <t>Amount deposited in specified fund of Schedule VII within 6 months</t>
  </si>
  <si>
    <t>N109202001</t>
  </si>
  <si>
    <t>N109202002</t>
  </si>
  <si>
    <t>N109202003</t>
  </si>
  <si>
    <t>N109202004</t>
  </si>
  <si>
    <t>Disclosures required under section 22 of the micro, small and medium enterprises development act, 2006</t>
  </si>
  <si>
    <t>All</t>
  </si>
  <si>
    <t/>
  </si>
  <si>
    <t>Particulars*</t>
  </si>
  <si>
    <t>Principal amount remaining unpaid to any supplier as at the end of the accounting year</t>
  </si>
  <si>
    <t>N110001001</t>
  </si>
  <si>
    <t>Interest due thereon remaining unpaid to any supplier as at the end of the accounting year</t>
  </si>
  <si>
    <t>N110001002</t>
  </si>
  <si>
    <t xml:space="preserve">The amount of interest paid along with the amounts of the payment made to the supplier beyond the appointed day </t>
  </si>
  <si>
    <t>N110001003</t>
  </si>
  <si>
    <t>The amount of interest due and payable for the year</t>
  </si>
  <si>
    <t>N110001004</t>
  </si>
  <si>
    <t>The amount of interest accrued and remaining unpaid at the end of the accounting year</t>
  </si>
  <si>
    <t>N110001005</t>
  </si>
  <si>
    <t>The amount of further interest due and payable even in the succeeding year, until such date when the interest dues as above are actually paid</t>
  </si>
  <si>
    <t>N110001006</t>
  </si>
  <si>
    <t>*Dues to Micro and Small Enterprises have been determined to the extent such parties have been identified on the basis of information collected by the Management.</t>
  </si>
  <si>
    <t>Disclosure under section 186 (4) of the companies act, 2013</t>
  </si>
  <si>
    <t>AHCL consol</t>
  </si>
  <si>
    <t>The particulars of investments made as required to be disclosed u/s 186 (4) of the Companies Act, 2013 are disclosed in Note No.8 and 16 of Notes forming part of the Standalone Financial Statements.</t>
  </si>
  <si>
    <t>The particulars of the loans provided is disclosed in Note No.9 and 19 of the Standalone financial statements.</t>
  </si>
  <si>
    <t>The particulars of guarantees given as required to be disclosed u/s 186 (4) of the Companies Act, 2013 are as follows:</t>
  </si>
  <si>
    <t>Beneficiary of the Guarantee</t>
  </si>
  <si>
    <t>Party to which Guarantee is given</t>
  </si>
  <si>
    <t>ABC Limited</t>
  </si>
  <si>
    <t>Axis Bank</t>
  </si>
  <si>
    <t>N111001001</t>
  </si>
  <si>
    <t>XYZ Limited</t>
  </si>
  <si>
    <t>HDFC</t>
  </si>
  <si>
    <t>N111001003</t>
  </si>
  <si>
    <t>MNO Private Limited</t>
  </si>
  <si>
    <t>Kotak Mahindra</t>
  </si>
  <si>
    <t>N111001002</t>
  </si>
  <si>
    <t>SMS Limited</t>
  </si>
  <si>
    <t xml:space="preserve">SBM Bank (Mauritius) Limited </t>
  </si>
  <si>
    <t>N111001004</t>
  </si>
  <si>
    <t>Further, 13,50,000 Equity Shares held by the Company in Dr. Agarwal's Eye Hospital Limited has been pledged as one of the collateral securities with Axis Bank, for the loans taken by Dr. Agarwal's Eye Hospital Limited to the extent of INR 43.83 crores.</t>
  </si>
  <si>
    <t xml:space="preserve"> The estimated amount of contracts remaining to be executed on Capital Account, net of advances and not provided for</t>
  </si>
  <si>
    <t>Towards construction of Cathedral Road premises</t>
  </si>
  <si>
    <t>N112001001</t>
  </si>
  <si>
    <t>N112001002</t>
  </si>
  <si>
    <t>Consumer Claims against the Company not acknowledged as debt</t>
  </si>
  <si>
    <t>N113001001</t>
  </si>
  <si>
    <t>Vendor Claims against the Company not acknowledged as debt</t>
  </si>
  <si>
    <t>N113001002</t>
  </si>
  <si>
    <t>(i) Based on Professional Advice / Management’s assessment of all the above claims, the Group expects a favorable decision in respect of the above claims and hence no specific provision has been considered for the above claims.</t>
  </si>
  <si>
    <t>(ii) The amounts shown above represent the best possible estimates arrived at on the basis of the available information. The uncertainties and possible reimbursement are dependent on the outcome of the various legal proceedings which have been initiated by the Company or the Claimants, as the case may be and, therefore, cannot be predicted accurately.</t>
  </si>
  <si>
    <t>The Company makes Provident and Pension Fund contributions, which is a defined contribution plan, for qualifying employees. Additionally, the Company also provides, for covered employees, health insurance through the Employee State Insurance scheme. Under the Schemes, the Company is required to contribute a specified percentage of the payroll costs to fund the benefits. The contributions payable to these plans by the Company are at rates specified in the rules of the schemes.</t>
  </si>
  <si>
    <t>Expenses recognized :</t>
  </si>
  <si>
    <t>Contributions to provident and pension funds</t>
  </si>
  <si>
    <t>N114001001</t>
  </si>
  <si>
    <t>Contributions to Employee State Insurance</t>
  </si>
  <si>
    <t>N114001002</t>
  </si>
  <si>
    <t>N114002001</t>
  </si>
  <si>
    <t>Net asset / (liability) recognized in the Balance Sheet</t>
  </si>
  <si>
    <t>The Key Assumptions used in the computation of provision for compensated absences are as given below:</t>
  </si>
  <si>
    <t>Discount Rate (% p.a)</t>
  </si>
  <si>
    <t>N314002002</t>
  </si>
  <si>
    <t>Future Salary Increase (% p.a)</t>
  </si>
  <si>
    <t>N314002003</t>
  </si>
  <si>
    <t xml:space="preserve">The Group operates a gratuity plan covering qualifying employees. The benefit payable is calculated as per the Payment of Gratuity Act, 1972/Worker's Rights Act 2019 (for Orbit) and the benefit vests upon completion of five years of continuous service/benfits vests upon completion of 12 months of continuous service (for Orbit) and once vested it is payable to employees on retirement or on termination of employment. In case of death while in service, the gratuity is payable irrespective of vesting. The Group makes annual contribution to the group gratuity scheme administered by the Life Insurance Corporation of India. </t>
  </si>
  <si>
    <t>Certain entities of the Group have a funded gratuity scheme for covering its gratuity obligation. The gratuity provision has been made based on the actuarial valuation done as at the year end using the Projected Unit Credit method. The Key Assumptions used in the Actuarial Valuation as provided by Independent Actuary, are as given below:</t>
  </si>
  <si>
    <t>Amount recognized in the statement of profit &amp; loss (including other comprehensive income) in respect of the defined benefit plan are as follows :</t>
  </si>
  <si>
    <t>Amounts recognized in Statement of Profit &amp; Loss in respect of these defined benefit plans are as follows:</t>
  </si>
  <si>
    <t>Service Cost [Refer Note(i) below] :</t>
  </si>
  <si>
    <t>Current Service Cost</t>
  </si>
  <si>
    <t>N114103001</t>
  </si>
  <si>
    <t>Past service cost and (gains)/losses from settlements</t>
  </si>
  <si>
    <t>Net interest expense</t>
  </si>
  <si>
    <t>N114103002</t>
  </si>
  <si>
    <t>Components of defined benefit costs recognized in the Statement of Profit and Loss</t>
  </si>
  <si>
    <t>Remeasurement on the net defined benefit liability:</t>
  </si>
  <si>
    <t>Return on plan assets (excluding amount included in net interest income)</t>
  </si>
  <si>
    <t>N114203001</t>
  </si>
  <si>
    <t>Actuarial gains and loss arising from changes in Demographic assumptions</t>
  </si>
  <si>
    <t>N114203003</t>
  </si>
  <si>
    <t>Actuarial gains and loss arising from changes in Financial assumptions</t>
  </si>
  <si>
    <t>N114203002</t>
  </si>
  <si>
    <t>Actuarial gains and loss arising from experience adjustments</t>
  </si>
  <si>
    <t>N114203004</t>
  </si>
  <si>
    <t>Components of defined benefit costs recognized in other comprehensive income</t>
  </si>
  <si>
    <t>Total defined benefit cost recognized in Statement of Profit and Loss and Other Comprehensive Income</t>
  </si>
  <si>
    <t>(ii) The remeasurement of the net defined benefit liability is included in other comprehensive income.</t>
  </si>
  <si>
    <t>The amount included in the balance sheet arising from the entity's obligation in respect of defined benefit plan is as follows :</t>
  </si>
  <si>
    <t xml:space="preserve">Net Asset/(Liability) recognized in the Balance Sheet </t>
  </si>
  <si>
    <t>1. Present value of defined benefit obligation</t>
  </si>
  <si>
    <t>2. Fair value of plan assets</t>
  </si>
  <si>
    <t xml:space="preserve">Current portion of the above </t>
  </si>
  <si>
    <t xml:space="preserve">Non - current portion of the above </t>
  </si>
  <si>
    <t>Movement in the present value of the defined benefit obligation are as follows :</t>
  </si>
  <si>
    <t xml:space="preserve">Present value of defined benefit obligation at the beginning of the year </t>
  </si>
  <si>
    <t>N114105001</t>
  </si>
  <si>
    <t>Expenses Recognized in Statement of Profit and Loss:</t>
  </si>
  <si>
    <t>N114205002</t>
  </si>
  <si>
    <t>Past Service Cost</t>
  </si>
  <si>
    <t>Interest Expense (Income)</t>
  </si>
  <si>
    <t>N114205001</t>
  </si>
  <si>
    <t>Recognized in Other Comprehensive Income:</t>
  </si>
  <si>
    <t>Remeasurement gains / (losses)</t>
  </si>
  <si>
    <t>Actuarial (Gain)/ Loss arising from:</t>
  </si>
  <si>
    <t>Demographic Assumptions</t>
  </si>
  <si>
    <t>N114305001</t>
  </si>
  <si>
    <t>Financial Assumptions</t>
  </si>
  <si>
    <t>N114305002</t>
  </si>
  <si>
    <t>Experience Adjustments</t>
  </si>
  <si>
    <t>N114305003</t>
  </si>
  <si>
    <t xml:space="preserve">Benefit payments </t>
  </si>
  <si>
    <t>N114405001</t>
  </si>
  <si>
    <t xml:space="preserve">Present value of defined benefit obligation at the end of the year </t>
  </si>
  <si>
    <t>Movement in fair value of plan assets are as follows :</t>
  </si>
  <si>
    <t xml:space="preserve">Fair value of plan assets at the beginning of the year </t>
  </si>
  <si>
    <t>N114106001</t>
  </si>
  <si>
    <t>Adjustment to Opening Balance</t>
  </si>
  <si>
    <t>Expected return on plan assets</t>
  </si>
  <si>
    <t>N114206001</t>
  </si>
  <si>
    <t>Actuarial gains and loss arising from changes in financial assumptions</t>
  </si>
  <si>
    <t>N114406001</t>
  </si>
  <si>
    <t>N114406002</t>
  </si>
  <si>
    <t xml:space="preserve">Contributions by employer </t>
  </si>
  <si>
    <t>N114506001</t>
  </si>
  <si>
    <t>N114606001</t>
  </si>
  <si>
    <t xml:space="preserve">Fair value of plan assets at the end of the year </t>
  </si>
  <si>
    <t xml:space="preserve">(e) </t>
  </si>
  <si>
    <t>The fair value of plan assets plan at the end of the reporting period are as follows:</t>
  </si>
  <si>
    <t>Investment Funds with Insurance Company</t>
  </si>
  <si>
    <t>Life Insurance Corporation of India</t>
  </si>
  <si>
    <t>The plan assets comprise insurer managed funds. None of the assets carry a quoted market price in active market or represent the entity's own transferable financial instruments or property occupied by the entity.</t>
  </si>
  <si>
    <t>Actuarial assumptions</t>
  </si>
  <si>
    <t>Investment Risk:</t>
  </si>
  <si>
    <t>The present value of defined benefit plan liability is calculated using a discount rate which is determined by reference to the prevailing market yields of Indian government securities as at the balance sheet date for the estimated term of the obligations.</t>
  </si>
  <si>
    <t>Interest Risk:</t>
  </si>
  <si>
    <t>A decrease in the bond interest rate will increase the plan liability;However, this will be partially offset by an increasein the return on the plan's Investments.</t>
  </si>
  <si>
    <t>Longevity Risk:</t>
  </si>
  <si>
    <t>The present value of the defined benefit plan liability is calculated by reference to the best estimate of the mortality of plan participants both during and after their employment. An increase in the life expectancy of the plan participants will increase the plan's liability.</t>
  </si>
  <si>
    <t>Salary Risk:</t>
  </si>
  <si>
    <t>The present value of the defined benefit plan liability is calculated by reference to the future salaries. In particular, there is a risk for The Group that any adverse salary growth can result in an increase in cost of providing these benefits to employees in future.</t>
  </si>
  <si>
    <t>The principal assumptions used for the purpose of actuarial valuation were as follows :</t>
  </si>
  <si>
    <t xml:space="preserve">Discount rate </t>
  </si>
  <si>
    <t>N314001001</t>
  </si>
  <si>
    <t>Expected rate of salary increase</t>
  </si>
  <si>
    <t>N314001002</t>
  </si>
  <si>
    <t>N314001003</t>
  </si>
  <si>
    <t>Expected Attrition rate based on Past Service (PS) (% p.a)</t>
  </si>
  <si>
    <t>N314001004</t>
  </si>
  <si>
    <t>Mortality</t>
  </si>
  <si>
    <t>Indian Assured Lives 
(2012-2014)</t>
  </si>
  <si>
    <t>The discount rate is based on the prevailing market yields of Indian Government securities as at balance sheet date for the estimated term of the obligation.</t>
  </si>
  <si>
    <t>The estimates of future salary increases considered takes into account the inflation, seniority, promotion and other relevant factors.</t>
  </si>
  <si>
    <t>In order to protect the capital and optimize returns within acceptable risk parameters, the plan assets are maintained with an insurer managed fund (maintained by the Life Insurance Corporation ("LIC")) and is well diversed.</t>
  </si>
  <si>
    <t>Sensitivity Analysis:</t>
  </si>
  <si>
    <t>The benefit obligation results of a such a scheme are particularly sensitive to discount rate, salary growth and employee attrition, if the plan provision do provide for such increases on commencement of pension. 
The following table summarizes the impact in financial terms on the reported defined benefit obligation at the end of the reporting period arising on account changes in these four key parameters:</t>
  </si>
  <si>
    <t>Increase / (Decrease) on the Defined benefit Obligation</t>
  </si>
  <si>
    <t>Discount Rate</t>
  </si>
  <si>
    <t>Increase by 100 bps</t>
  </si>
  <si>
    <t>N114701001</t>
  </si>
  <si>
    <t>Decrease by 100 bps</t>
  </si>
  <si>
    <t>N114701002</t>
  </si>
  <si>
    <t>Salary growth rate</t>
  </si>
  <si>
    <t>N114702001</t>
  </si>
  <si>
    <t>N114702002</t>
  </si>
  <si>
    <t>Attrition rate</t>
  </si>
  <si>
    <t>N114703001</t>
  </si>
  <si>
    <t>N114703002</t>
  </si>
  <si>
    <t>Mortality rate</t>
  </si>
  <si>
    <t>Increase by 10%</t>
  </si>
  <si>
    <t>N114704001</t>
  </si>
  <si>
    <t>These sensitivities have been calculated to show the movement in defined benefit obligation in isolation and assuming there are no other changes in market conditions at the accounting date. The sensitivity analysis presented above may not be representative of the actual change in the defined benefit obligations as it is unlikely that the change in assumptions would occur in isolation of one another as some of the assumptions may be correlated.</t>
  </si>
  <si>
    <t>Furthermore in presenting the above sensitivity analysis the present value of defined benefit obligation has been calculated using the projected unit credit method at the end of the reporting period which is the same as that applied in calculating the defined benefit obligation liability recognized in the balance sheet.
There is no change in the methods and assumptions used in preparing the sensitivity analysis from the prior years.</t>
  </si>
  <si>
    <t>Asset-Liability Matching Strategies</t>
  </si>
  <si>
    <t>The Group has purchased insurance policy, which is basically a year-on-year cash accumulation plan in which the interest rate is declared on yearly basis and is guaranteed for a period of one year. The insurance Company, as part of the policy rules, makes payment of all gratuity liability occurring during the year (subject to sufficiency of funds under the policy). The policy, thus, mitigates the liquidity risk. However, being a cash accumulation plan, the duration of assets is shorter compared to the duration of liabilities. Thus, The Group is exposed to movement in interest rate.</t>
  </si>
  <si>
    <t>Effect of Plan on Entity’s Future Cash Flows</t>
  </si>
  <si>
    <t>a) Funding Arrangements and Funding Policy</t>
  </si>
  <si>
    <t>-The Group has purchased an insurance policy to provide for payment of gratuity to the employees. Every year, the insurance Company carries out a funding valuation based                on the latest employee data provided by The Group. Any deficit in the assets arising as a result of such valuation is funded by The Group.</t>
  </si>
  <si>
    <t>b) The Group expects to make a contribution of Rs. 2.23 Croress during the next financial year.</t>
  </si>
  <si>
    <t>d) Maturity profile of defined benefit obligation:</t>
  </si>
  <si>
    <t>Expected cash flows over the next (valued on undiscounted basis):</t>
  </si>
  <si>
    <t>Within 1 year</t>
  </si>
  <si>
    <t>N114801001</t>
  </si>
  <si>
    <t>2 to 5 years</t>
  </si>
  <si>
    <t>N114801002</t>
  </si>
  <si>
    <t>6 to 10 years</t>
  </si>
  <si>
    <t>N114801003</t>
  </si>
  <si>
    <t>more than 10 years</t>
  </si>
  <si>
    <t>N114801004</t>
  </si>
  <si>
    <t>2022-23</t>
  </si>
  <si>
    <t>2021-22</t>
  </si>
  <si>
    <t>2020-21</t>
  </si>
  <si>
    <t>2019-20</t>
  </si>
  <si>
    <t>2018-19</t>
  </si>
  <si>
    <t>Defined Benefit Obligations</t>
  </si>
  <si>
    <t>N115001001</t>
  </si>
  <si>
    <t>N115001002</t>
  </si>
  <si>
    <t>N115001003</t>
  </si>
  <si>
    <t>N115001004</t>
  </si>
  <si>
    <t>N115001005</t>
  </si>
  <si>
    <t>Plan Assets</t>
  </si>
  <si>
    <t>N115002001</t>
  </si>
  <si>
    <t>N115002002</t>
  </si>
  <si>
    <t>N115002003</t>
  </si>
  <si>
    <t>N115002004</t>
  </si>
  <si>
    <t>N115002005</t>
  </si>
  <si>
    <t>Surplus / (Deficit)</t>
  </si>
  <si>
    <t>N115003001</t>
  </si>
  <si>
    <t>N115003002</t>
  </si>
  <si>
    <t>N115003003</t>
  </si>
  <si>
    <t>N115003004</t>
  </si>
  <si>
    <t>N115003005</t>
  </si>
  <si>
    <t>Experience Adjustments on Plan Liabilities</t>
  </si>
  <si>
    <t>N115004001</t>
  </si>
  <si>
    <t>N115004002</t>
  </si>
  <si>
    <t>N115004003</t>
  </si>
  <si>
    <t>N115004004</t>
  </si>
  <si>
    <t>N115004005</t>
  </si>
  <si>
    <t>Experience Adjustments on Plan Assets</t>
  </si>
  <si>
    <t>N115005001</t>
  </si>
  <si>
    <t>N115005002</t>
  </si>
  <si>
    <t>N115005003</t>
  </si>
  <si>
    <t>N115005004</t>
  </si>
  <si>
    <t>N115005005</t>
  </si>
  <si>
    <t>*Experience adjustments related to prior years have been disclosed based on the information to the extent available.</t>
  </si>
  <si>
    <t>Segment Revenue</t>
  </si>
  <si>
    <t>Total Revenue</t>
  </si>
  <si>
    <t>Segment Assets</t>
  </si>
  <si>
    <t>Outside Zambia</t>
  </si>
  <si>
    <t>The Company publishes these financial statements along with the consolidated financial statements. In accordance with Ind AS 108, Operating Segments, the Company has disclosed the segment information in the consolidated financial statements.</t>
  </si>
  <si>
    <t>The Company is primarily engaged in trading of Advanced Vision anlyzer and trial lens set for perimeter in a single business segment. Hence, reporting of operating segments does not arise. The Company does not have operations outside India.  Hence, disclosure of geographical segment information does not arise.</t>
  </si>
  <si>
    <t>The Group has taken medical equipment and buildings on leases having remaining lease terms of more than 1 year to 15 years, with the option to extend the term of leases. Refer Note 6 for carrying amount of right-to-use assets at the end of the reporting period by class of underlying asset.</t>
  </si>
  <si>
    <t xml:space="preserve">Accounting for leases under IFRS 16 </t>
  </si>
  <si>
    <t>Management has made various judgements and estimates under IFRS 16 as detailed below :</t>
  </si>
  <si>
    <r>
      <rPr>
        <b/>
        <sz val="10"/>
        <rFont val="Arial"/>
        <family val="2"/>
      </rPr>
      <t>Incremental borrowing rate:</t>
    </r>
    <r>
      <rPr>
        <sz val="10"/>
        <rFont val="Arial"/>
        <family val="2"/>
      </rPr>
      <t xml:space="preserve"> To determine the incremental borrowing rate, the Company:</t>
    </r>
  </si>
  <si>
    <t>- where possible, uses recent third-party financing received as a starting point, adjusted to reflect changes in financing conditions since third party financing was received;</t>
  </si>
  <si>
    <t>- uses a build-up approach that starts with a risk-free interest rate adjusted for credit risk, which does not have recent third party financing; and</t>
  </si>
  <si>
    <t>- makes adjustments specific to the lease, e.g.. term, country, currency and security.</t>
  </si>
  <si>
    <r>
      <rPr>
        <b/>
        <sz val="10"/>
        <rFont val="Arial"/>
        <family val="2"/>
      </rPr>
      <t>Lease term/period:</t>
    </r>
    <r>
      <rPr>
        <sz val="10"/>
        <rFont val="Arial"/>
        <family val="2"/>
      </rPr>
      <t xml:space="preserve"> In determining the lease term, management considers all facts and circumstances that create an economic incentive to exercise an extension option,or not exercise a termination option. Extension options (or periods after termination options) are only included in the lease term if the lease is reasonably certain to be extended (or not terminated).</t>
    </r>
  </si>
  <si>
    <t>- If there are significant penalties to terminate (or not extend), the company is typically reasonably certain to extend (or not terminate).</t>
  </si>
  <si>
    <t>- If any leasehold improvements are expected to have a significant remaining value, the company is typically reasonably certain to extend (or not terminate).</t>
  </si>
  <si>
    <t>- Otherwise, the company considers other factors including historical lease durations  and the costs and business disruption required to replace the leased asset.</t>
  </si>
  <si>
    <t>Most extension options in offices and vehicles leases have not been included in the lease liability because the company could replace the assets without significant cost or business disruption.</t>
  </si>
  <si>
    <t>The lease term is reassessed if an option is actually exercised (or not exercised) or the company becomes obliged to exercise (or not exercise) it. The assessment of reasonable certainty is only revised if a significant event or a significant change in circumstances occurs, which affects this assessment, and that is within the control of the lessee.</t>
  </si>
  <si>
    <t>Current lease liabilities</t>
  </si>
  <si>
    <t>Non-current lease liabilities</t>
  </si>
  <si>
    <t>Lease Obligation</t>
  </si>
  <si>
    <t>Expected Minimum Lease Commitment</t>
  </si>
  <si>
    <t>Payable - Not later than one year</t>
  </si>
  <si>
    <t>N118001001</t>
  </si>
  <si>
    <t>Payable - Later than one year but not later than five years</t>
  </si>
  <si>
    <t>N118001002</t>
  </si>
  <si>
    <t>Payable - Later than five years</t>
  </si>
  <si>
    <t>N118001003</t>
  </si>
  <si>
    <t>Interest on lease liabilities</t>
  </si>
  <si>
    <t>Expenses relating to short term leases</t>
  </si>
  <si>
    <t>Depreciation on right-of-use assets</t>
  </si>
  <si>
    <t>Total cash outflow for leases</t>
  </si>
  <si>
    <t>The Company has entered into finance lease agreements for certain Bio-medical equipments for a period not exceeding 5 years. As per the agreements, the company has the option to purchase the equipements, by paying a nominal amount at the end of its lease term.The lease rentals are payable by the Company on the basis of consumables purchased which are specifically committed as part of the contract. There are no increments relating to lease rentals and will be charged at the same amount for the lease period. The Company intends to purchase the asset at the end of the contract period. Minimum lease payments have been discounted by using company's weighted average cost of capital (10.57%).</t>
  </si>
  <si>
    <t>Finance lease liabilities are as follows:</t>
  </si>
  <si>
    <t>Future minimum lease payments</t>
  </si>
  <si>
    <t>Interest</t>
  </si>
  <si>
    <t>Under the Group's stock awards program, the employees and doctors of the Group are granted shares and other stock awards of the Company, in accordance with the terms and conditions as specified in the plan. The plan is assessed, managed and administered by the Group, whose shares and share based benefits have been granted to the employees and doctors of the Group. The Group currently operates an employee stock option ("ESOP") and a share appreciation rights ("SAR"). The Group has accounted for the amount of expense under Ind AS 102 considering the valuations carried out in respect of the same and has made the related disclosures required under INDAS 102.</t>
  </si>
  <si>
    <t>The stock awards granted generally vest over a four service period. The annual stock awards are granted effective of the 28th November 2022; this effective date is the "award date" used for stock plan administration purposes and shown in the awards agreement. The maximum number of shares in a stock award is, not exceeding 2% of the Paid Up Capital of the Holding Company, as on August 12, 2022, comprising 1,58,522 Options to or for the benefit of the employees of the Group.</t>
  </si>
  <si>
    <t>The following reconciles the share options at the beginning and at the end of the year:</t>
  </si>
  <si>
    <t>Options outstanding as at the beginning of the year</t>
  </si>
  <si>
    <t>N222103011</t>
  </si>
  <si>
    <t>Add: Options granted during the year</t>
  </si>
  <si>
    <t>N222103012</t>
  </si>
  <si>
    <t>Less: Options lapsed/forfeited during the year</t>
  </si>
  <si>
    <t>N222103013</t>
  </si>
  <si>
    <t>Less: Options exercised during the year</t>
  </si>
  <si>
    <t>N222103014</t>
  </si>
  <si>
    <t>Less: Options Transferred during the year</t>
  </si>
  <si>
    <t>N222103015</t>
  </si>
  <si>
    <t>Options outstanding as at the year end</t>
  </si>
  <si>
    <t>N222103010</t>
  </si>
  <si>
    <t>The fair value of each award was estimated on the date of grant using the following assumptions:</t>
  </si>
  <si>
    <t>Option price at the grant date</t>
  </si>
  <si>
    <t>N122102011</t>
  </si>
  <si>
    <t>Option life</t>
  </si>
  <si>
    <t>N122102012</t>
  </si>
  <si>
    <t>Exercise price</t>
  </si>
  <si>
    <t>N122102013</t>
  </si>
  <si>
    <r>
      <t xml:space="preserve">The </t>
    </r>
    <r>
      <rPr>
        <b/>
        <sz val="10"/>
        <rFont val="Arial"/>
        <family val="2"/>
      </rPr>
      <t>Share Appreciation Rights (SAR)</t>
    </r>
    <r>
      <rPr>
        <sz val="10"/>
        <rFont val="Arial"/>
        <family val="2"/>
      </rPr>
      <t xml:space="preserve"> gives consultant doctors of the Group the opportunity to receive a cash bonus equal to the appreciation in the value of the units which shall, for each Unit, be the difference between Fair Market Value of the equity shares as at Payment Event Trigger(PET)* of Dr. Agarwal's Health Care Limited (the holding company) and Rs. 2,548/- (excercise price) as stated under the Plan.</t>
    </r>
  </si>
  <si>
    <t>*PET is defined as either 1 of the 3 below:
i. On the occurrence of an Initial Public Offer (IPO) by the Holding Company
ii. Entry of any new investor in the Holding Company acquiring more than 30% shareholding or change of shareholding by more than 30% of the paid up capital in any manner.
iii. Any other event that the Board may decide at its own discretion.</t>
  </si>
  <si>
    <t>However, the payment timing shall not exceed 4 (four) years from the date of grant. If PET occurred only after 4 (four) years from the date of grant, then the 100% of the payment will be made at the end of the fourth year.</t>
  </si>
  <si>
    <t>SARs outstanding as at the beginning of the year</t>
  </si>
  <si>
    <t>Add: SARs granted during the year</t>
  </si>
  <si>
    <t>Less: SARs lapsed/forfeited during the year</t>
  </si>
  <si>
    <t>Less: SARs exercised during the year</t>
  </si>
  <si>
    <t>Less: SARs Transferred during the year</t>
  </si>
  <si>
    <t>The fair value of each award was estimated on the date of year end using the following assumptions:</t>
  </si>
  <si>
    <t>Share Appreciation Right price at the grant date</t>
  </si>
  <si>
    <t>N122202011</t>
  </si>
  <si>
    <t>N122202012</t>
  </si>
  <si>
    <t>N122202013</t>
  </si>
  <si>
    <t>ESOP cost accounted by the Group (Refer Note 18.5, and Note 29)</t>
  </si>
  <si>
    <t>N122301001</t>
  </si>
  <si>
    <t>SAR cost accounted by the Group (Refer Note 20)</t>
  </si>
  <si>
    <t>N122301002</t>
  </si>
  <si>
    <t>N122301000</t>
  </si>
  <si>
    <t>Earnings Per Share - Basic  – Rs.</t>
  </si>
  <si>
    <t xml:space="preserve">Earnings Per Share - Diluted – Rs. </t>
  </si>
  <si>
    <t>Profit / (Loss) after Tax - Amount in Rs. Crs</t>
  </si>
  <si>
    <t>Add: Share issue costs</t>
  </si>
  <si>
    <t>Less: Dividend on Compulsorily Convertible Cumulative Preference Shares (Including Tax thereon) - Rs. In Crs</t>
  </si>
  <si>
    <t>Net Profit attributable to Equity Shareholders - Rs. in Crs (Basic and Diluted)</t>
  </si>
  <si>
    <t>Weighted Average Number of Equity Shares (Face Value of Rs. 10 Each) - Basic (Nos.)</t>
  </si>
  <si>
    <t>Weighted Average Number of Equity Shares (Face Value of Rs. 10 Each) - Diluted (Nos.)</t>
  </si>
  <si>
    <t>Mauritius Consol</t>
  </si>
  <si>
    <t>The Group manages capital risk in order to maximize shareholders’ profit by maintaining sound/optimal capital structure. For the purpose of The Group’s capital management, capital includes Equity Share Capital and Other Equity including share of non-controlling Interest and Debt includes Borrowings and Other Financial Liabilities excluding Payables towards PPE net of Cash and bank balances. The Group monitors capital on the basis of the following gearing ratio. There is no change in the overall capital risk management strategy of The Group compared to last year.</t>
  </si>
  <si>
    <t>Gearing Ratio :</t>
  </si>
  <si>
    <t>Borrowings and Other Financial Liabilities</t>
  </si>
  <si>
    <t>Cash and Bank Balance</t>
  </si>
  <si>
    <t>Net Debt (A)</t>
  </si>
  <si>
    <t>Total Equity (B)</t>
  </si>
  <si>
    <t>Net Debt to equity ratio (A/B)</t>
  </si>
  <si>
    <t>Measured at fair value through P&amp;L  (FVTPL)</t>
  </si>
  <si>
    <t>Current Investments</t>
  </si>
  <si>
    <t>Measured at amortized cost</t>
  </si>
  <si>
    <t>Other Bank balances</t>
  </si>
  <si>
    <t>Trade receivables</t>
  </si>
  <si>
    <t>Other financial assets</t>
  </si>
  <si>
    <t>Measured at cost</t>
  </si>
  <si>
    <t>Non Current Investments</t>
  </si>
  <si>
    <t>Financial Liabilities :</t>
  </si>
  <si>
    <t>Measured at fair value through P&amp;L</t>
  </si>
  <si>
    <t>Other financial liabilities</t>
  </si>
  <si>
    <t>Trade Payables</t>
  </si>
  <si>
    <t>Payables towards PPE</t>
  </si>
  <si>
    <t>The management assessed that fair value of cash and cash equivalents, trade receivables, loans, borrowings, trade payables and other current financial assets and liabilities approximate their carrying amounts largely due to the short-term maturities of these instruments.</t>
  </si>
  <si>
    <t>The fair value of the financial assets and liabilities is included at the amount at which the instrument could be exchanged in a current transaction between willing parties, other than in a forced or liquidation sale.</t>
  </si>
  <si>
    <t>The following methods and assumptions were used to estimate the fair value/amortized cost</t>
  </si>
  <si>
    <t>(i) Long-term fixed-rate receivables/borrowings are evaluated by The Group based on parameters such as interest rates, specific country risk factors, individual losses and creditworthiness of the receivables</t>
  </si>
  <si>
    <t>(ii) The fair value of unquoted instruments, loans from banks and other financial liabilities, as well as other non-current financial liabilities are estimated by discounting future cash flows using rates currently available for debt on similar terms, credit risk and remaining maturities. In addition to being sensitive to a reasonably possible change in the forecast cash flows or discount rate, the fair value of the unquoted instruments is also sensitive to a reasonably possible change in the growth rates. The valuation requires management to use unobservable inputs in the model, of which the significant unobservable inputs are disclosed in the tables below. Management regularly assesses a range of reasonably possible alternatives for those significant unobservable inputs and determines their impact on the total fair value.</t>
  </si>
  <si>
    <t>(iii) Fair values of The Group’s interest-bearing borrowings and loans are determined by using Discounted Cash Flow (DCF) method using discount rate that reflects the issuer’s borrowing rate as at the end of the reporting period. The own non- performance risk as at 31 March 2023 was assessed to be insignificant.</t>
  </si>
  <si>
    <t>Fair Value Hierarchy</t>
  </si>
  <si>
    <t>Level 1: Quoted prices (unadjusted) in active markets for identical assets or liabilities.
Level 2: Inputs other than quoted prices included within Level 1 that are observable for the asset or liability, either directly or indirectly.
Level 3: Inputs for the assets or liabilities that are not based on observable market data (unobservable inputs).</t>
  </si>
  <si>
    <t>The Group’s board of directors and the board of directors of the respective subsidiaries/associate have overall responsibility for the establishment and oversight of The Group’s risk management framework. The Group manages financial risk relating to the operations through internal risk reports which analyze exposure by degree and magnitude of risk. 
The Group’s activities expose it to a variety of financial risks: liquidity risk, credit risk and market risk (including interest rate risk and other price risk). The Group’s primary risk management focus is to minimize potential adverse effects of market risk on its financial performance. The Group’s risk management assessment and policies and processes are established to identify and analyze the risks faced by The Group, to set appropriate risk limits and controls, and to monitor risks and compliance with the same. Risk assessment and management policies and processes are reviewed regularly to reflect changes in market conditions and The Group’s activities. The Board of Directors and the Audit Committee is responsible for overseeing The Group’s risk assessment and management policies and processes.</t>
  </si>
  <si>
    <t xml:space="preserve">(a) </t>
  </si>
  <si>
    <t>Liquidity Risk Management :</t>
  </si>
  <si>
    <t>Liquidity risk refers to the risk that The Group cannot meet its financial obligations as they become due. The Group manages its liquidity risk by ensuring as far as possible, that it will always have sufficient liquidity to meet its liabilities when due, under both normal and stressed conditions, without incurring unacceptable losses or risk to The Group’s reputation. The Group maintains adequate reserves and banking facilities, and continuously monitors the forecast and actual cash flows by matching maturing profiles of financial assets and financial liabilities in accordance with the approved risk management policy of The Group periodically. The Group believes that the expected future cashflows from the acquisitions during the year, working capital (including banking limits not utilized) and its cash and cash equivalent are sufficient to meet its short and medium term requirements.</t>
  </si>
  <si>
    <t>Liquidity and Interest Risk Tables :</t>
  </si>
  <si>
    <r>
      <t xml:space="preserve">The following tables detail The Group's remaining contractual maturity for its </t>
    </r>
    <r>
      <rPr>
        <b/>
        <sz val="10"/>
        <rFont val="Arial"/>
        <family val="2"/>
      </rPr>
      <t>non-derivative financial liabilities</t>
    </r>
    <r>
      <rPr>
        <sz val="10"/>
        <rFont val="Arial"/>
        <family val="2"/>
      </rPr>
      <t xml:space="preserve"> with agreed repayment periods. The tables include both interest and principal cash flows.</t>
    </r>
  </si>
  <si>
    <t>To the extent that interest flows are floating rate, the undiscounted amount is derived from interest rate curves at the end of the reporting period. The contractual maturity is based on the earliest date on which The Group may be required to pay. The interest bearing financial liabilities were high when compared to non interest bearing financial assets, which is primarily due to acquisition of hospitals during the year. This risk will be reduced with the operating cash inflows generated from the newly acquired hospitals and from the exisitng hospitals.</t>
  </si>
  <si>
    <t>1 to 5 years</t>
  </si>
  <si>
    <t>5 years and above</t>
  </si>
  <si>
    <t>Interest bearing</t>
  </si>
  <si>
    <t>N119101011</t>
  </si>
  <si>
    <t>N119101012</t>
  </si>
  <si>
    <t>N119101013</t>
  </si>
  <si>
    <t>FS input</t>
  </si>
  <si>
    <t>Non-interest bearing</t>
  </si>
  <si>
    <t>N119102011</t>
  </si>
  <si>
    <t>N119102012</t>
  </si>
  <si>
    <t>N119102013</t>
  </si>
  <si>
    <r>
      <t xml:space="preserve">The following tables detail The Group's remaining contractual maturity for its </t>
    </r>
    <r>
      <rPr>
        <b/>
        <sz val="10"/>
        <rFont val="Arial"/>
        <family val="2"/>
      </rPr>
      <t>non-derivative financial assets</t>
    </r>
    <r>
      <rPr>
        <sz val="10"/>
        <rFont val="Arial"/>
        <family val="2"/>
      </rPr>
      <t xml:space="preserve"> with agreed repayment periods. The Group does not hold any derivative financial instrument.</t>
    </r>
  </si>
  <si>
    <t>N119103011</t>
  </si>
  <si>
    <t>N119103012</t>
  </si>
  <si>
    <t>N119103013</t>
  </si>
  <si>
    <t>N119104011</t>
  </si>
  <si>
    <t>N119104012</t>
  </si>
  <si>
    <t>N119104013</t>
  </si>
  <si>
    <t>Credit Risk:</t>
  </si>
  <si>
    <t>Credit risk is the risk of financial loss to The Group if a customer or counterparty to a financial instrument fails to meet its contractual obligations. Credit risk encompasses of both, the direct risk of default and the risk of deterioration of creditworthiness as well as concentration of risks. Financial instruments that are subject to concentrations of credit risk principally consist of trade receivables, cash and cash equivalents, bank deposits and other financial assets. None of the other financial instruments of The Group result in material concentration of credit risk. Credit risk is controlled by analyzing credit limits and creditworthiness of customers on a continuous basis to whom the credit has been granted after obtaining necessary approvals for credit.
The carrying amount of the financial assets recorded in these financial statements, grossed up for any allowance for losses, represents the maximum exposures to credit risk.</t>
  </si>
  <si>
    <t xml:space="preserve">Trade receivables: The Group’s exposure to credit risk is influenced mainly by the individual characteristics of each customer. The demographics of the customer, including the default risk of the industry and credit history, also has an influence on credit risk assessment.
</t>
  </si>
  <si>
    <t>Credit risk on current investments, cash &amp; cash equivalent and derivatives is limited as The Group generally transacts with banks and financial institutions with high credit ratings assigned by international and domestic credit rating agencies. Investments primarily include investment in Mutual Funds.</t>
  </si>
  <si>
    <t>(b.1)</t>
  </si>
  <si>
    <t>Financing arrangements</t>
  </si>
  <si>
    <t>The Company has access to the following undrawn borrowing facilities at the end of the reporting period :</t>
  </si>
  <si>
    <t>From banks - Working capital limit</t>
  </si>
  <si>
    <t>Market Risk :</t>
  </si>
  <si>
    <t>Market risk is the risk of loss of any future earnings, in realizable fair values or in future cash flows that may result from adverse changes in market rates and prices (such as interest rates and foreign currency exchange rates) or in the price of market risk sensitive instruments as a result of such adverse changes in market rates and prices. Market risk is attributable to all market risk-sensitive financial instruments, all foreign currency receivables and payables and all short-term and long-term debt. The Group is exposed to market risk primarily related to foreign exchange rate risk and interest rate risk and the market value of its investments. Thus, The Group’s exposure to market risk is a function of investing and borrowing activities and revenue generating and operating activities in foreign currencies.</t>
  </si>
  <si>
    <t>(c.1)</t>
  </si>
  <si>
    <t>Interest rate risk:</t>
  </si>
  <si>
    <t>Interest rate risk is the risk that the fair value or future cash flows of a financial instrument will fluctuate because of changes in market interest rates. The Group’s exposure to the risk of changes in market interest rates relates primarily to The Group’s debt obligations with floating interest rates.</t>
  </si>
  <si>
    <t>The Group’s management monitors the interest fluctuations, if any, and accordingly, take necessary steps to mitigate any interest rate risk.</t>
  </si>
  <si>
    <t>Interest Rate sensitivity analysis:</t>
  </si>
  <si>
    <t>A change (decrease/increase) of 100 basis points in interest rates at the reporting date would increase/(decrease) equity and profit or loss by the amounts shown below. This analysis assumes that all other variables, in particular foreign currency rates, remain constant.</t>
  </si>
  <si>
    <t>Impact on Profit and loss for the reporting period</t>
  </si>
  <si>
    <t>Increase by 100bps</t>
  </si>
  <si>
    <t>Decrease by 100bps</t>
  </si>
  <si>
    <t>N119201001</t>
  </si>
  <si>
    <t>Impact on total equity as at the end of the reporting period</t>
  </si>
  <si>
    <t>(c.2)</t>
  </si>
  <si>
    <t>Foreign Currency Risk Management :</t>
  </si>
  <si>
    <t>The carrying amounts of The Group's foreign currency denominated monetary assets and monetary liabilities at the end of each reporting period are as follows :</t>
  </si>
  <si>
    <t>Amount in 
Foreign Currency</t>
  </si>
  <si>
    <t>Amount - Rs. In lakhs</t>
  </si>
  <si>
    <t>USD</t>
  </si>
  <si>
    <t>N119301011</t>
  </si>
  <si>
    <t>N119302011</t>
  </si>
  <si>
    <t>N119301012</t>
  </si>
  <si>
    <t>N119302012</t>
  </si>
  <si>
    <t>N119301013</t>
  </si>
  <si>
    <t>N119302013</t>
  </si>
  <si>
    <t>N119301014</t>
  </si>
  <si>
    <t>N119302014</t>
  </si>
  <si>
    <t>Foreign Currency sensitivity analysis:</t>
  </si>
  <si>
    <t>The following table details The Group's sensitivity to a 5% increase and decrease in INR against the relevant foreign currencies. 5% is the rate used in order to determine the sensitivity analysis considering the past trends and expectation of the management for changes in the foreign currency exchange rate. The sensitivity analysis includes the outstanding foreign currency denominated monetary items and adjusts their translation at the period end for a 5% change in foreign currency rates. A positive number below indicates a increase in profit / decrease in loss and increase in equity where the INR strengthens 5% against the relevant currency. For a 5% weakening of the INR against the relevant currency, there would be a comparable impact on the profit or loss and equity and balance below would be negative.</t>
  </si>
  <si>
    <t>Increase by 5%</t>
  </si>
  <si>
    <t>Decrease by 5%</t>
  </si>
  <si>
    <t>N119401001</t>
  </si>
  <si>
    <t>N01070</t>
  </si>
  <si>
    <t>Note :</t>
  </si>
  <si>
    <t>This is mainly attributable to the exposure of receivable and payable outstanding in the above mentioned currencies to The Group at the end of the reporting period.</t>
  </si>
  <si>
    <t>The Management considers that the carrying amount of financial assets and financial liabilities recognized in the financial statements approximate their fair values.</t>
  </si>
  <si>
    <t>The Group has not offset financial assets and financial liabilities.</t>
  </si>
  <si>
    <t>Financial Assets and Financial Liabilities that are not measured at fair value</t>
  </si>
  <si>
    <t>Financial Assets / Financial Liabilities</t>
  </si>
  <si>
    <t>Fair Value as at</t>
  </si>
  <si>
    <t>Value Technique and Key Inputs</t>
  </si>
  <si>
    <t>Investment in Subsidiaries - ABC Limited</t>
  </si>
  <si>
    <t>Level 1</t>
  </si>
  <si>
    <t>Quoted Net Asset value in Active markets</t>
  </si>
  <si>
    <t>The management assessed that financial assets and financial liabilities that are not measured at fair value in the financial statements approximate the fair values (except as as stated above) and accordingly, no disclosures of the fair value hierarchy is required to be made in respect of these assets / liabilities.</t>
  </si>
  <si>
    <t>RATIOS</t>
  </si>
  <si>
    <t>Variance</t>
  </si>
  <si>
    <t>Requirement</t>
  </si>
  <si>
    <t>i</t>
  </si>
  <si>
    <t>Current Ratio</t>
  </si>
  <si>
    <t>Comman</t>
  </si>
  <si>
    <t>Average KPI</t>
  </si>
  <si>
    <t>ii</t>
  </si>
  <si>
    <t>Debt-Equity Ratio</t>
  </si>
  <si>
    <t>3402600</t>
  </si>
  <si>
    <t>iii</t>
  </si>
  <si>
    <t>Debt Service Coverage Ratio</t>
  </si>
  <si>
    <t>iv</t>
  </si>
  <si>
    <t>Return on Equity Ratio (%)</t>
  </si>
  <si>
    <t>3402637</t>
  </si>
  <si>
    <t>v</t>
  </si>
  <si>
    <t>Inventory Turnover Ratio</t>
  </si>
  <si>
    <t>3402628</t>
  </si>
  <si>
    <t>vi</t>
  </si>
  <si>
    <t>Trade Receivables Turnover Ratio 
(i.e. Debtors Turnover Ratio)</t>
  </si>
  <si>
    <t>3402624</t>
  </si>
  <si>
    <t>vii</t>
  </si>
  <si>
    <t>Trade Payables Turnover Ratio</t>
  </si>
  <si>
    <t>MCA</t>
  </si>
  <si>
    <t>3402642</t>
  </si>
  <si>
    <t>viii</t>
  </si>
  <si>
    <t>Net Capital Turnover Ratio</t>
  </si>
  <si>
    <t>3402612</t>
  </si>
  <si>
    <t>ix</t>
  </si>
  <si>
    <t>Net Profit Ratio (%)</t>
  </si>
  <si>
    <t>3402611</t>
  </si>
  <si>
    <t>x</t>
  </si>
  <si>
    <t>Return on Capital Employed (%)</t>
  </si>
  <si>
    <t>3402645</t>
  </si>
  <si>
    <t>xi</t>
  </si>
  <si>
    <t>Return on Investment (%)</t>
  </si>
  <si>
    <t>3402651</t>
  </si>
  <si>
    <t>&amp;</t>
  </si>
  <si>
    <t>Debt-Equity Ratio decreased due to decrease in current borrowings</t>
  </si>
  <si>
    <t>*</t>
  </si>
  <si>
    <t>Debt Service Coverage Ratio decreased due to Increase in Finance Cost and decrease in Revenue from Operations.</t>
  </si>
  <si>
    <t>@</t>
  </si>
  <si>
    <t>Return on Equity Ratio decreased due to decrease in Revenue from Operations and increase in total expenses</t>
  </si>
  <si>
    <t>$</t>
  </si>
  <si>
    <t>Trade Payables Turnover Ratio increased due to decrease in Average Trade Payables.</t>
  </si>
  <si>
    <t>&amp;&amp;</t>
  </si>
  <si>
    <t>Net Profit Margin decreased due to increase in Operational Cost and Employee Benefit Expenses.</t>
  </si>
  <si>
    <t>##</t>
  </si>
  <si>
    <t>Return on Capital Employed decreased due to decrease in profit.</t>
  </si>
  <si>
    <t>@@</t>
  </si>
  <si>
    <t>Return on Investments increased due to increase higher returns on mutual fund</t>
  </si>
  <si>
    <t>Formulae for computation of ratios are as follows -</t>
  </si>
  <si>
    <t>=</t>
  </si>
  <si>
    <t>Current Assets</t>
  </si>
  <si>
    <t>Current Liabilities (Including Commercial Papers and Current maturities of Non-Current Borrowings)</t>
  </si>
  <si>
    <t>Debt/ Equity Ratio</t>
  </si>
  <si>
    <t>Non-Current Borrowings + Current Borrowings</t>
  </si>
  <si>
    <t>Equity Share Capital + Other Equity</t>
  </si>
  <si>
    <t xml:space="preserve">Debt Service Coverage Ratio     </t>
  </si>
  <si>
    <t>Earnings before Interest and Tax</t>
  </si>
  <si>
    <t>Interest Expense + Principal Repayments made during the period for long term loans</t>
  </si>
  <si>
    <t>Return on Equity Ratio</t>
  </si>
  <si>
    <t>Profit for the year attributable to Owners of the Company</t>
  </si>
  <si>
    <t>Average Net Worth</t>
  </si>
  <si>
    <t>Cost of Materials Consumed</t>
  </si>
  <si>
    <t>Average Inventories of Goods</t>
  </si>
  <si>
    <t>Trade Receivables Turnover Ratio</t>
  </si>
  <si>
    <t>Average Trade Receivables</t>
  </si>
  <si>
    <t>Purchases</t>
  </si>
  <si>
    <t>Average Trade Payables</t>
  </si>
  <si>
    <t>Net Worth</t>
  </si>
  <si>
    <t>Net Profit Margin (%)</t>
  </si>
  <si>
    <t>Profit/ (Loss) after Tax</t>
  </si>
  <si>
    <t>Return on Capital Employed</t>
  </si>
  <si>
    <t xml:space="preserve">Profit for the Purpose of ROCE
 (Before Exceptional Item) </t>
  </si>
  <si>
    <t>Average Capital Employed</t>
  </si>
  <si>
    <t>Return on Investment</t>
  </si>
  <si>
    <t xml:space="preserve">Other Income (Excluding Dividend) </t>
  </si>
  <si>
    <t>Average Cash, Cash Equivalents &amp; Other Marketable Securities</t>
  </si>
  <si>
    <t>Source Master</t>
  </si>
  <si>
    <t>Source Field</t>
  </si>
  <si>
    <t>Data</t>
  </si>
  <si>
    <t>Column ID</t>
  </si>
  <si>
    <t>Row ID</t>
  </si>
  <si>
    <t>FS_Data</t>
  </si>
  <si>
    <t>FS_Column_Id</t>
  </si>
  <si>
    <t>FS_Group_Id</t>
  </si>
  <si>
    <t>TB_Data</t>
  </si>
  <si>
    <t>TB_Column_Id</t>
  </si>
  <si>
    <t>TB_Group_Id</t>
  </si>
  <si>
    <t>SOCE_Data</t>
  </si>
  <si>
    <t>SOCE_Column_Id</t>
  </si>
  <si>
    <t>SOCE_Group_Id</t>
  </si>
  <si>
    <t>SEBI_PL_Data</t>
  </si>
  <si>
    <t>SEBI_PL_Column_Id</t>
  </si>
  <si>
    <t>SEBI_PL_Group_Id</t>
  </si>
  <si>
    <t>CF_Data</t>
  </si>
  <si>
    <t>CF_Column_Id</t>
  </si>
  <si>
    <t>CF_Group_Id</t>
  </si>
  <si>
    <t>CF_PY_Data</t>
  </si>
  <si>
    <t>CF_PY_Column_Id</t>
  </si>
  <si>
    <t>CF_PY_Group_Id</t>
  </si>
  <si>
    <t>Key</t>
  </si>
  <si>
    <t>Code</t>
  </si>
  <si>
    <t>ENTITY ID</t>
  </si>
  <si>
    <t>Air India Express</t>
  </si>
  <si>
    <t>NATURE OF REPORT</t>
  </si>
  <si>
    <t>Standalone</t>
  </si>
  <si>
    <t>SCENARIO</t>
  </si>
  <si>
    <t>Actual</t>
  </si>
  <si>
    <t>CURRENCY</t>
  </si>
  <si>
    <t>TAXONOMY ID</t>
  </si>
  <si>
    <t>IndAS</t>
  </si>
  <si>
    <t>FILING PERIOD</t>
  </si>
  <si>
    <t>2024_M_PRD_3</t>
  </si>
  <si>
    <t>2024 Mar YTD</t>
  </si>
  <si>
    <t>JOB ID</t>
  </si>
  <si>
    <t>Globex Services Pvt. Ltd.</t>
  </si>
  <si>
    <t>REPORT TEMPLATE ID</t>
  </si>
  <si>
    <t>IndAS Financial statements</t>
  </si>
  <si>
    <t>BASE URL</t>
  </si>
  <si>
    <t>https://devpatch.beyondsquare.com/</t>
  </si>
  <si>
    <t>ENTITY NAME</t>
  </si>
  <si>
    <t>Air India Exp</t>
  </si>
  <si>
    <t>CURRENT PERIOD</t>
  </si>
  <si>
    <t>CURRENT PERIOD MINUS ONE</t>
  </si>
  <si>
    <t>CURRENT PERIOD MINUS TWO</t>
  </si>
  <si>
    <t>CURRENT PERIOD MINUS THREE</t>
  </si>
  <si>
    <t>CURRENT PERIOD MINUS FOUR</t>
  </si>
  <si>
    <t>REPORT TEMPLATE TYPE</t>
  </si>
  <si>
    <t>ERG</t>
  </si>
  <si>
    <t>REPORT TEMPLATE TIMESTAMP</t>
  </si>
  <si>
    <t>2026-02-12T07:39:29</t>
  </si>
  <si>
    <t>LEVEL OF ROUNDING</t>
  </si>
  <si>
    <t>Lakhs</t>
  </si>
  <si>
    <t>BOOK_ID</t>
  </si>
  <si>
    <t>ENTITY</t>
  </si>
  <si>
    <t>India</t>
  </si>
  <si>
    <t>TAXONOMY</t>
  </si>
  <si>
    <t>JOB</t>
  </si>
  <si>
    <t>OUTPUT REPORT TEMPLATE</t>
  </si>
  <si>
    <t>Linked Excel Report</t>
  </si>
  <si>
    <t>REPORT GROUPS</t>
  </si>
  <si>
    <t>FA Sch test 1</t>
  </si>
  <si>
    <t>REPORT TEMPLATES</t>
  </si>
  <si>
    <t>Test Fa__19678</t>
  </si>
  <si>
    <t>Period Id</t>
  </si>
  <si>
    <t>Period Name</t>
  </si>
  <si>
    <t>Balance Sheet CY Date</t>
  </si>
  <si>
    <t>Balance Sheet PY Date</t>
  </si>
  <si>
    <t>Balance Sheet PY Minus One Date</t>
  </si>
  <si>
    <t>Profit &amp; Loss CY</t>
  </si>
  <si>
    <t>Profit &amp; Loss PY</t>
  </si>
  <si>
    <t>Assessment Year</t>
  </si>
  <si>
    <t>Cover Sheet Date</t>
  </si>
  <si>
    <t>Custom Date Format</t>
  </si>
  <si>
    <t>Alternate Period Name</t>
  </si>
  <si>
    <t>Alternate From Date</t>
  </si>
  <si>
    <t>Alternate To Date</t>
  </si>
  <si>
    <t>PERIOD_001</t>
  </si>
  <si>
    <t>MAR 24 (YTD)</t>
  </si>
  <si>
    <t>31st March 2024</t>
  </si>
  <si>
    <t>31st March 2023</t>
  </si>
  <si>
    <t>31st March 2022</t>
  </si>
  <si>
    <t>2023-24</t>
  </si>
  <si>
    <t>March-24</t>
  </si>
  <si>
    <t>CIN</t>
  </si>
  <si>
    <t>CASTING LEVEL OF ROUNDING</t>
  </si>
  <si>
    <t>CASTING PRECISION</t>
  </si>
  <si>
    <t>REPORT GROUPS INFO</t>
  </si>
  <si>
    <t>{"FA Sch test 1":{"Test Fa":{"P":[],"R":["custom_d4_name","custom_d3_name"],"C":["entity_sn"],"rt_id":19678,"D":["amount"],"parameter_data":"{\"show_total\":\"false\",\"sub_total\":\"top\",\"schedule_type\":\"FA Schedule\",\"report_type\":\"CTV\",\"level_of_rounding\":\"Actual\"}"}}}</t>
  </si>
  <si>
    <t>Origin Type</t>
  </si>
  <si>
    <t>Token</t>
  </si>
  <si>
    <t>Range Name</t>
  </si>
  <si>
    <t>Data Type</t>
  </si>
  <si>
    <t>Linked Value</t>
  </si>
  <si>
    <t>Presentation Value</t>
  </si>
  <si>
    <t>Group</t>
  </si>
  <si>
    <t>Value</t>
  </si>
  <si>
    <t>Signatory Type</t>
  </si>
  <si>
    <t>Signee1</t>
  </si>
  <si>
    <t>Signee1_Name</t>
  </si>
  <si>
    <t>Signee1_Designation</t>
  </si>
  <si>
    <t>Signee1_DIN</t>
  </si>
  <si>
    <t>Signee1_MembershipNo</t>
  </si>
  <si>
    <t>Signee1_Place</t>
  </si>
  <si>
    <t>Signee1_Date</t>
  </si>
  <si>
    <t>Signee2</t>
  </si>
  <si>
    <t>Signee2_Name</t>
  </si>
  <si>
    <t>Signee2_Designation</t>
  </si>
  <si>
    <t>Signee2_DIN</t>
  </si>
  <si>
    <t>Signee2_MembershipNo</t>
  </si>
  <si>
    <t>Signee2_Place</t>
  </si>
  <si>
    <t>Signee2_Date</t>
  </si>
  <si>
    <t>Signee3</t>
  </si>
  <si>
    <t>Signee3_Name</t>
  </si>
  <si>
    <t>Signee3_Designation</t>
  </si>
  <si>
    <t>Signee3_DIN</t>
  </si>
  <si>
    <t>Signee3_MembershipNo</t>
  </si>
  <si>
    <t>Signee3_Place</t>
  </si>
  <si>
    <t>Signee3_Date</t>
  </si>
  <si>
    <t>Auditor1</t>
  </si>
  <si>
    <t>Auditor1_Name</t>
  </si>
  <si>
    <t>Auditor1_Designation</t>
  </si>
  <si>
    <t>Auditor1_FirmName</t>
  </si>
  <si>
    <t>Auditor1_MembershipNo</t>
  </si>
  <si>
    <t>Auditor1_Place</t>
  </si>
  <si>
    <t>Auditor1_Date</t>
  </si>
  <si>
    <t>Auditor2</t>
  </si>
  <si>
    <t>Auditor2_Name</t>
  </si>
  <si>
    <t>Auditor2_Designation</t>
  </si>
  <si>
    <t>Auditor2_FirmName</t>
  </si>
  <si>
    <t>Auditor2_MembershipNo</t>
  </si>
  <si>
    <t>Auditor2_Place</t>
  </si>
  <si>
    <t>Auditor2_Date</t>
  </si>
  <si>
    <t>Auditor3</t>
  </si>
  <si>
    <t>Auditor3_Name</t>
  </si>
  <si>
    <t>Auditor3_Designation</t>
  </si>
  <si>
    <t>Auditor3_FirmName</t>
  </si>
  <si>
    <t>Auditor3_MembershipNo</t>
  </si>
  <si>
    <t>Auditor3_Place</t>
  </si>
  <si>
    <t>Auditor3_Date</t>
  </si>
  <si>
    <t>Test Fa</t>
  </si>
  <si>
    <t>Asset Category (Name)</t>
  </si>
  <si>
    <t>Asset Holding Type (Name)</t>
  </si>
  <si>
    <t>Owned</t>
  </si>
  <si>
    <t>Balance Sheet</t>
  </si>
  <si>
    <t>Item Label</t>
  </si>
  <si>
    <t>Sch No.</t>
  </si>
  <si>
    <t>002|INR|Actual|Standalone</t>
  </si>
  <si>
    <t>MAR 22 (YTD)</t>
  </si>
  <si>
    <t xml:space="preserve">    Balance Sheet</t>
  </si>
  <si>
    <t xml:space="preserve">                Balance Sheet Net dec4</t>
  </si>
  <si>
    <t xml:space="preserve">                Assets</t>
  </si>
  <si>
    <t xml:space="preserve">                        Non-Current Assets</t>
  </si>
  <si>
    <t xml:space="preserve">                                Property, plant and equipment(PPE)test</t>
  </si>
  <si>
    <t xml:space="preserve">                                Other Intangible Assets</t>
  </si>
  <si>
    <t>7</t>
  </si>
  <si>
    <t xml:space="preserve">                                Right to Use Assets</t>
  </si>
  <si>
    <t>5</t>
  </si>
  <si>
    <t xml:space="preserve">                                Total Fixed Asset</t>
  </si>
  <si>
    <t xml:space="preserve">                                Financial Assets</t>
  </si>
  <si>
    <t xml:space="preserve">                                        Investments</t>
  </si>
  <si>
    <t>17</t>
  </si>
  <si>
    <t xml:space="preserve">                                                Investment in AJEHPL</t>
  </si>
  <si>
    <t xml:space="preserve">                                                Investment in Elisar</t>
  </si>
  <si>
    <t xml:space="preserve">                                        Other Financial Assets</t>
  </si>
  <si>
    <t>11</t>
  </si>
  <si>
    <t xml:space="preserve">                                Total Financial Assets</t>
  </si>
  <si>
    <t xml:space="preserve">                                Non Current Tax Assets (Net)</t>
  </si>
  <si>
    <t>12</t>
  </si>
  <si>
    <t xml:space="preserve">                                Deferred Tax Assets (Net)</t>
  </si>
  <si>
    <t>14</t>
  </si>
  <si>
    <t xml:space="preserve">                        Total Non-Current Assets</t>
  </si>
  <si>
    <t xml:space="preserve">                        Current Assets</t>
  </si>
  <si>
    <t xml:space="preserve">                                Inventories</t>
  </si>
  <si>
    <t xml:space="preserve">                                        Trade Receivables</t>
  </si>
  <si>
    <t>18</t>
  </si>
  <si>
    <t xml:space="preserve">                                        Cash and cash equivalents</t>
  </si>
  <si>
    <t>19</t>
  </si>
  <si>
    <t>22</t>
  </si>
  <si>
    <t xml:space="preserve">                                Other Current Assets</t>
  </si>
  <si>
    <t>24</t>
  </si>
  <si>
    <t xml:space="preserve">                        Total Current Assets</t>
  </si>
  <si>
    <t xml:space="preserve">                Total Assets</t>
  </si>
  <si>
    <t xml:space="preserve">                EQUITY AND LIABILITIES</t>
  </si>
  <si>
    <t xml:space="preserve">                        EQUITY</t>
  </si>
  <si>
    <t xml:space="preserve">                                Share CapitalSSSS</t>
  </si>
  <si>
    <t>25</t>
  </si>
  <si>
    <t xml:space="preserve">                                Other Equity</t>
  </si>
  <si>
    <t>26</t>
  </si>
  <si>
    <t xml:space="preserve">                        Total Equity</t>
  </si>
  <si>
    <t xml:space="preserve">                        LIABILITIES</t>
  </si>
  <si>
    <t xml:space="preserve">                                NON-CURRENT LIABILITIES</t>
  </si>
  <si>
    <t xml:space="preserve">                                        Financial Liabilities</t>
  </si>
  <si>
    <t xml:space="preserve">                                                Borrowings</t>
  </si>
  <si>
    <t>28</t>
  </si>
  <si>
    <t xml:space="preserve">                                                Lease Liabilities</t>
  </si>
  <si>
    <t>29</t>
  </si>
  <si>
    <t xml:space="preserve">                                        Financial liabilities - Non Current</t>
  </si>
  <si>
    <t xml:space="preserve">                                        Non Current Tax Liabilities (Net)</t>
  </si>
  <si>
    <t>32</t>
  </si>
  <si>
    <t xml:space="preserve">                                Total Non-Current Liabilities</t>
  </si>
  <si>
    <t xml:space="preserve">                                CURRENT LIABILITIES</t>
  </si>
  <si>
    <t>34</t>
  </si>
  <si>
    <t>35</t>
  </si>
  <si>
    <t xml:space="preserve">                                                Trade Payables due to</t>
  </si>
  <si>
    <t>36</t>
  </si>
  <si>
    <t xml:space="preserve">                                                        Other than Micro Enterprises and Small Enterprises</t>
  </si>
  <si>
    <t xml:space="preserve">                                                Total Trade payables</t>
  </si>
  <si>
    <t xml:space="preserve">                                                Other Financial Liabilities</t>
  </si>
  <si>
    <t>37</t>
  </si>
  <si>
    <t xml:space="preserve">                                        Financial liabilities - Current</t>
  </si>
  <si>
    <t xml:space="preserve">                                        Other Current Liabilities</t>
  </si>
  <si>
    <t>38</t>
  </si>
  <si>
    <t xml:space="preserve">                                        Current Tax Liabilities (Net)</t>
  </si>
  <si>
    <t>39</t>
  </si>
  <si>
    <t xml:space="preserve">                                Total Current Liabilities</t>
  </si>
  <si>
    <t xml:space="preserve">                        Total Liabilities</t>
  </si>
  <si>
    <t xml:space="preserve">                Total Equity and Liabilities</t>
  </si>
  <si>
    <t>Profit and Loss</t>
  </si>
  <si>
    <t>Sch No</t>
  </si>
  <si>
    <t xml:space="preserve">    STATEMENT OF PROFIT AND LOSS</t>
  </si>
  <si>
    <t xml:space="preserve">                Income</t>
  </si>
  <si>
    <t xml:space="preserve">                        Revenue from operations</t>
  </si>
  <si>
    <t>41</t>
  </si>
  <si>
    <t xml:space="preserve">                        Other income</t>
  </si>
  <si>
    <t>42</t>
  </si>
  <si>
    <t xml:space="preserve">                Total Income</t>
  </si>
  <si>
    <t xml:space="preserve">                Expenses</t>
  </si>
  <si>
    <t xml:space="preserve">                        Cost of material Consumed</t>
  </si>
  <si>
    <t>43</t>
  </si>
  <si>
    <t xml:space="preserve">                        Employee Benefit Expenses</t>
  </si>
  <si>
    <t>47</t>
  </si>
  <si>
    <t xml:space="preserve">                        Finance Costs</t>
  </si>
  <si>
    <t>48</t>
  </si>
  <si>
    <t xml:space="preserve">                        Depreciation and amortisation expense</t>
  </si>
  <si>
    <t>49</t>
  </si>
  <si>
    <t xml:space="preserve">                        Other expenses</t>
  </si>
  <si>
    <t>50</t>
  </si>
  <si>
    <t xml:space="preserve">                Total expenses</t>
  </si>
  <si>
    <t xml:space="preserve">                Profit from continuing operations before tax</t>
  </si>
  <si>
    <t xml:space="preserve">                Tax Expenses</t>
  </si>
  <si>
    <t xml:space="preserve">                        Current tax</t>
  </si>
  <si>
    <t>50.5</t>
  </si>
  <si>
    <t xml:space="preserve">                                5012603 - Income Tax Provision</t>
  </si>
  <si>
    <t xml:space="preserve">                        Deferred tax</t>
  </si>
  <si>
    <t>50.6</t>
  </si>
  <si>
    <t xml:space="preserve">                                5012606 - Deferred Tax - (P&amp;L)</t>
  </si>
  <si>
    <t xml:space="preserve">                Total Tax Expenses</t>
  </si>
  <si>
    <t xml:space="preserve">                Profit/(loss) for the period</t>
  </si>
  <si>
    <t xml:space="preserve">                Total Comprehensive Income for the period</t>
  </si>
  <si>
    <t>Cashflow</t>
  </si>
  <si>
    <t>001|Cashflow</t>
  </si>
  <si>
    <t>002|Cashflow</t>
  </si>
  <si>
    <t>002|CFCasting</t>
  </si>
  <si>
    <t>MAR 23 (YTD)</t>
  </si>
  <si>
    <t>CF Casting</t>
  </si>
  <si>
    <t xml:space="preserve">    CF View</t>
  </si>
  <si>
    <t xml:space="preserve">                Net Value</t>
  </si>
  <si>
    <t xml:space="preserve">                        CASH FLOW FROM OPERATING ACTIVITIES</t>
  </si>
  <si>
    <t xml:space="preserve">                                Operating Profit/ (Loss) before Working Capital Changes</t>
  </si>
  <si>
    <t xml:space="preserve">                                        Profit from continuing operations before tax</t>
  </si>
  <si>
    <t xml:space="preserve">                                                Profit(loss) for the year from continuing operations</t>
  </si>
  <si>
    <t xml:space="preserve">                                        Depreciation and amortisation expense Reversal</t>
  </si>
  <si>
    <t xml:space="preserve">                                        Finance Cost Reversal</t>
  </si>
  <si>
    <t xml:space="preserve">                                Adjusted for Working Capital changes</t>
  </si>
  <si>
    <t xml:space="preserve">                                        Trade and Other Receivables Parent</t>
  </si>
  <si>
    <t xml:space="preserve">                                                Trade and Other Receivables</t>
  </si>
  <si>
    <t xml:space="preserve">                                                Other Financial Assets - Current</t>
  </si>
  <si>
    <t xml:space="preserve">                                                Other Non Current Financial Assets</t>
  </si>
  <si>
    <t xml:space="preserve">                                                Other Current Assets</t>
  </si>
  <si>
    <t xml:space="preserve">                                        Trade and Other Payables</t>
  </si>
  <si>
    <t xml:space="preserve">                                                Trade payables</t>
  </si>
  <si>
    <t xml:space="preserve">                                                Other Financial liabilities - Current</t>
  </si>
  <si>
    <t xml:space="preserve">                                                Other Current Liabilities</t>
  </si>
  <si>
    <t xml:space="preserve">                                        Inventories</t>
  </si>
  <si>
    <t xml:space="preserve">                                                Inventories</t>
  </si>
  <si>
    <t xml:space="preserve">                                Taxes (Paid)/ Refund (Net)</t>
  </si>
  <si>
    <t xml:space="preserve">                                        Non Current Tax Assets (Net)</t>
  </si>
  <si>
    <t xml:space="preserve">                                        Deferred Tax assets</t>
  </si>
  <si>
    <t xml:space="preserve">                                        Tax Expenses</t>
  </si>
  <si>
    <t xml:space="preserve">                        CASH FLOW FROM INVESTING ACTIVITIES</t>
  </si>
  <si>
    <t xml:space="preserve">                                Payment for Property, Plant and Equipment, Capital Work-In-Progress and Other Intangible Assets</t>
  </si>
  <si>
    <t xml:space="preserve">                                        Changes in PPE</t>
  </si>
  <si>
    <t xml:space="preserve">                                        Depreciation and amortisation expense</t>
  </si>
  <si>
    <t xml:space="preserve">                                Purchase of Non-Current Investments</t>
  </si>
  <si>
    <t xml:space="preserve">                                        Investments - Non Current</t>
  </si>
  <si>
    <t xml:space="preserve">                        CASH FLOW FROM FINANCING ACTIVITIES</t>
  </si>
  <si>
    <t xml:space="preserve">                                        Other Equity</t>
  </si>
  <si>
    <t xml:space="preserve">                                        Profit/(loss) for the period</t>
  </si>
  <si>
    <t xml:space="preserve">                                Proceeds from Borrowings - Non-Current</t>
  </si>
  <si>
    <t xml:space="preserve">                                        Borrowings - Non Current</t>
  </si>
  <si>
    <t xml:space="preserve">                                Borrowings - Current</t>
  </si>
  <si>
    <t xml:space="preserve">                                        Borrowings - Current</t>
  </si>
  <si>
    <t xml:space="preserve">                                Payment of Lease Liabilities</t>
  </si>
  <si>
    <t xml:space="preserve">                                        Lease liabilities - Non Current</t>
  </si>
  <si>
    <t xml:space="preserve">                                        Lease Liabilities - Short term</t>
  </si>
  <si>
    <t xml:space="preserve">                                Proceeds from Issue of Equity Share Capital</t>
  </si>
  <si>
    <t xml:space="preserve">                                        Share CapitalSSSS</t>
  </si>
  <si>
    <t xml:space="preserve">                                Finance Costs</t>
  </si>
  <si>
    <t xml:space="preserve">                                        Finance Costs</t>
  </si>
  <si>
    <t xml:space="preserve">                        Net Increase / (Decrease) in Cash and Cash Equivalents</t>
  </si>
  <si>
    <t xml:space="preserve">                                Cash and cash equivalents</t>
  </si>
  <si>
    <t>BS Schedules</t>
  </si>
  <si>
    <t xml:space="preserve">    BS Schedules</t>
  </si>
  <si>
    <t xml:space="preserve">                11.Investments non-current</t>
  </si>
  <si>
    <t xml:space="preserve">                        Investment in Elisar</t>
  </si>
  <si>
    <t>test</t>
  </si>
  <si>
    <t xml:space="preserve">                        Investment in AJEHPL</t>
  </si>
  <si>
    <t xml:space="preserve">                        Total Investments</t>
  </si>
  <si>
    <t xml:space="preserve">                11.Other Non current Financial Assets</t>
  </si>
  <si>
    <t xml:space="preserve">                        Rental Deposits</t>
  </si>
  <si>
    <t xml:space="preserve">                        Total non current financial assets</t>
  </si>
  <si>
    <t xml:space="preserve">                12.Tax assets (Net) non-current</t>
  </si>
  <si>
    <t xml:space="preserve">                        TDS receivables</t>
  </si>
  <si>
    <t xml:space="preserve">                        Total Tax assets</t>
  </si>
  <si>
    <t xml:space="preserve">                Deferred Tax assets</t>
  </si>
  <si>
    <t xml:space="preserve">                16.Inventories</t>
  </si>
  <si>
    <t xml:space="preserve">                        Total Traded Goods</t>
  </si>
  <si>
    <t xml:space="preserve">                                Opticals</t>
  </si>
  <si>
    <t xml:space="preserve">                                Pharmaceutical Products</t>
  </si>
  <si>
    <t xml:space="preserve">                                Contact Lens and Accessories</t>
  </si>
  <si>
    <t xml:space="preserve">                        Consumables - Inventory</t>
  </si>
  <si>
    <t xml:space="preserve">                        Total Inventories</t>
  </si>
  <si>
    <t xml:space="preserve">                18.Trade receivables</t>
  </si>
  <si>
    <t xml:space="preserve">                        Undisputed Trade Receivables - Considered Good</t>
  </si>
  <si>
    <t xml:space="preserve">                        Allowance for expected credit loss</t>
  </si>
  <si>
    <t xml:space="preserve">                        Total Trade Receivables</t>
  </si>
  <si>
    <t xml:space="preserve">                19.Cash and Cash equivalents</t>
  </si>
  <si>
    <t xml:space="preserve">                        Cash on Hand</t>
  </si>
  <si>
    <t xml:space="preserve">                        Bank balances</t>
  </si>
  <si>
    <t xml:space="preserve">                                In Current Accounts</t>
  </si>
  <si>
    <t xml:space="preserve">                        Total Cash and cash equivalents</t>
  </si>
  <si>
    <t xml:space="preserve">                22.Other Financial Assets Current</t>
  </si>
  <si>
    <t xml:space="preserve">                        Other Current Financial Assets</t>
  </si>
  <si>
    <t xml:space="preserve">                                Receivable from Related Parties</t>
  </si>
  <si>
    <t xml:space="preserve">                        Total Other Financial Assets</t>
  </si>
  <si>
    <t xml:space="preserve">                24.Other Current Assets</t>
  </si>
  <si>
    <t xml:space="preserve">                        Prepaid expenses - Current</t>
  </si>
  <si>
    <t xml:space="preserve">                        Advances to employees - Current</t>
  </si>
  <si>
    <t xml:space="preserve">                        Advances to suppliers</t>
  </si>
  <si>
    <t xml:space="preserve">                        Total Other Current Assets</t>
  </si>
  <si>
    <t xml:space="preserve">                28.Borrowings non-current</t>
  </si>
  <si>
    <t xml:space="preserve">                        Long term borrowings - Related parties</t>
  </si>
  <si>
    <t xml:space="preserve">                        Total Borrowings</t>
  </si>
  <si>
    <t xml:space="preserve">                29.Lease liabilities - Non Current</t>
  </si>
  <si>
    <t xml:space="preserve">                32.Tax Liabilities non-current</t>
  </si>
  <si>
    <t xml:space="preserve">                        Provision for Tax</t>
  </si>
  <si>
    <t xml:space="preserve">                34.Borrowings current</t>
  </si>
  <si>
    <t xml:space="preserve">                        Loan from Related parties - Current</t>
  </si>
  <si>
    <t xml:space="preserve">                        Total Borrowings current</t>
  </si>
  <si>
    <t xml:space="preserve">                36.Trade payables</t>
  </si>
  <si>
    <t xml:space="preserve">                        Dues of Creditors Other than MSME</t>
  </si>
  <si>
    <t xml:space="preserve">                        Total Trade payables</t>
  </si>
  <si>
    <t xml:space="preserve">                37.Other Financial Liabilities current</t>
  </si>
  <si>
    <t xml:space="preserve">                        Payables towards purchase of Property, Plant and Equipment</t>
  </si>
  <si>
    <t xml:space="preserve">                        Total Other Financial liabilities current</t>
  </si>
  <si>
    <t xml:space="preserve">                Lease Liabilities current</t>
  </si>
  <si>
    <t xml:space="preserve">                38.Other Current Liabilities</t>
  </si>
  <si>
    <t xml:space="preserve">                        Contract liabilities</t>
  </si>
  <si>
    <t xml:space="preserve">                        Statutory remittances</t>
  </si>
  <si>
    <t xml:space="preserve">                        Total Other Current Liabilities</t>
  </si>
  <si>
    <t xml:space="preserve">                39.Current Tax Liabilities (Net)</t>
  </si>
  <si>
    <t xml:space="preserve">                        Provision for Tax - Current</t>
  </si>
  <si>
    <t>PL Schedules</t>
  </si>
  <si>
    <t xml:space="preserve">    41.Revenue from Operations</t>
  </si>
  <si>
    <t xml:space="preserve">                Sale of products</t>
  </si>
  <si>
    <t xml:space="preserve">                Sale of services</t>
  </si>
  <si>
    <t xml:space="preserve">                Total Revenue from operations</t>
  </si>
  <si>
    <t xml:space="preserve">    42.Other Income</t>
  </si>
  <si>
    <t xml:space="preserve">                Miscellaneous Income</t>
  </si>
  <si>
    <t xml:space="preserve">                Total Other income</t>
  </si>
  <si>
    <t xml:space="preserve">    43.Cost of goods sold</t>
  </si>
  <si>
    <t xml:space="preserve">                Opticals</t>
  </si>
  <si>
    <t xml:space="preserve">                Pharmaceuticals Products</t>
  </si>
  <si>
    <t xml:space="preserve">                Contact Lens and Accessories</t>
  </si>
  <si>
    <t xml:space="preserve">                Total Cost Of Goods Sold</t>
  </si>
  <si>
    <t xml:space="preserve">    47.Employee benefit expenses</t>
  </si>
  <si>
    <t xml:space="preserve">                Salaries and Bonus</t>
  </si>
  <si>
    <t xml:space="preserve">                Staff welfare expenses</t>
  </si>
  <si>
    <t xml:space="preserve">                Contributions to Provident and Other Funds</t>
  </si>
  <si>
    <t xml:space="preserve">                Total Employee Benefit Expenses</t>
  </si>
  <si>
    <t xml:space="preserve">    48.Finance cost</t>
  </si>
  <si>
    <t xml:space="preserve">                Interest on lease liability</t>
  </si>
  <si>
    <t xml:space="preserve">                Net Loss on Foreign Currency Transactions and Translation (Finance costs)</t>
  </si>
  <si>
    <t xml:space="preserve">                Total Finance Costs</t>
  </si>
  <si>
    <t xml:space="preserve">    49.Depreciation and Amortisation</t>
  </si>
  <si>
    <t xml:space="preserve">                Depreciation on Tangible Assets</t>
  </si>
  <si>
    <t xml:space="preserve">                Amortization on Intangible Assets</t>
  </si>
  <si>
    <t xml:space="preserve">                Depreciation on Right-of-use assets</t>
  </si>
  <si>
    <t xml:space="preserve">                Total Depreciation and amortisation expense</t>
  </si>
  <si>
    <t xml:space="preserve">    50.Other expenses</t>
  </si>
  <si>
    <t xml:space="preserve">                Power and Fuel</t>
  </si>
  <si>
    <t xml:space="preserve">                Consumables</t>
  </si>
  <si>
    <t xml:space="preserve">                Business Promotion and Entertainment</t>
  </si>
  <si>
    <t xml:space="preserve">                Software Maintenance Charges</t>
  </si>
  <si>
    <t xml:space="preserve">                Rates and Taxes</t>
  </si>
  <si>
    <t xml:space="preserve">                Marketing Expenses</t>
  </si>
  <si>
    <t xml:space="preserve">                Rent</t>
  </si>
  <si>
    <t xml:space="preserve">                Repairs &amp; Maintenance</t>
  </si>
  <si>
    <t xml:space="preserve">                        Repairs &amp; Maintenance -Others</t>
  </si>
  <si>
    <t xml:space="preserve">                Communication</t>
  </si>
  <si>
    <t xml:space="preserve">                Consultancy charges</t>
  </si>
  <si>
    <t xml:space="preserve">                Legal and Professional Charges</t>
  </si>
  <si>
    <t xml:space="preserve">                Payment to Auditors</t>
  </si>
  <si>
    <t xml:space="preserve">                Travelling and Conveyance</t>
  </si>
  <si>
    <t xml:space="preserve">                Allowance for expected credit losses</t>
  </si>
  <si>
    <t xml:space="preserve">                Water Consumption</t>
  </si>
  <si>
    <t xml:space="preserve">                Hospital Maintenance charges</t>
  </si>
  <si>
    <t xml:space="preserve">                Insurance</t>
  </si>
  <si>
    <t xml:space="preserve">                Net Loss on Foreign Currency Transactions and Translation</t>
  </si>
  <si>
    <t xml:space="preserve">                Printing and Stationery</t>
  </si>
  <si>
    <t xml:space="preserve">                Miscellaneous Expenses</t>
  </si>
  <si>
    <t xml:space="preserve">                Total Other expenses</t>
  </si>
  <si>
    <t xml:space="preserve">    Tax expense</t>
  </si>
  <si>
    <t xml:space="preserve">                Current tax</t>
  </si>
  <si>
    <t xml:space="preserve">                Deferred tax</t>
  </si>
  <si>
    <t>sample</t>
  </si>
  <si>
    <t>Entity</t>
  </si>
  <si>
    <t>Journal Type</t>
  </si>
  <si>
    <t>Journal Id</t>
  </si>
  <si>
    <t>Journal Line Item Id</t>
  </si>
  <si>
    <t>Reversal No.</t>
  </si>
  <si>
    <t>Posting Date</t>
  </si>
  <si>
    <t>Journal Date</t>
  </si>
  <si>
    <t>Journal Category</t>
  </si>
  <si>
    <t>GL Account</t>
  </si>
  <si>
    <t>GL Description</t>
  </si>
  <si>
    <t>Grouping Id</t>
  </si>
  <si>
    <t>FinAlyzer Grouping</t>
  </si>
  <si>
    <t>Account Nature</t>
  </si>
  <si>
    <t>Journal Header</t>
  </si>
  <si>
    <t>Narration</t>
  </si>
  <si>
    <t>Export Status</t>
  </si>
  <si>
    <t>Debit</t>
  </si>
  <si>
    <t>Credit</t>
  </si>
  <si>
    <t>dummycol</t>
  </si>
  <si>
    <t>PKS</t>
  </si>
  <si>
    <t>Adjustment</t>
  </si>
  <si>
    <t>203630</t>
  </si>
  <si>
    <t>12 Feb 2026</t>
  </si>
  <si>
    <t>31 Mar 2022</t>
  </si>
  <si>
    <t>40101216</t>
  </si>
  <si>
    <t>SALES REFRACTIVE SURGERY</t>
  </si>
  <si>
    <t>15700048</t>
  </si>
  <si>
    <t>Revenue</t>
  </si>
  <si>
    <t>Not exported</t>
  </si>
  <si>
    <t>20102101</t>
  </si>
  <si>
    <t>DNR_HDFC</t>
  </si>
  <si>
    <t>15700348</t>
  </si>
  <si>
    <t>Asset</t>
  </si>
  <si>
    <t>203631</t>
  </si>
  <si>
    <t>203632</t>
  </si>
  <si>
    <t>203725</t>
  </si>
  <si>
    <t>31 Mar 2023</t>
  </si>
  <si>
    <t>5011702</t>
  </si>
  <si>
    <t>Dividend</t>
  </si>
  <si>
    <t>15700156</t>
  </si>
  <si>
    <t>Liability</t>
  </si>
  <si>
    <t>test 09 Mar</t>
  </si>
  <si>
    <t>7000020</t>
  </si>
  <si>
    <t>15700162</t>
  </si>
  <si>
    <t>Opening Reserves and Surplus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</si>
</sst>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0_);_(* \(#,##0\);_(* &quot;-&quot;??_);_(@_)"/>
    <numFmt numFmtId="166" formatCode="0.0"/>
  </numFmts>
  <fonts count="71">
    <font>
      <sz val="10"/>
      <name val="Arial"/>
    </font>
    <font>
      <sz val="11"/>
      <color theme="1"/>
      <name val="Aptos Narrow"/>
      <family val="2"/>
      <scheme val="minor"/>
    </font>
    <font>
      <sz val="11"/>
      <color theme="1"/>
      <name val="Aptos Narrow"/>
      <family val="2"/>
      <scheme val="minor"/>
    </font>
    <font>
      <b/>
      <sz val="11"/>
      <color theme="1"/>
      <name val="Aptos Narrow"/>
      <family val="2"/>
      <scheme val="minor"/>
    </font>
    <font>
      <b/>
      <u/>
      <sz val="11"/>
      <color theme="1"/>
      <name val="Aptos Narrow"/>
      <family val="2"/>
      <scheme val="minor"/>
    </font>
    <font>
      <b/>
      <sz val="12"/>
      <name val="Arial"/>
      <family val="2"/>
    </font>
    <font>
      <b/>
      <sz val="10"/>
      <name val="Arial"/>
      <family val="2"/>
    </font>
    <font>
      <sz val="10"/>
      <name val="Arial"/>
      <family val="2"/>
    </font>
    <font>
      <sz val="10"/>
      <color theme="1"/>
      <name val="Arial"/>
      <family val="2"/>
    </font>
    <font>
      <vertAlign val="superscript"/>
      <sz val="10"/>
      <name val="Arial"/>
      <family val="2"/>
    </font>
    <font>
      <b/>
      <sz val="12"/>
      <color rgb="FFFF0000"/>
      <name val="Arial"/>
      <family val="2"/>
    </font>
    <font>
      <b/>
      <sz val="10"/>
      <color rgb="FFFFFF00"/>
      <name val="Arial"/>
      <family val="2"/>
    </font>
    <font>
      <b/>
      <sz val="10"/>
      <color rgb="FFFF0000"/>
      <name val="Arial"/>
      <family val="2"/>
    </font>
    <font>
      <b/>
      <sz val="14"/>
      <name val="Arial"/>
      <family val="2"/>
    </font>
    <font>
      <b/>
      <sz val="11"/>
      <name val="Arial"/>
      <family val="2"/>
    </font>
    <font>
      <sz val="11"/>
      <name val="Arial"/>
      <family val="2"/>
    </font>
    <font>
      <b/>
      <sz val="10"/>
      <color indexed="63"/>
      <name val="Arial"/>
      <family val="2"/>
    </font>
    <font>
      <sz val="10"/>
      <name val="Rupee Foradian"/>
      <family val="2"/>
    </font>
    <font>
      <i/>
      <sz val="11"/>
      <name val="Arial"/>
      <family val="2"/>
    </font>
    <font>
      <sz val="11"/>
      <color rgb="FFFF0000"/>
      <name val="Arial"/>
      <family val="2"/>
    </font>
    <font>
      <u/>
      <sz val="10"/>
      <color theme="10"/>
      <name val="Arial"/>
      <family val="2"/>
    </font>
    <font>
      <b/>
      <u/>
      <sz val="10"/>
      <name val="Arial"/>
      <family val="2"/>
    </font>
    <font>
      <sz val="10"/>
      <color rgb="FFFF0000"/>
      <name val="Arial"/>
      <family val="2"/>
    </font>
    <font>
      <b/>
      <sz val="10"/>
      <color theme="1"/>
      <name val="Arial"/>
      <family val="2"/>
    </font>
    <font>
      <i/>
      <sz val="10"/>
      <name val="Arial"/>
      <family val="2"/>
    </font>
    <font>
      <sz val="10"/>
      <color rgb="FF0070C0"/>
      <name val="Arial"/>
      <family val="2"/>
    </font>
    <font>
      <b/>
      <strike/>
      <sz val="10"/>
      <name val="Arial"/>
      <family val="2"/>
    </font>
    <font>
      <strike/>
      <sz val="10"/>
      <name val="Arial"/>
      <family val="2"/>
    </font>
    <font>
      <sz val="11"/>
      <name val="Segoe UI"/>
      <family val="2"/>
    </font>
    <font>
      <sz val="10.5"/>
      <name val="Arial"/>
      <family val="2"/>
    </font>
    <font>
      <b/>
      <sz val="11"/>
      <color theme="1"/>
      <name val="Arial"/>
      <family val="2"/>
    </font>
    <font>
      <b/>
      <sz val="10"/>
      <color rgb="FF002060"/>
      <name val="Arial"/>
      <family val="2"/>
    </font>
    <font>
      <sz val="10"/>
      <color rgb="FFFFFF00"/>
      <name val="Arial"/>
      <family val="2"/>
    </font>
    <font>
      <i/>
      <sz val="10"/>
      <color rgb="FFFF0000"/>
      <name val="Arial"/>
      <family val="2"/>
    </font>
    <font>
      <sz val="10"/>
      <name val="Myriad Web Pro"/>
      <family val="2"/>
    </font>
    <font>
      <b/>
      <sz val="10"/>
      <name val="Myriad Web Pro"/>
    </font>
    <font>
      <b/>
      <sz val="10"/>
      <name val="Myriad Web Pro"/>
      <family val="2"/>
    </font>
    <font>
      <b/>
      <sz val="10"/>
      <name val="Rupee Foradian"/>
      <family val="2"/>
    </font>
    <font>
      <u/>
      <sz val="10"/>
      <color theme="1"/>
      <name val="Arial"/>
      <family val="2"/>
    </font>
    <font>
      <sz val="11"/>
      <color indexed="8"/>
      <name val="Calibri"/>
      <family val="2"/>
    </font>
    <font>
      <b/>
      <sz val="10"/>
      <color theme="3" tint="0.249977111117893"/>
      <name val="Arial"/>
      <family val="2"/>
    </font>
    <font>
      <b/>
      <sz val="11"/>
      <color rgb="FFFFFF00"/>
      <name val="Arial"/>
      <family val="2"/>
    </font>
    <font>
      <sz val="10"/>
      <color theme="10"/>
      <name val="Arial"/>
      <family val="2"/>
    </font>
    <font>
      <sz val="8"/>
      <name val="Arial"/>
      <family val="2"/>
    </font>
    <font>
      <b/>
      <u/>
      <sz val="10"/>
      <color theme="1"/>
      <name val="Arial"/>
      <family val="2"/>
    </font>
    <font>
      <sz val="10"/>
      <color theme="1"/>
      <name val="Segoe UI"/>
      <family val="2"/>
    </font>
    <font>
      <sz val="11"/>
      <color rgb="FFFFFF00"/>
      <name val="Arial"/>
      <family val="2"/>
    </font>
    <font>
      <b/>
      <sz val="12"/>
      <color theme="1"/>
      <name val="Arial"/>
      <family val="2"/>
    </font>
    <font>
      <sz val="10"/>
      <color theme="1"/>
      <name val="Times New Roman"/>
      <family val="1"/>
    </font>
    <font>
      <b/>
      <u/>
      <sz val="10"/>
      <color theme="6" tint="0.79998168889431442"/>
      <name val="Arial"/>
      <family val="2"/>
    </font>
    <font>
      <b/>
      <sz val="10"/>
      <color theme="7" tint="0.79998168889431442"/>
      <name val="Arial"/>
      <family val="2"/>
    </font>
    <font>
      <sz val="10"/>
      <name val="Arial"/>
      <family val="2"/>
    </font>
    <font>
      <sz val="16"/>
      <name val="Arial"/>
      <family val="2"/>
    </font>
    <font>
      <sz val="9"/>
      <color indexed="81"/>
      <name val="Tahoma"/>
      <family val="2"/>
    </font>
    <font>
      <sz val="11"/>
      <color indexed="8"/>
      <name val="Aptos Narrow"/>
      <family val="2"/>
      <scheme val="minor"/>
    </font>
    <font>
      <sz val="11"/>
      <color theme="1"/>
      <name val="Calibri"/>
      <family val="2"/>
      <scheme val="minor"/>
    </font>
    <font xmlns:main="http://schemas.openxmlformats.org/spreadsheetml/2006/main">
      <main:sz val="14.0"/>
      <main:color rgb="010000"/>
      <main:name val="Calibri"/>
      <main:b val="false"/>
      <main:i val="false"/>
      <main:u val="none"/>
      <main:strike val="false"/>
      <main:family val="2"/>
    </font>
    <font xmlns:main="http://schemas.openxmlformats.org/spreadsheetml/2006/main">
      <main:sz val="11.0"/>
      <main:color rgb="80000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
      <main:color theme="1"/>
      <main:name val="Calibri"/>
      <main:family val="2"/>
      <main:scheme val="minor"/>
    </font>
    <font xmlns:main="http://schemas.openxmlformats.org/spreadsheetml/2006/main">
      <main:sz val="11.0"/>
      <main:color rgb="00808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0"/>
      <main:color rgb="000000"/>
      <main:name val="Calibri"/>
      <main:b val="true"/>
      <main:i val="false"/>
      <main:u val="none"/>
      <main:strike val="false"/>
      <main:family val="2"/>
    </font>
    <font xmlns:main="http://schemas.openxmlformats.org/spreadsheetml/2006/main">
      <main:sz val="11.0"/>
      <main:color rgb="000000"/>
      <main:name val="Calibri"/>
      <main:b val="true"/>
      <main:i val="false"/>
      <main:u val="none"/>
      <main:strike val="false"/>
      <main:family val="2"/>
    </font>
    <font xmlns:main="http://schemas.openxmlformats.org/spreadsheetml/2006/main">
      <main:sz val="11.0"/>
      <main:color rgb="000000"/>
      <main:name val="Calibri"/>
      <main:b val="false"/>
      <main:i val="true"/>
      <main:u val="none"/>
      <main:strike val="false"/>
      <main:family val="2"/>
    </font>
    <font xmlns:main="http://schemas.openxmlformats.org/spreadsheetml/2006/main">
      <main:sz val="11.0"/>
      <main:color rgb="000000"/>
      <main:name val="Calibri"/>
      <main:b val="false"/>
      <main:i val="true"/>
      <main:u val="none"/>
      <main:strike val="false"/>
      <main:family val="2"/>
    </font>
    <font xmlns:main="http://schemas.openxmlformats.org/spreadsheetml/2006/main">
      <main:sz val="11.0"/>
      <main:color rgb="000000"/>
      <main:name val="Calibri"/>
      <main:b val="false"/>
      <main:i val="false"/>
      <main:u val="none"/>
      <main:strike val="false"/>
      <main:family val="2"/>
    </font>
    <font xmlns:main="http://schemas.openxmlformats.org/spreadsheetml/2006/main">
      <main:sz val="11.0"/>
      <main:color rgb="000000"/>
      <main:name val="Calibri"/>
      <main:b val="false"/>
      <main:i val="false"/>
      <main:u val="none"/>
      <main:strike val="false"/>
      <main:family val="2"/>
    </font>
  </fonts>
  <fills count="1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tint="-4.9989318521683403E-2" rgb="FFFFFF"/>
        <bgColor indexed="64"/>
      </patternFill>
    </fill>
    <fill>
      <patternFill patternType="solid">
        <fgColor theme="0" tint="-0.14999847407452621"/>
        <bgColor indexed="64"/>
      </patternFill>
    </fill>
    <fill>
      <patternFill patternType="solid">
        <fgColor rgb="FFD9D9D9"/>
        <bgColor rgb="FFC0C0C0"/>
      </patternFill>
    </fill>
    <fill>
      <patternFill patternType="solid">
        <fgColor rgb="FFF2F2F2"/>
        <bgColor rgb="FFC0C0C0"/>
      </patternFill>
    </fill>
    <fill>
      <patternFill patternType="solid">
        <fgColor rgb="FFF2F2F2"/>
        <bgColor indexed="64"/>
      </patternFill>
    </fill>
    <fill>
      <patternFill patternType="solid">
        <fgColor rgb="FFFFFFFF"/>
        <bgColor indexed="64"/>
      </patternFill>
    </fill>
    <fill>
      <patternFill patternType="solid">
        <fgColor rgb="FFD9D9D9"/>
        <bgColor indexed="64"/>
      </patternFill>
    </fill>
    <fill>
      <patternFill patternType="solid">
        <fgColor theme="0"/>
        <bgColor indexed="64"/>
      </patternFill>
    </fill>
    <fill>
      <patternFill patternType="solid">
        <fgColor rgb="FF66FF66"/>
        <bgColor indexed="64"/>
      </patternFill>
    </fill>
    <fill>
      <patternFill patternType="solid">
        <fgColor theme="5" tint="0.79998168889431442"/>
        <bgColor indexed="64"/>
      </patternFill>
    </fill>
    <fill>
      <patternFill patternType="solid">
        <fgColor rgb="FFFFC000"/>
        <bgColor indexed="64"/>
      </patternFill>
    </fill>
    <fill>
      <patternFill patternType="solid">
        <fgColor theme="0" tint="-0.249977111117893"/>
        <bgColor indexed="64"/>
      </patternFill>
    </fill>
    <fill xmlns:main="http://schemas.openxmlformats.org/spreadsheetml/2006/main">
      <main:patternFill patternType="solid">
        <main:fgColor rgb="CCCCFF"/>
      </main:patternFill>
    </fill>
    <fill xmlns:main="http://schemas.openxmlformats.org/spreadsheetml/2006/main">
      <main:patternFill patternType="solid">
        <main:fgColor rgb="FFFFFF"/>
      </main:patternFill>
    </fill>
  </fills>
  <borders count="76">
    <border>
      <left/>
      <right/>
      <top/>
      <bottom/>
      <diagonal/>
    </border>
    <border>
      <left style="medium">
        <color auto="1"/>
      </left>
      <right style="thin">
        <color auto="1"/>
      </right>
      <top style="medium">
        <color auto="1"/>
      </top>
      <bottom style="medium">
        <color auto="1"/>
      </bottom>
      <diagonal/>
    </border>
    <border>
      <left style="thin">
        <color indexed="64"/>
      </left>
      <right style="thin">
        <color indexed="64"/>
      </right>
      <top style="medium">
        <color indexed="64"/>
      </top>
      <bottom style="medium">
        <color indexed="64"/>
      </bottom>
      <diagonal/>
    </border>
    <border>
      <left style="thin">
        <color auto="1"/>
      </left>
      <right style="medium">
        <color auto="1"/>
      </right>
      <top style="medium">
        <color auto="1"/>
      </top>
      <bottom style="medium">
        <color auto="1"/>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auto="1"/>
      </left>
      <right style="thin">
        <color auto="1"/>
      </right>
      <top/>
      <bottom style="medium">
        <color auto="1"/>
      </bottom>
      <diagonal/>
    </border>
    <border>
      <left style="thin">
        <color indexed="64"/>
      </left>
      <right style="thin">
        <color indexed="64"/>
      </right>
      <top/>
      <bottom style="medium">
        <color auto="1"/>
      </bottom>
      <diagonal/>
    </border>
    <border>
      <left style="thin">
        <color auto="1"/>
      </left>
      <right style="medium">
        <color auto="1"/>
      </right>
      <top/>
      <bottom style="medium">
        <color auto="1"/>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auto="1"/>
      </bottom>
      <diagonal/>
    </border>
    <border>
      <left/>
      <right style="thin">
        <color indexed="64"/>
      </right>
      <top style="thin">
        <color indexed="64"/>
      </top>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thin">
        <color indexed="64"/>
      </bottom>
      <diagonal/>
    </border>
    <border>
      <left/>
      <right/>
      <top style="thin">
        <color indexed="64"/>
      </top>
      <bottom/>
      <diagonal/>
    </border>
    <border>
      <left style="hair">
        <color auto="1"/>
      </left>
      <right style="hair">
        <color auto="1"/>
      </right>
      <top style="hair">
        <color auto="1"/>
      </top>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indexed="64"/>
      </left>
      <right/>
      <top style="hair">
        <color indexed="64"/>
      </top>
      <bottom style="hair">
        <color indexed="64"/>
      </bottom>
      <diagonal/>
    </border>
    <border>
      <left/>
      <right/>
      <top/>
      <bottom style="hair">
        <color indexed="64"/>
      </bottom>
      <diagonal/>
    </border>
    <border>
      <left/>
      <right/>
      <top style="hair">
        <color indexed="64"/>
      </top>
      <bottom style="thin">
        <color indexed="64"/>
      </bottom>
      <diagonal/>
    </border>
    <border>
      <left/>
      <right style="hair">
        <color indexed="64"/>
      </right>
      <top style="thin">
        <color indexed="64"/>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auto="1"/>
      </left>
      <right style="hair">
        <color auto="1"/>
      </right>
      <top style="thin">
        <color auto="1"/>
      </top>
      <bottom style="hair">
        <color auto="1"/>
      </bottom>
      <diagonal/>
    </border>
    <border>
      <left style="hair">
        <color auto="1"/>
      </left>
      <right/>
      <top style="thin">
        <color indexed="64"/>
      </top>
      <bottom/>
      <diagonal/>
    </border>
    <border>
      <left/>
      <right style="hair">
        <color auto="1"/>
      </right>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auto="1"/>
      </left>
      <right style="hair">
        <color auto="1"/>
      </right>
      <top style="hair">
        <color auto="1"/>
      </top>
      <bottom style="thin">
        <color auto="1"/>
      </bottom>
      <diagonal/>
    </border>
    <border>
      <left style="hair">
        <color auto="1"/>
      </left>
      <right/>
      <top/>
      <bottom style="thin">
        <color indexed="64"/>
      </bottom>
      <diagonal/>
    </border>
    <border>
      <left/>
      <right/>
      <top style="hair">
        <color indexed="64"/>
      </top>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auto="1"/>
      </left>
      <right style="thin">
        <color indexed="64"/>
      </right>
      <top/>
      <bottom style="hair">
        <color auto="1"/>
      </bottom>
      <diagonal/>
    </border>
    <border>
      <left style="hair">
        <color indexed="64"/>
      </left>
      <right style="thin">
        <color indexed="64"/>
      </right>
      <top/>
      <bottom/>
      <diagonal/>
    </border>
    <border>
      <left style="hair">
        <color indexed="64"/>
      </left>
      <right style="hair">
        <color auto="1"/>
      </right>
      <top style="thin">
        <color indexed="64"/>
      </top>
      <bottom/>
      <diagonal/>
    </border>
    <border>
      <left style="hair">
        <color indexed="64"/>
      </left>
      <right style="thin">
        <color indexed="64"/>
      </right>
      <top style="hair">
        <color indexed="64"/>
      </top>
      <bottom/>
      <diagonal/>
    </border>
    <border>
      <left/>
      <right style="hair">
        <color indexed="64"/>
      </right>
      <top/>
      <bottom/>
      <diagonal/>
    </border>
    <border>
      <left style="hair">
        <color auto="1"/>
      </left>
      <right style="hair">
        <color auto="1"/>
      </right>
      <top/>
      <bottom style="thin">
        <color auto="1"/>
      </bottom>
      <diagonal/>
    </border>
    <border>
      <left style="hair">
        <color indexed="64"/>
      </left>
      <right/>
      <top style="thin">
        <color indexed="64"/>
      </top>
      <bottom style="thin">
        <color indexed="64"/>
      </bottom>
      <diagonal/>
    </border>
    <border>
      <left style="hair">
        <color auto="1"/>
      </left>
      <right/>
      <top style="hair">
        <color indexed="64"/>
      </top>
      <bottom/>
      <diagonal/>
    </border>
    <border>
      <left/>
      <right style="hair">
        <color indexed="64"/>
      </right>
      <top style="hair">
        <color auto="1"/>
      </top>
      <bottom/>
      <diagonal/>
    </border>
    <border>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right/>
      <top/>
      <bottom/>
      <diagonal/>
    </border>
    <border>
      <left style="thin">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top/>
      <bottom/>
      <diagonal/>
    </border>
    <border>
      <left/>
      <right/>
      <top/>
      <bottom/>
      <diagonal/>
    </border>
    <border>
      <left/>
      <right/>
      <top/>
      <bottom/>
      <diagonal/>
    </border>
    <border>
      <left style="thin">
        <color auto="1"/>
      </left>
      <right/>
      <top style="thin">
        <color indexed="64"/>
      </top>
      <bottom style="hair">
        <color indexed="64"/>
      </bottom>
      <diagonal/>
    </border>
    <border>
      <left/>
      <right style="thin">
        <color auto="1"/>
      </right>
      <top style="thin">
        <color indexed="64"/>
      </top>
      <bottom style="hair">
        <color indexed="64"/>
      </bottom>
      <diagonal/>
    </border>
    <border>
      <left style="thin">
        <color indexed="64"/>
      </left>
      <right/>
      <top style="hair">
        <color indexed="64"/>
      </top>
      <bottom style="hair">
        <color indexed="64"/>
      </bottom>
      <diagonal/>
    </border>
    <border>
      <left/>
      <right/>
      <top/>
      <bottom/>
      <diagonal/>
    </border>
    <border xmlns:main="http://schemas.openxmlformats.org/spreadsheetml/2006/main">
      <main:left>
        <main:color rgb="010000"/>
      </main:left>
      <main:right>
        <main:color rgb="010000"/>
      </main:right>
      <main:top>
        <main:color rgb="010000"/>
      </main:top>
      <main:bottom>
        <main:color rgb="010000"/>
      </main:bottom>
      <main:diagonal/>
    </border>
    <border xmlns:main="http://schemas.openxmlformats.org/spreadsheetml/2006/main">
      <main:left style="thin">
        <main:color rgb="C0C0C0"/>
      </main:left>
      <main:right style="thin">
        <main:color rgb="C0C0C0"/>
      </main:right>
      <main:top style="thin">
        <main:color rgb="C0C0C0"/>
      </main:top>
      <main:bottom style="thin">
        <main:color rgb="C0C0C0"/>
      </main:bottom>
      <main:diagonal/>
    </border>
    <border xmlns:main="http://schemas.openxmlformats.org/spreadsheetml/2006/main">
      <main:left>
        <main:color rgb="000000"/>
      </main:left>
      <main:right>
        <main:color rgb="000000"/>
      </main:right>
      <main:top>
        <main:color rgb="000000"/>
      </main:top>
      <main:bottom style="thin">
        <main:color rgb="C0C0C0"/>
      </main:bottom>
      <main:diagonal/>
    </border>
    <border xmlns:main="http://schemas.openxmlformats.org/spreadsheetml/2006/main">
      <main:left style="thin">
        <main:color rgb="C0C0C0"/>
      </main:left>
      <main:right style="thin">
        <main:color rgb="C0C0C0"/>
      </main:right>
      <main:top>
        <main:color rgb="000000"/>
      </main:top>
      <main:bottom>
        <main:color rgb="000000"/>
      </main:bottom>
      <main:diagonal/>
    </border>
  </borders>
  <cellStyleXfs count="18">
    <xf numFmtId="0" fontId="0" fillId="0" borderId="0"/>
    <xf numFmtId="164" fontId="7" fillId="0" borderId="0" applyFont="0" applyFill="0" applyBorder="0" applyAlignment="0" applyProtection="0"/>
    <xf numFmtId="9" fontId="7" fillId="0" borderId="0" applyFont="0" applyFill="0" applyBorder="0" applyAlignment="0" applyProtection="0"/>
    <xf numFmtId="0" fontId="20" fillId="0" borderId="0" applyNumberFormat="0" applyFill="0" applyBorder="0" applyAlignment="0" applyProtection="0"/>
    <xf numFmtId="0" fontId="7" fillId="0" borderId="0"/>
    <xf numFmtId="0" fontId="7" fillId="0" borderId="0"/>
    <xf numFmtId="9" fontId="7" fillId="0" borderId="0" applyFont="0" applyFill="0" applyBorder="0" applyAlignment="0" applyProtection="0"/>
    <xf numFmtId="164" fontId="39" fillId="0" borderId="0" applyFont="0" applyFill="0" applyBorder="0" applyAlignment="0" applyProtection="0"/>
    <xf numFmtId="164" fontId="7" fillId="0" borderId="0" applyFont="0" applyFill="0" applyBorder="0" applyAlignment="0" applyProtection="0"/>
    <xf numFmtId="0" fontId="7" fillId="0" borderId="0"/>
    <xf numFmtId="164" fontId="39" fillId="0" borderId="0" applyFont="0" applyFill="0" applyBorder="0" applyAlignment="0" applyProtection="0"/>
    <xf numFmtId="0" fontId="2" fillId="0" borderId="0"/>
    <xf numFmtId="0" fontId="7" fillId="0" borderId="0"/>
    <xf numFmtId="0" fontId="7" fillId="0" borderId="0"/>
    <xf numFmtId="0" fontId="45" fillId="0" borderId="0"/>
    <xf numFmtId="0" fontId="51" fillId="0" borderId="62"/>
    <xf numFmtId="0" fontId="54" fillId="0" borderId="66"/>
    <xf numFmtId="0" fontId="54" fillId="0" borderId="67"/>
  </cellStyleXfs>
  <cellXfs count="1624">
    <xf numFmtId="0" fontId="0" fillId="0" borderId="0" xfId="0"/>
    <xf numFmtId="0" fontId="5" fillId="0" borderId="0" xfId="0" applyFont="1" applyProtection="1">
      <protection locked="0"/>
    </xf>
    <xf numFmtId="0" fontId="0" fillId="0" borderId="0" xfId="0" applyProtection="1">
      <protection locked="0"/>
    </xf>
    <xf numFmtId="0" fontId="0" fillId="0" borderId="0" xfId="0" applyAlignment="1" applyProtection="1">
      <alignment horizontal="left"/>
      <protection locked="0"/>
    </xf>
    <xf numFmtId="0" fontId="6"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wrapText="1"/>
      <protection locked="0"/>
    </xf>
    <xf numFmtId="0" fontId="7" fillId="0" borderId="4" xfId="0" applyFont="1" applyBorder="1" applyProtection="1">
      <protection locked="0"/>
    </xf>
    <xf numFmtId="0" fontId="8" fillId="0" borderId="5" xfId="0" applyFont="1" applyBorder="1" applyAlignment="1" applyProtection="1">
      <alignment vertical="top"/>
      <protection locked="0"/>
    </xf>
    <xf numFmtId="0" fontId="0" fillId="0" borderId="6" xfId="0" applyBorder="1" applyAlignment="1" applyProtection="1">
      <alignment wrapText="1"/>
      <protection locked="0"/>
    </xf>
    <xf numFmtId="0" fontId="0" fillId="0" borderId="6" xfId="0" applyBorder="1" applyProtection="1">
      <protection locked="0"/>
    </xf>
    <xf numFmtId="0" fontId="0" fillId="0" borderId="5" xfId="0" applyBorder="1" applyProtection="1">
      <protection locked="0"/>
    </xf>
    <xf numFmtId="0" fontId="7" fillId="0" borderId="7" xfId="0" applyFont="1" applyBorder="1" applyProtection="1">
      <protection locked="0"/>
    </xf>
    <xf numFmtId="0" fontId="0" fillId="0" borderId="8" xfId="0" applyBorder="1" applyProtection="1">
      <protection locked="0"/>
    </xf>
    <xf numFmtId="0" fontId="0" fillId="0" borderId="9" xfId="0" applyBorder="1" applyAlignment="1" applyProtection="1">
      <alignment wrapText="1"/>
      <protection locked="0"/>
    </xf>
    <xf numFmtId="0" fontId="7" fillId="0" borderId="0" xfId="0" applyFont="1" applyProtection="1">
      <protection locked="0"/>
    </xf>
    <xf numFmtId="164" fontId="7" fillId="0" borderId="0" xfId="1" applyFont="1" applyFill="1" applyBorder="1" applyAlignment="1" applyProtection="1">
      <alignment vertical="top"/>
      <protection locked="0"/>
    </xf>
    <xf numFmtId="164" fontId="0" fillId="0" borderId="0" xfId="1" applyFont="1" applyProtection="1">
      <protection locked="0"/>
    </xf>
    <xf numFmtId="0" fontId="0" fillId="0" borderId="0" xfId="0" applyAlignment="1" applyProtection="1">
      <alignment wrapText="1"/>
      <protection locked="0"/>
    </xf>
    <xf numFmtId="0" fontId="10" fillId="0" borderId="0" xfId="0" applyFont="1" applyAlignment="1" applyProtection="1">
      <alignment horizontal="left"/>
      <protection locked="0"/>
    </xf>
    <xf numFmtId="0" fontId="7" fillId="0" borderId="0" xfId="0" applyFont="1" applyAlignment="1" applyProtection="1">
      <alignment vertical="top"/>
      <protection locked="0"/>
    </xf>
    <xf numFmtId="0" fontId="6" fillId="0" borderId="0" xfId="0" applyFont="1" applyAlignment="1" applyProtection="1">
      <alignment vertical="top"/>
      <protection locked="0"/>
    </xf>
    <xf numFmtId="0" fontId="11" fillId="0" borderId="0" xfId="0" applyFont="1" applyProtection="1">
      <protection locked="0"/>
    </xf>
    <xf numFmtId="0" fontId="6" fillId="0" borderId="0" xfId="0" applyFont="1" applyAlignment="1" applyProtection="1">
      <alignment horizontal="center"/>
      <protection locked="0"/>
    </xf>
    <xf numFmtId="0" fontId="0" fillId="0" borderId="0" xfId="0" applyAlignment="1" applyProtection="1">
      <alignment horizontal="center" vertical="center"/>
      <protection locked="0"/>
    </xf>
    <xf numFmtId="0" fontId="6" fillId="0" borderId="0" xfId="0" applyFont="1" applyProtection="1">
      <protection locked="0"/>
    </xf>
    <xf numFmtId="0" fontId="8" fillId="0" borderId="0" xfId="0" applyFont="1" applyProtection="1">
      <protection locked="0"/>
    </xf>
    <xf numFmtId="164" fontId="0" fillId="0" borderId="0" xfId="0" applyNumberFormat="1" applyProtection="1">
      <protection locked="0"/>
    </xf>
    <xf numFmtId="0" fontId="6"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6" fillId="0" borderId="0" xfId="0" applyFont="1" applyAlignment="1" applyProtection="1">
      <alignment vertical="center" wrapText="1"/>
      <protection locked="0"/>
    </xf>
    <xf numFmtId="0" fontId="6" fillId="0" borderId="0" xfId="0" applyFont="1" applyAlignment="1" applyProtection="1">
      <alignment horizontal="center" vertical="center" wrapText="1"/>
      <protection locked="0"/>
    </xf>
    <xf numFmtId="0" fontId="6" fillId="0" borderId="0" xfId="0" applyFont="1" applyAlignment="1" applyProtection="1">
      <alignment horizontal="right" vertical="top"/>
      <protection locked="0"/>
    </xf>
    <xf numFmtId="0" fontId="6" fillId="0" borderId="25" xfId="0" applyFont="1" applyBorder="1" applyAlignment="1" applyProtection="1">
      <alignment vertical="top"/>
      <protection locked="0"/>
    </xf>
    <xf numFmtId="0" fontId="0" fillId="0" borderId="25" xfId="0" applyBorder="1" applyAlignment="1" applyProtection="1">
      <alignment vertical="top"/>
      <protection locked="0"/>
    </xf>
    <xf numFmtId="0" fontId="7" fillId="0" borderId="25" xfId="0" quotePrefix="1" applyFont="1" applyBorder="1" applyAlignment="1" applyProtection="1">
      <alignment vertical="top"/>
      <protection locked="0"/>
    </xf>
    <xf numFmtId="0" fontId="7" fillId="0" borderId="25" xfId="0" quotePrefix="1" applyFont="1" applyBorder="1" applyAlignment="1" applyProtection="1">
      <alignment horizontal="left" vertical="top" indent="2"/>
      <protection locked="0"/>
    </xf>
    <xf numFmtId="164" fontId="6" fillId="0" borderId="0" xfId="0" applyNumberFormat="1" applyFont="1" applyAlignment="1" applyProtection="1">
      <alignment horizontal="right" vertical="top"/>
      <protection locked="0"/>
    </xf>
    <xf numFmtId="0" fontId="6" fillId="0" borderId="27" xfId="0" applyFont="1" applyBorder="1" applyAlignment="1" applyProtection="1">
      <alignment vertical="top"/>
      <protection locked="0"/>
    </xf>
    <xf numFmtId="0" fontId="0" fillId="0" borderId="0" xfId="0" applyAlignment="1" applyProtection="1">
      <alignment vertical="top"/>
      <protection locked="0"/>
    </xf>
    <xf numFmtId="0" fontId="0" fillId="0" borderId="0" xfId="0" applyAlignment="1" applyProtection="1">
      <alignment vertical="top" wrapText="1"/>
      <protection locked="0"/>
    </xf>
    <xf numFmtId="0" fontId="0" fillId="0" borderId="0" xfId="0" applyAlignment="1" applyProtection="1">
      <alignment horizontal="right" vertical="top"/>
      <protection locked="0"/>
    </xf>
    <xf numFmtId="0" fontId="8" fillId="0" borderId="0" xfId="0" applyFont="1" applyAlignment="1" applyProtection="1">
      <alignment horizontal="justify" vertical="top" wrapText="1"/>
      <protection locked="0"/>
    </xf>
    <xf numFmtId="0" fontId="6" fillId="0" borderId="0" xfId="0" applyFont="1" applyAlignment="1" applyProtection="1">
      <alignment horizontal="center" vertical="top" wrapText="1"/>
      <protection locked="0"/>
    </xf>
    <xf numFmtId="0" fontId="15" fillId="0" borderId="0" xfId="0" applyFont="1" applyAlignment="1" applyProtection="1">
      <alignment vertical="top"/>
      <protection locked="0"/>
    </xf>
    <xf numFmtId="0" fontId="1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8" fillId="0" borderId="0" xfId="0" applyFont="1" applyAlignment="1" applyProtection="1">
      <alignment vertical="top"/>
      <protection locked="0"/>
    </xf>
    <xf numFmtId="0" fontId="7" fillId="0" borderId="0" xfId="0" quotePrefix="1" applyFont="1" applyAlignment="1" applyProtection="1">
      <alignment horizontal="center" vertical="top"/>
      <protection locked="0"/>
    </xf>
    <xf numFmtId="0" fontId="14" fillId="0" borderId="0" xfId="0" applyFont="1" applyAlignment="1" applyProtection="1">
      <alignment vertical="top"/>
      <protection locked="0"/>
    </xf>
    <xf numFmtId="0" fontId="7" fillId="0" borderId="0" xfId="0" applyFont="1" applyAlignment="1" applyProtection="1">
      <alignment horizontal="center" vertical="top"/>
      <protection locked="0"/>
    </xf>
    <xf numFmtId="0" fontId="5" fillId="0" borderId="0" xfId="0" applyFont="1" applyAlignment="1" applyProtection="1">
      <alignment horizontal="left" vertical="top"/>
      <protection locked="0"/>
    </xf>
    <xf numFmtId="0" fontId="17" fillId="0" borderId="0" xfId="0" applyFont="1" applyAlignment="1" applyProtection="1">
      <alignment vertical="top"/>
      <protection locked="0"/>
    </xf>
    <xf numFmtId="0" fontId="7" fillId="0" borderId="0" xfId="0" quotePrefix="1" applyFont="1" applyAlignment="1" applyProtection="1">
      <alignment horizontal="right" vertical="top"/>
      <protection locked="0"/>
    </xf>
    <xf numFmtId="0" fontId="5" fillId="4" borderId="24" xfId="0" applyFont="1" applyFill="1" applyBorder="1" applyAlignment="1" applyProtection="1">
      <alignment horizontal="center" vertical="center"/>
      <protection locked="0"/>
    </xf>
    <xf numFmtId="0" fontId="6" fillId="4" borderId="0" xfId="0" applyFont="1" applyFill="1" applyAlignment="1" applyProtection="1">
      <alignment vertical="top"/>
      <protection locked="0"/>
    </xf>
    <xf numFmtId="0" fontId="6" fillId="0" borderId="25" xfId="0" applyFont="1" applyBorder="1" applyAlignment="1" applyProtection="1">
      <alignment horizontal="center" vertical="top"/>
      <protection locked="0"/>
    </xf>
    <xf numFmtId="0" fontId="6" fillId="4" borderId="25" xfId="0" applyFont="1" applyFill="1" applyBorder="1" applyAlignment="1" applyProtection="1">
      <alignment vertical="top"/>
      <protection locked="0"/>
    </xf>
    <xf numFmtId="0" fontId="7" fillId="0" borderId="25" xfId="0" applyFont="1" applyBorder="1" applyAlignment="1" applyProtection="1">
      <alignment vertical="top"/>
      <protection locked="0"/>
    </xf>
    <xf numFmtId="0" fontId="6" fillId="0" borderId="25" xfId="1" applyNumberFormat="1" applyFont="1" applyFill="1" applyBorder="1" applyAlignment="1" applyProtection="1">
      <alignment horizontal="center" vertical="top"/>
      <protection locked="0"/>
    </xf>
    <xf numFmtId="164" fontId="7" fillId="0" borderId="0" xfId="1" applyFont="1" applyAlignment="1" applyProtection="1">
      <alignment vertical="top"/>
      <protection locked="0"/>
    </xf>
    <xf numFmtId="164" fontId="7" fillId="8" borderId="25" xfId="1" applyFont="1" applyFill="1" applyBorder="1" applyAlignment="1" applyProtection="1">
      <alignment horizontal="right" vertical="top"/>
    </xf>
    <xf numFmtId="164" fontId="7" fillId="0" borderId="25" xfId="1" applyFont="1" applyFill="1" applyBorder="1" applyAlignment="1" applyProtection="1">
      <alignment horizontal="right" vertical="top"/>
    </xf>
    <xf numFmtId="0" fontId="7" fillId="4" borderId="25" xfId="1" applyNumberFormat="1" applyFont="1" applyFill="1" applyBorder="1" applyAlignment="1" applyProtection="1">
      <alignment vertical="top"/>
      <protection locked="0"/>
    </xf>
    <xf numFmtId="0" fontId="7" fillId="0" borderId="25" xfId="1" applyNumberFormat="1" applyFont="1" applyFill="1" applyBorder="1" applyAlignment="1" applyProtection="1">
      <alignment vertical="top"/>
      <protection locked="0"/>
    </xf>
    <xf numFmtId="164" fontId="7" fillId="4" borderId="25" xfId="1" applyFont="1" applyFill="1" applyBorder="1" applyAlignment="1" applyProtection="1">
      <alignment vertical="top"/>
      <protection locked="0"/>
    </xf>
    <xf numFmtId="164" fontId="7" fillId="0" borderId="25" xfId="1" applyFont="1" applyFill="1" applyBorder="1" applyAlignment="1" applyProtection="1">
      <alignment vertical="top"/>
      <protection locked="0"/>
    </xf>
    <xf numFmtId="0" fontId="7" fillId="0" borderId="25" xfId="0" applyFont="1" applyBorder="1" applyAlignment="1" applyProtection="1">
      <alignment horizontal="left" vertical="top" indent="2"/>
      <protection locked="0"/>
    </xf>
    <xf numFmtId="0" fontId="7" fillId="0" borderId="25" xfId="0" applyFont="1" applyBorder="1" applyAlignment="1" applyProtection="1">
      <alignment horizontal="left" vertical="top"/>
      <protection locked="0"/>
    </xf>
    <xf numFmtId="164" fontId="6" fillId="8" borderId="18" xfId="1" applyFont="1" applyFill="1" applyBorder="1" applyAlignment="1" applyProtection="1">
      <alignment horizontal="right" vertical="top"/>
    </xf>
    <xf numFmtId="164" fontId="6" fillId="9" borderId="18" xfId="1" applyFont="1" applyFill="1" applyBorder="1" applyAlignment="1" applyProtection="1">
      <alignment horizontal="right" vertical="top"/>
    </xf>
    <xf numFmtId="164" fontId="6" fillId="0" borderId="0" xfId="1" applyFont="1" applyAlignment="1" applyProtection="1">
      <alignment vertical="top"/>
      <protection locked="0"/>
    </xf>
    <xf numFmtId="164" fontId="6" fillId="8" borderId="18" xfId="1" applyFont="1" applyFill="1" applyBorder="1" applyAlignment="1" applyProtection="1">
      <alignment horizontal="right" vertical="top" wrapText="1"/>
      <protection locked="0"/>
    </xf>
    <xf numFmtId="164" fontId="6" fillId="9" borderId="18" xfId="1" applyFont="1" applyFill="1" applyBorder="1" applyAlignment="1" applyProtection="1">
      <alignment horizontal="right" vertical="top" wrapText="1"/>
      <protection locked="0"/>
    </xf>
    <xf numFmtId="164" fontId="6" fillId="4" borderId="32" xfId="1" applyFont="1" applyFill="1" applyBorder="1" applyAlignment="1" applyProtection="1">
      <alignment horizontal="right" vertical="top"/>
      <protection locked="0"/>
    </xf>
    <xf numFmtId="164" fontId="7" fillId="0" borderId="32" xfId="1" applyFont="1" applyFill="1" applyBorder="1" applyAlignment="1" applyProtection="1">
      <alignment horizontal="right" vertical="top"/>
      <protection locked="0"/>
    </xf>
    <xf numFmtId="164" fontId="6" fillId="4" borderId="32" xfId="1" applyFont="1" applyFill="1" applyBorder="1" applyAlignment="1" applyProtection="1">
      <alignment horizontal="right" vertical="top" wrapText="1"/>
      <protection locked="0"/>
    </xf>
    <xf numFmtId="164" fontId="7" fillId="0" borderId="32" xfId="1" applyFont="1" applyFill="1" applyBorder="1" applyAlignment="1" applyProtection="1">
      <alignment horizontal="right" vertical="top" wrapText="1"/>
      <protection locked="0"/>
    </xf>
    <xf numFmtId="164" fontId="7" fillId="8" borderId="25" xfId="1" applyFont="1" applyFill="1" applyBorder="1" applyAlignment="1" applyProtection="1">
      <alignment horizontal="right" vertical="top"/>
      <protection locked="0"/>
    </xf>
    <xf numFmtId="164" fontId="7" fillId="0" borderId="25" xfId="1" applyFont="1" applyFill="1" applyBorder="1" applyAlignment="1" applyProtection="1">
      <alignment horizontal="right" vertical="top"/>
      <protection locked="0"/>
    </xf>
    <xf numFmtId="0" fontId="0" fillId="0" borderId="25" xfId="0" applyBorder="1" applyAlignment="1" applyProtection="1">
      <alignment horizontal="left" vertical="top"/>
      <protection locked="0"/>
    </xf>
    <xf numFmtId="0" fontId="6" fillId="0" borderId="25" xfId="0" applyFont="1" applyBorder="1" applyAlignment="1" applyProtection="1">
      <alignment horizontal="left" vertical="top"/>
      <protection locked="0"/>
    </xf>
    <xf numFmtId="164" fontId="6" fillId="4" borderId="24" xfId="1" applyFont="1" applyFill="1" applyBorder="1" applyAlignment="1" applyProtection="1">
      <alignment horizontal="right" vertical="top"/>
      <protection locked="0"/>
    </xf>
    <xf numFmtId="164" fontId="6" fillId="0" borderId="24" xfId="1" applyFont="1" applyFill="1" applyBorder="1" applyAlignment="1" applyProtection="1">
      <alignment horizontal="right" vertical="top"/>
      <protection locked="0"/>
    </xf>
    <xf numFmtId="164" fontId="6" fillId="4" borderId="24" xfId="1" applyFont="1" applyFill="1" applyBorder="1" applyAlignment="1" applyProtection="1">
      <alignment horizontal="right" vertical="top" wrapText="1"/>
      <protection locked="0"/>
    </xf>
    <xf numFmtId="164" fontId="6" fillId="0" borderId="24" xfId="1" applyFont="1" applyFill="1" applyBorder="1" applyAlignment="1" applyProtection="1">
      <alignment horizontal="right" vertical="top" wrapText="1"/>
      <protection locked="0"/>
    </xf>
    <xf numFmtId="164" fontId="7" fillId="4" borderId="25" xfId="1" applyFont="1" applyFill="1" applyBorder="1" applyAlignment="1" applyProtection="1">
      <alignment horizontal="right" vertical="top"/>
      <protection locked="0"/>
    </xf>
    <xf numFmtId="164" fontId="7" fillId="4" borderId="25" xfId="1" applyFont="1" applyFill="1" applyBorder="1" applyAlignment="1" applyProtection="1">
      <alignment horizontal="right" vertical="top" wrapText="1"/>
      <protection locked="0"/>
    </xf>
    <xf numFmtId="164" fontId="7" fillId="0" borderId="25" xfId="1" applyFont="1" applyFill="1" applyBorder="1" applyAlignment="1" applyProtection="1">
      <alignment horizontal="right" vertical="top" wrapText="1"/>
      <protection locked="0"/>
    </xf>
    <xf numFmtId="164" fontId="6" fillId="4" borderId="25" xfId="1" applyFont="1" applyFill="1" applyBorder="1" applyAlignment="1" applyProtection="1">
      <alignment horizontal="right" vertical="top"/>
      <protection locked="0"/>
    </xf>
    <xf numFmtId="164" fontId="6" fillId="4" borderId="25" xfId="1" applyFont="1" applyFill="1" applyBorder="1" applyAlignment="1" applyProtection="1">
      <alignment horizontal="right" vertical="top" wrapText="1"/>
      <protection locked="0"/>
    </xf>
    <xf numFmtId="164" fontId="7" fillId="8" borderId="25" xfId="1" applyFont="1" applyFill="1" applyBorder="1" applyAlignment="1" applyProtection="1">
      <alignment vertical="top"/>
    </xf>
    <xf numFmtId="164" fontId="7" fillId="9" borderId="25" xfId="1" applyFont="1" applyFill="1" applyBorder="1" applyAlignment="1" applyProtection="1">
      <alignment vertical="top"/>
    </xf>
    <xf numFmtId="164" fontId="6" fillId="8" borderId="16" xfId="1" applyFont="1" applyFill="1" applyBorder="1" applyAlignment="1" applyProtection="1">
      <alignment horizontal="right" vertical="top"/>
    </xf>
    <xf numFmtId="164" fontId="6" fillId="9" borderId="16" xfId="1" applyFont="1" applyFill="1" applyBorder="1" applyAlignment="1" applyProtection="1">
      <alignment horizontal="right" vertical="top"/>
    </xf>
    <xf numFmtId="164" fontId="6" fillId="8" borderId="16" xfId="1" applyFont="1" applyFill="1" applyBorder="1" applyAlignment="1" applyProtection="1">
      <alignment horizontal="right" vertical="top" wrapText="1"/>
    </xf>
    <xf numFmtId="164" fontId="6" fillId="8" borderId="16" xfId="1" applyFont="1" applyFill="1" applyBorder="1" applyAlignment="1" applyProtection="1">
      <alignment horizontal="right" vertical="top" wrapText="1"/>
      <protection locked="0"/>
    </xf>
    <xf numFmtId="164" fontId="6" fillId="9" borderId="16" xfId="1" applyFont="1" applyFill="1" applyBorder="1" applyAlignment="1" applyProtection="1">
      <alignment horizontal="right" vertical="top" wrapText="1"/>
      <protection locked="0"/>
    </xf>
    <xf numFmtId="0" fontId="6" fillId="4" borderId="33" xfId="0" applyFont="1" applyFill="1" applyBorder="1" applyAlignment="1" applyProtection="1">
      <alignment horizontal="right" vertical="top" wrapText="1"/>
      <protection locked="0"/>
    </xf>
    <xf numFmtId="0" fontId="7" fillId="0" borderId="33" xfId="0" applyFont="1" applyBorder="1" applyAlignment="1" applyProtection="1">
      <alignment horizontal="right" vertical="top" wrapText="1"/>
      <protection locked="0"/>
    </xf>
    <xf numFmtId="0" fontId="6" fillId="0" borderId="0" xfId="0" applyFont="1" applyAlignment="1" applyProtection="1">
      <alignment horizontal="right" vertical="top" wrapText="1"/>
      <protection locked="0"/>
    </xf>
    <xf numFmtId="0" fontId="7" fillId="0" borderId="0" xfId="0" applyFont="1" applyAlignment="1" applyProtection="1">
      <alignment horizontal="right" vertical="top" wrapText="1"/>
      <protection locked="0"/>
    </xf>
    <xf numFmtId="0" fontId="15" fillId="0" borderId="0" xfId="0" applyFont="1" applyAlignment="1" applyProtection="1">
      <alignment horizontal="right" vertical="top" wrapText="1"/>
      <protection locked="0"/>
    </xf>
    <xf numFmtId="0" fontId="15" fillId="0" borderId="0" xfId="1" applyNumberFormat="1" applyFont="1" applyFill="1" applyAlignment="1" applyProtection="1">
      <alignment vertical="top"/>
      <protection locked="0"/>
    </xf>
    <xf numFmtId="0" fontId="18" fillId="0" borderId="0" xfId="0" applyFont="1" applyAlignment="1" applyProtection="1">
      <alignment horizontal="center" vertical="top"/>
      <protection locked="0"/>
    </xf>
    <xf numFmtId="0" fontId="19" fillId="9" borderId="0" xfId="1" applyNumberFormat="1" applyFont="1" applyFill="1" applyAlignment="1" applyProtection="1">
      <alignment horizontal="right" vertical="top" wrapText="1"/>
      <protection locked="0"/>
    </xf>
    <xf numFmtId="0" fontId="15" fillId="9" borderId="0" xfId="1" applyNumberFormat="1" applyFont="1" applyFill="1" applyAlignment="1" applyProtection="1">
      <alignment horizontal="right" vertical="top" wrapText="1"/>
      <protection locked="0"/>
    </xf>
    <xf numFmtId="0" fontId="19" fillId="0" borderId="0" xfId="0" applyFont="1" applyAlignment="1" applyProtection="1">
      <alignment horizontal="right" vertical="top" wrapText="1"/>
      <protection locked="0"/>
    </xf>
    <xf numFmtId="0" fontId="15" fillId="0" borderId="0" xfId="0" applyFont="1" applyAlignment="1" applyProtection="1">
      <alignment horizontal="center" vertical="top"/>
      <protection locked="0"/>
    </xf>
    <xf numFmtId="164" fontId="15" fillId="0" borderId="0" xfId="1" applyFont="1" applyFill="1" applyBorder="1" applyAlignment="1" applyProtection="1">
      <alignment vertical="top"/>
      <protection locked="0"/>
    </xf>
    <xf numFmtId="0" fontId="20" fillId="0" borderId="0" xfId="3" applyProtection="1">
      <protection locked="0"/>
    </xf>
    <xf numFmtId="0" fontId="5" fillId="9" borderId="0" xfId="0" applyFont="1" applyFill="1" applyAlignment="1" applyProtection="1">
      <alignment vertical="top"/>
      <protection locked="0"/>
    </xf>
    <xf numFmtId="0" fontId="21" fillId="0" borderId="0" xfId="0" applyFont="1" applyAlignment="1" applyProtection="1">
      <alignment vertical="top"/>
      <protection locked="0"/>
    </xf>
    <xf numFmtId="0" fontId="7" fillId="0" borderId="0" xfId="0" quotePrefix="1" applyFont="1" applyAlignment="1" applyProtection="1">
      <alignment vertical="top"/>
      <protection locked="0"/>
    </xf>
    <xf numFmtId="0" fontId="7" fillId="0" borderId="0" xfId="0" applyFont="1" applyAlignment="1" applyProtection="1">
      <alignment vertical="center"/>
      <protection locked="0"/>
    </xf>
    <xf numFmtId="0" fontId="20" fillId="0" borderId="0" xfId="3" applyFill="1" applyAlignment="1" applyProtection="1">
      <alignment vertical="top"/>
      <protection locked="0"/>
    </xf>
    <xf numFmtId="0" fontId="5" fillId="0" borderId="0" xfId="0" applyFont="1" applyAlignment="1" applyProtection="1">
      <alignment vertical="top"/>
      <protection locked="0"/>
    </xf>
    <xf numFmtId="0" fontId="7" fillId="0" borderId="0" xfId="0" applyFont="1" applyAlignment="1" applyProtection="1">
      <alignment horizontal="right" vertical="top"/>
      <protection locked="0"/>
    </xf>
    <xf numFmtId="0" fontId="6" fillId="4" borderId="32" xfId="0" applyFont="1" applyFill="1" applyBorder="1" applyAlignment="1" applyProtection="1">
      <alignment horizontal="right" vertical="top" wrapText="1"/>
      <protection locked="0"/>
    </xf>
    <xf numFmtId="0" fontId="7" fillId="0" borderId="25" xfId="0" applyFont="1" applyBorder="1" applyAlignment="1" applyProtection="1">
      <alignment horizontal="right" vertical="top"/>
      <protection locked="0"/>
    </xf>
    <xf numFmtId="0" fontId="6" fillId="4" borderId="32" xfId="0" applyFont="1" applyFill="1" applyBorder="1" applyAlignment="1" applyProtection="1">
      <alignment horizontal="right" vertical="top"/>
      <protection locked="0"/>
    </xf>
    <xf numFmtId="0" fontId="7" fillId="0" borderId="32" xfId="0" applyFont="1" applyBorder="1" applyAlignment="1" applyProtection="1">
      <alignment horizontal="right" vertical="top"/>
      <protection locked="0"/>
    </xf>
    <xf numFmtId="164" fontId="7" fillId="9" borderId="25" xfId="1" applyFont="1" applyFill="1" applyBorder="1" applyAlignment="1" applyProtection="1">
      <alignment horizontal="right" vertical="top"/>
    </xf>
    <xf numFmtId="164" fontId="7" fillId="0" borderId="0" xfId="0" applyNumberFormat="1" applyFont="1" applyAlignment="1" applyProtection="1">
      <alignment vertical="top"/>
      <protection locked="0"/>
    </xf>
    <xf numFmtId="0" fontId="0" fillId="0" borderId="0" xfId="0" applyAlignment="1" applyProtection="1">
      <alignment vertical="center"/>
      <protection locked="0"/>
    </xf>
    <xf numFmtId="164" fontId="7" fillId="8" borderId="25" xfId="1" applyFont="1" applyFill="1" applyBorder="1" applyAlignment="1" applyProtection="1">
      <alignment horizontal="right" vertical="top" wrapText="1"/>
    </xf>
    <xf numFmtId="164" fontId="7" fillId="0" borderId="0" xfId="1" applyFont="1" applyFill="1" applyAlignment="1" applyProtection="1">
      <alignment vertical="top"/>
      <protection locked="0"/>
    </xf>
    <xf numFmtId="164" fontId="7" fillId="8" borderId="25" xfId="1" applyFont="1" applyFill="1" applyBorder="1" applyAlignment="1" applyProtection="1">
      <alignment horizontal="center" vertical="top"/>
    </xf>
    <xf numFmtId="0" fontId="0" fillId="0" borderId="25" xfId="0" applyBorder="1" applyAlignment="1" applyProtection="1">
      <alignment vertical="top" wrapText="1"/>
      <protection locked="0"/>
    </xf>
    <xf numFmtId="164" fontId="7" fillId="4" borderId="25" xfId="1" applyFont="1" applyFill="1" applyBorder="1" applyAlignment="1" applyProtection="1">
      <alignment horizontal="right" vertical="top"/>
    </xf>
    <xf numFmtId="164" fontId="7" fillId="8" borderId="32" xfId="1" applyFont="1" applyFill="1" applyBorder="1" applyAlignment="1" applyProtection="1">
      <alignment horizontal="right" vertical="top"/>
    </xf>
    <xf numFmtId="164" fontId="7" fillId="9" borderId="32" xfId="1" applyFont="1" applyFill="1" applyBorder="1" applyAlignment="1" applyProtection="1">
      <alignment horizontal="right" vertical="top"/>
    </xf>
    <xf numFmtId="0" fontId="0" fillId="0" borderId="0" xfId="0" applyAlignment="1" applyProtection="1">
      <alignment horizontal="left" vertical="top"/>
      <protection locked="0"/>
    </xf>
    <xf numFmtId="164" fontId="6" fillId="8" borderId="32" xfId="1" applyFont="1" applyFill="1" applyBorder="1" applyAlignment="1" applyProtection="1">
      <alignment horizontal="right" vertical="top"/>
    </xf>
    <xf numFmtId="164" fontId="6" fillId="9" borderId="32" xfId="1" applyFont="1" applyFill="1" applyBorder="1" applyAlignment="1" applyProtection="1">
      <alignment horizontal="right" vertical="top"/>
    </xf>
    <xf numFmtId="164" fontId="6" fillId="8" borderId="32" xfId="1" applyFont="1" applyFill="1" applyBorder="1" applyAlignment="1" applyProtection="1">
      <alignment horizontal="right" vertical="top" wrapText="1"/>
    </xf>
    <xf numFmtId="164" fontId="6" fillId="9" borderId="32" xfId="1" applyFont="1" applyFill="1" applyBorder="1" applyAlignment="1" applyProtection="1">
      <alignment horizontal="right" vertical="top" wrapText="1"/>
    </xf>
    <xf numFmtId="0" fontId="7" fillId="4" borderId="25" xfId="0" applyFont="1" applyFill="1" applyBorder="1" applyAlignment="1" applyProtection="1">
      <alignment horizontal="right" vertical="top"/>
      <protection locked="0"/>
    </xf>
    <xf numFmtId="164" fontId="7" fillId="8" borderId="33" xfId="1" applyFont="1" applyFill="1" applyBorder="1" applyAlignment="1" applyProtection="1">
      <alignment horizontal="right" vertical="top"/>
    </xf>
    <xf numFmtId="164" fontId="7" fillId="9" borderId="33" xfId="1" applyFont="1" applyFill="1" applyBorder="1" applyAlignment="1" applyProtection="1">
      <alignment horizontal="right" vertical="top"/>
    </xf>
    <xf numFmtId="0" fontId="22" fillId="0" borderId="0" xfId="0" applyFont="1" applyProtection="1">
      <protection locked="0"/>
    </xf>
    <xf numFmtId="164" fontId="6" fillId="0" borderId="25" xfId="1" applyFont="1" applyFill="1" applyBorder="1" applyAlignment="1" applyProtection="1">
      <alignment horizontal="center" vertical="top"/>
    </xf>
    <xf numFmtId="164" fontId="6" fillId="4" borderId="32" xfId="0" applyNumberFormat="1" applyFont="1" applyFill="1" applyBorder="1" applyAlignment="1" applyProtection="1">
      <alignment horizontal="right" vertical="top"/>
      <protection locked="0"/>
    </xf>
    <xf numFmtId="164" fontId="6" fillId="0" borderId="25" xfId="0" applyNumberFormat="1" applyFont="1" applyBorder="1" applyAlignment="1" applyProtection="1">
      <alignment horizontal="right" vertical="top"/>
      <protection locked="0"/>
    </xf>
    <xf numFmtId="164" fontId="7" fillId="0" borderId="33" xfId="0" applyNumberFormat="1" applyFont="1" applyBorder="1" applyAlignment="1" applyProtection="1">
      <alignment horizontal="right" vertical="top" wrapText="1"/>
      <protection locked="0"/>
    </xf>
    <xf numFmtId="164" fontId="6" fillId="0" borderId="0" xfId="0" applyNumberFormat="1" applyFont="1" applyAlignment="1" applyProtection="1">
      <alignment vertical="top"/>
      <protection locked="0"/>
    </xf>
    <xf numFmtId="0" fontId="23" fillId="0" borderId="0" xfId="0" applyFont="1" applyAlignment="1" applyProtection="1">
      <alignment vertical="top"/>
      <protection locked="0"/>
    </xf>
    <xf numFmtId="39" fontId="23" fillId="0" borderId="0" xfId="0" applyNumberFormat="1" applyFont="1" applyAlignment="1" applyProtection="1">
      <alignment vertical="top"/>
      <protection locked="0"/>
    </xf>
    <xf numFmtId="39" fontId="8" fillId="0" borderId="0" xfId="0" applyNumberFormat="1" applyFont="1" applyAlignment="1" applyProtection="1">
      <alignment vertical="top"/>
      <protection locked="0"/>
    </xf>
    <xf numFmtId="39" fontId="8" fillId="4" borderId="24" xfId="0" applyNumberFormat="1" applyFont="1" applyFill="1" applyBorder="1" applyAlignment="1" applyProtection="1">
      <alignment vertical="top"/>
      <protection locked="0"/>
    </xf>
    <xf numFmtId="39" fontId="23" fillId="4" borderId="24" xfId="0" applyNumberFormat="1" applyFont="1" applyFill="1" applyBorder="1" applyAlignment="1" applyProtection="1">
      <alignment vertical="top"/>
      <protection locked="0"/>
    </xf>
    <xf numFmtId="39" fontId="6" fillId="4" borderId="24" xfId="0" applyNumberFormat="1" applyFont="1" applyFill="1" applyBorder="1" applyAlignment="1" applyProtection="1">
      <alignment horizontal="right" vertical="top" wrapText="1"/>
      <protection locked="0"/>
    </xf>
    <xf numFmtId="39" fontId="23" fillId="4" borderId="24" xfId="0" applyNumberFormat="1" applyFont="1" applyFill="1" applyBorder="1" applyAlignment="1" applyProtection="1">
      <alignment horizontal="right" vertical="top" wrapText="1"/>
      <protection locked="0"/>
    </xf>
    <xf numFmtId="39" fontId="23" fillId="5" borderId="24" xfId="0" applyNumberFormat="1" applyFont="1" applyFill="1" applyBorder="1" applyAlignment="1" applyProtection="1">
      <alignment horizontal="right" vertical="top" wrapText="1"/>
      <protection locked="0"/>
    </xf>
    <xf numFmtId="39" fontId="8" fillId="0" borderId="33" xfId="0" applyNumberFormat="1" applyFont="1" applyBorder="1" applyAlignment="1" applyProtection="1">
      <alignment vertical="top"/>
      <protection locked="0"/>
    </xf>
    <xf numFmtId="39" fontId="8" fillId="0" borderId="33" xfId="0" applyNumberFormat="1" applyFont="1" applyBorder="1" applyAlignment="1" applyProtection="1">
      <alignment horizontal="left" vertical="top"/>
      <protection locked="0"/>
    </xf>
    <xf numFmtId="164" fontId="8" fillId="0" borderId="33" xfId="1" applyFont="1" applyBorder="1" applyAlignment="1" applyProtection="1">
      <alignment horizontal="right" vertical="top"/>
      <protection locked="0"/>
    </xf>
    <xf numFmtId="39" fontId="8" fillId="0" borderId="0" xfId="0" applyNumberFormat="1" applyFont="1" applyAlignment="1" applyProtection="1">
      <alignment horizontal="left" vertical="top"/>
      <protection locked="0"/>
    </xf>
    <xf numFmtId="164" fontId="7" fillId="0" borderId="32" xfId="1" applyFont="1" applyFill="1" applyBorder="1" applyAlignment="1" applyProtection="1">
      <alignment horizontal="right" vertical="top"/>
    </xf>
    <xf numFmtId="39" fontId="0" fillId="0" borderId="0" xfId="0" applyNumberFormat="1" applyAlignment="1" applyProtection="1">
      <alignment vertical="top" wrapText="1"/>
      <protection locked="0"/>
    </xf>
    <xf numFmtId="0" fontId="8" fillId="0" borderId="0" xfId="0" applyFont="1" applyAlignment="1" applyProtection="1">
      <alignment horizontal="right" vertical="top"/>
      <protection locked="0"/>
    </xf>
    <xf numFmtId="0" fontId="8" fillId="11" borderId="0" xfId="0" applyFont="1" applyFill="1" applyAlignment="1" applyProtection="1">
      <alignment horizontal="right" vertical="top"/>
      <protection locked="0"/>
    </xf>
    <xf numFmtId="39" fontId="7" fillId="0" borderId="0" xfId="0" applyNumberFormat="1" applyFont="1" applyAlignment="1" applyProtection="1">
      <alignment horizontal="left" vertical="top" wrapText="1"/>
      <protection locked="0"/>
    </xf>
    <xf numFmtId="39" fontId="6" fillId="0" borderId="0" xfId="0" applyNumberFormat="1" applyFont="1" applyAlignment="1" applyProtection="1">
      <alignment vertical="top" wrapText="1"/>
      <protection locked="0"/>
    </xf>
    <xf numFmtId="0" fontId="23" fillId="0" borderId="0" xfId="0" applyFont="1" applyAlignment="1" applyProtection="1">
      <alignment horizontal="right" vertical="top"/>
      <protection locked="0"/>
    </xf>
    <xf numFmtId="164" fontId="8" fillId="0" borderId="0" xfId="1" applyFont="1" applyFill="1" applyAlignment="1" applyProtection="1">
      <alignment vertical="top"/>
      <protection locked="0"/>
    </xf>
    <xf numFmtId="164" fontId="7" fillId="0" borderId="0" xfId="0" applyNumberFormat="1" applyFont="1" applyAlignment="1" applyProtection="1">
      <alignment horizontal="right" vertical="top"/>
      <protection locked="0"/>
    </xf>
    <xf numFmtId="0" fontId="14" fillId="4" borderId="24" xfId="0" applyFont="1" applyFill="1" applyBorder="1" applyAlignment="1" applyProtection="1">
      <alignment horizontal="left" vertical="top" indent="14"/>
      <protection locked="0"/>
    </xf>
    <xf numFmtId="0" fontId="6" fillId="4" borderId="24" xfId="0" applyFont="1" applyFill="1" applyBorder="1" applyAlignment="1" applyProtection="1">
      <alignment vertical="top"/>
      <protection locked="0"/>
    </xf>
    <xf numFmtId="0" fontId="7" fillId="0" borderId="32" xfId="0" applyFont="1" applyBorder="1" applyAlignment="1" applyProtection="1">
      <alignment vertical="top"/>
      <protection locked="0"/>
    </xf>
    <xf numFmtId="0" fontId="6" fillId="0" borderId="32" xfId="0" applyFont="1" applyBorder="1" applyAlignment="1" applyProtection="1">
      <alignment vertical="top"/>
      <protection locked="0"/>
    </xf>
    <xf numFmtId="0" fontId="6" fillId="0" borderId="32" xfId="0" applyFont="1" applyBorder="1" applyAlignment="1" applyProtection="1">
      <alignment horizontal="right" vertical="top"/>
      <protection locked="0"/>
    </xf>
    <xf numFmtId="164" fontId="6" fillId="8" borderId="25" xfId="1" applyFont="1" applyFill="1" applyBorder="1" applyAlignment="1" applyProtection="1">
      <alignment horizontal="right" vertical="top"/>
    </xf>
    <xf numFmtId="164" fontId="6" fillId="9" borderId="25" xfId="1" applyFont="1" applyFill="1" applyBorder="1" applyAlignment="1" applyProtection="1">
      <alignment horizontal="right" vertical="top"/>
    </xf>
    <xf numFmtId="164" fontId="7" fillId="9" borderId="25" xfId="1" applyFont="1" applyFill="1" applyBorder="1" applyAlignment="1" applyProtection="1">
      <alignment horizontal="right" vertical="top"/>
      <protection locked="0"/>
    </xf>
    <xf numFmtId="164" fontId="6" fillId="0" borderId="18" xfId="1" applyFont="1" applyFill="1" applyBorder="1" applyAlignment="1" applyProtection="1">
      <alignment horizontal="right" vertical="top"/>
    </xf>
    <xf numFmtId="164" fontId="7" fillId="4" borderId="44" xfId="1" applyFont="1" applyFill="1" applyBorder="1" applyAlignment="1" applyProtection="1">
      <alignment horizontal="right" vertical="top"/>
    </xf>
    <xf numFmtId="0" fontId="7" fillId="0" borderId="33" xfId="0" applyFont="1" applyBorder="1" applyAlignment="1" applyProtection="1">
      <alignment vertical="top"/>
      <protection locked="0"/>
    </xf>
    <xf numFmtId="164" fontId="6" fillId="4" borderId="18" xfId="1" applyFont="1" applyFill="1" applyBorder="1" applyAlignment="1" applyProtection="1">
      <alignment horizontal="right" vertical="top"/>
    </xf>
    <xf numFmtId="0" fontId="7" fillId="0" borderId="16" xfId="0" applyFont="1" applyBorder="1" applyAlignment="1" applyProtection="1">
      <alignment vertical="top"/>
      <protection locked="0"/>
    </xf>
    <xf numFmtId="0" fontId="6" fillId="0" borderId="16" xfId="0" applyFont="1" applyBorder="1" applyAlignment="1" applyProtection="1">
      <alignment vertical="top"/>
      <protection locked="0"/>
    </xf>
    <xf numFmtId="164" fontId="6" fillId="0" borderId="16" xfId="1" applyFont="1" applyFill="1" applyBorder="1" applyAlignment="1" applyProtection="1">
      <alignment horizontal="right" vertical="top" wrapText="1"/>
      <protection locked="0"/>
    </xf>
    <xf numFmtId="164" fontId="7" fillId="9" borderId="16" xfId="1" applyFont="1" applyFill="1" applyBorder="1" applyAlignment="1" applyProtection="1">
      <alignment horizontal="right" vertical="top"/>
    </xf>
    <xf numFmtId="0" fontId="7" fillId="4" borderId="32" xfId="0" applyFont="1" applyFill="1" applyBorder="1" applyAlignment="1" applyProtection="1">
      <alignment vertical="top"/>
      <protection locked="0"/>
    </xf>
    <xf numFmtId="0" fontId="6" fillId="4" borderId="32" xfId="0" applyFont="1" applyFill="1" applyBorder="1" applyAlignment="1" applyProtection="1">
      <alignment vertical="top"/>
      <protection locked="0"/>
    </xf>
    <xf numFmtId="164" fontId="7" fillId="0" borderId="44" xfId="1" applyFont="1" applyFill="1" applyBorder="1" applyAlignment="1" applyProtection="1">
      <alignment horizontal="right" vertical="top"/>
    </xf>
    <xf numFmtId="164" fontId="7" fillId="9" borderId="44" xfId="1" applyFont="1" applyFill="1" applyBorder="1" applyAlignment="1" applyProtection="1">
      <alignment horizontal="right" vertical="top"/>
    </xf>
    <xf numFmtId="0" fontId="7" fillId="0" borderId="0" xfId="0" applyFont="1" applyAlignment="1" applyProtection="1">
      <alignment horizontal="left" vertical="top"/>
      <protection locked="0"/>
    </xf>
    <xf numFmtId="0" fontId="24" fillId="0" borderId="0" xfId="0" applyFont="1" applyAlignment="1" applyProtection="1">
      <alignment vertical="top"/>
      <protection locked="0"/>
    </xf>
    <xf numFmtId="164" fontId="7" fillId="0" borderId="0" xfId="1" applyFont="1" applyFill="1" applyAlignment="1" applyProtection="1">
      <alignment horizontal="right" vertical="top"/>
    </xf>
    <xf numFmtId="0" fontId="7" fillId="0" borderId="0" xfId="0" applyFont="1" applyAlignment="1" applyProtection="1">
      <alignment horizontal="left" vertical="top" indent="2"/>
      <protection locked="0"/>
    </xf>
    <xf numFmtId="164" fontId="0" fillId="0" borderId="0" xfId="0" applyNumberFormat="1" applyAlignment="1" applyProtection="1">
      <alignment horizontal="center" wrapText="1"/>
      <protection locked="0"/>
    </xf>
    <xf numFmtId="0" fontId="7" fillId="0" borderId="32" xfId="0" applyFont="1" applyBorder="1" applyProtection="1">
      <protection locked="0"/>
    </xf>
    <xf numFmtId="0" fontId="7" fillId="4" borderId="0" xfId="0" applyFont="1" applyFill="1" applyAlignment="1" applyProtection="1">
      <alignment wrapText="1"/>
      <protection locked="0"/>
    </xf>
    <xf numFmtId="0" fontId="7" fillId="0" borderId="0" xfId="0" applyFont="1" applyAlignment="1" applyProtection="1">
      <alignment wrapText="1"/>
      <protection locked="0"/>
    </xf>
    <xf numFmtId="0" fontId="6" fillId="0" borderId="25" xfId="0" applyFont="1" applyBorder="1" applyAlignment="1" applyProtection="1">
      <alignment horizontal="left" indent="2"/>
      <protection locked="0"/>
    </xf>
    <xf numFmtId="0" fontId="6" fillId="0" borderId="0" xfId="0" applyFont="1" applyAlignment="1" applyProtection="1">
      <alignment wrapText="1"/>
      <protection locked="0"/>
    </xf>
    <xf numFmtId="0" fontId="7" fillId="0" borderId="25" xfId="0" applyFont="1" applyBorder="1" applyProtection="1">
      <protection locked="0"/>
    </xf>
    <xf numFmtId="0" fontId="7" fillId="0" borderId="25" xfId="0" applyFont="1" applyBorder="1" applyAlignment="1" applyProtection="1">
      <alignment horizontal="left" indent="2"/>
      <protection locked="0"/>
    </xf>
    <xf numFmtId="0" fontId="6" fillId="0" borderId="16" xfId="0" applyFont="1" applyBorder="1" applyAlignment="1" applyProtection="1">
      <alignment horizontal="right" vertical="top"/>
      <protection locked="0"/>
    </xf>
    <xf numFmtId="0" fontId="7" fillId="0" borderId="44" xfId="0" applyFont="1" applyBorder="1" applyAlignment="1" applyProtection="1">
      <alignment vertical="top"/>
      <protection locked="0"/>
    </xf>
    <xf numFmtId="0" fontId="6" fillId="0" borderId="0" xfId="0" applyFont="1" applyAlignment="1" applyProtection="1">
      <alignment vertical="top" wrapText="1"/>
      <protection locked="0"/>
    </xf>
    <xf numFmtId="0" fontId="7" fillId="0" borderId="33" xfId="0" applyFont="1" applyBorder="1" applyProtection="1">
      <protection locked="0"/>
    </xf>
    <xf numFmtId="0" fontId="7" fillId="4" borderId="32" xfId="0" applyFont="1" applyFill="1" applyBorder="1" applyAlignment="1" applyProtection="1">
      <alignment wrapText="1"/>
      <protection locked="0"/>
    </xf>
    <xf numFmtId="0" fontId="7" fillId="0" borderId="32" xfId="0" applyFont="1" applyBorder="1" applyAlignment="1" applyProtection="1">
      <alignment wrapText="1"/>
      <protection locked="0"/>
    </xf>
    <xf numFmtId="0" fontId="6" fillId="0" borderId="25" xfId="0" applyFont="1" applyBorder="1" applyProtection="1">
      <protection locked="0"/>
    </xf>
    <xf numFmtId="0" fontId="0" fillId="0" borderId="33" xfId="0" applyBorder="1" applyProtection="1">
      <protection locked="0"/>
    </xf>
    <xf numFmtId="0" fontId="7" fillId="4" borderId="25" xfId="0" applyFont="1" applyFill="1" applyBorder="1" applyAlignment="1" applyProtection="1">
      <alignment wrapText="1"/>
      <protection locked="0"/>
    </xf>
    <xf numFmtId="0" fontId="6" fillId="0" borderId="0" xfId="0" quotePrefix="1" applyFont="1" applyAlignment="1" applyProtection="1">
      <alignment horizontal="center" vertical="top"/>
      <protection locked="0"/>
    </xf>
    <xf numFmtId="0" fontId="24" fillId="0" borderId="0" xfId="0" applyFont="1" applyAlignment="1" applyProtection="1">
      <alignment horizontal="right" vertical="top"/>
      <protection locked="0"/>
    </xf>
    <xf numFmtId="0" fontId="6" fillId="0" borderId="0" xfId="0" applyFont="1" applyAlignment="1" applyProtection="1">
      <alignment horizontal="left" vertical="top"/>
      <protection locked="0"/>
    </xf>
    <xf numFmtId="0" fontId="7" fillId="9" borderId="0" xfId="0" applyFont="1" applyFill="1" applyAlignment="1" applyProtection="1">
      <alignment horizontal="right" vertical="top"/>
      <protection locked="0"/>
    </xf>
    <xf numFmtId="0" fontId="6" fillId="0" borderId="25" xfId="0" applyFont="1" applyBorder="1" applyAlignment="1" applyProtection="1">
      <alignment horizontal="justify" vertical="top" wrapText="1"/>
      <protection locked="0"/>
    </xf>
    <xf numFmtId="17" fontId="24" fillId="0" borderId="0" xfId="0" applyNumberFormat="1" applyFont="1" applyAlignment="1" applyProtection="1">
      <alignment horizontal="right" vertical="top"/>
      <protection locked="0"/>
    </xf>
    <xf numFmtId="164" fontId="7" fillId="4" borderId="44" xfId="1" applyFont="1" applyFill="1" applyBorder="1" applyAlignment="1" applyProtection="1">
      <alignment horizontal="right" vertical="top"/>
      <protection locked="0"/>
    </xf>
    <xf numFmtId="164" fontId="7" fillId="0" borderId="44" xfId="1" applyFont="1" applyFill="1" applyBorder="1" applyAlignment="1" applyProtection="1">
      <alignment horizontal="right" vertical="top"/>
      <protection locked="0"/>
    </xf>
    <xf numFmtId="0" fontId="6" fillId="0" borderId="33" xfId="0" applyFont="1" applyBorder="1" applyAlignment="1" applyProtection="1">
      <alignment vertical="top"/>
      <protection locked="0"/>
    </xf>
    <xf numFmtId="0" fontId="6" fillId="0" borderId="33" xfId="0" applyFont="1" applyBorder="1" applyAlignment="1" applyProtection="1">
      <alignment horizontal="justify" vertical="top" wrapText="1"/>
      <protection locked="0"/>
    </xf>
    <xf numFmtId="164" fontId="7" fillId="4" borderId="33" xfId="1" applyFont="1" applyFill="1" applyBorder="1" applyAlignment="1" applyProtection="1">
      <alignment horizontal="right" vertical="top"/>
      <protection locked="0"/>
    </xf>
    <xf numFmtId="164" fontId="6" fillId="0" borderId="25" xfId="1" applyFont="1" applyFill="1" applyBorder="1" applyAlignment="1" applyProtection="1">
      <alignment horizontal="right" vertical="top"/>
    </xf>
    <xf numFmtId="164" fontId="11" fillId="0" borderId="0" xfId="0" applyNumberFormat="1" applyFont="1" applyAlignment="1" applyProtection="1">
      <alignment vertical="top"/>
      <protection locked="0"/>
    </xf>
    <xf numFmtId="0" fontId="7" fillId="0" borderId="32" xfId="0" applyFont="1" applyBorder="1" applyAlignment="1" applyProtection="1">
      <alignment horizontal="left" vertical="top"/>
      <protection locked="0"/>
    </xf>
    <xf numFmtId="0" fontId="14" fillId="0" borderId="0" xfId="0" applyFont="1" applyAlignment="1" applyProtection="1">
      <alignment horizontal="center" vertical="center"/>
      <protection locked="0"/>
    </xf>
    <xf numFmtId="0" fontId="7" fillId="0" borderId="25" xfId="0" applyFont="1" applyBorder="1" applyAlignment="1" applyProtection="1">
      <alignment horizontal="left" vertical="top" indent="1"/>
      <protection locked="0"/>
    </xf>
    <xf numFmtId="0" fontId="6" fillId="0" borderId="33" xfId="0" applyFont="1" applyBorder="1" applyAlignment="1" applyProtection="1">
      <alignment horizontal="right" vertical="top"/>
      <protection locked="0"/>
    </xf>
    <xf numFmtId="164" fontId="6" fillId="4" borderId="25" xfId="1" applyFont="1" applyFill="1" applyBorder="1" applyAlignment="1" applyProtection="1">
      <alignment horizontal="right" vertical="top"/>
    </xf>
    <xf numFmtId="39" fontId="7" fillId="0" borderId="44" xfId="0" applyNumberFormat="1" applyFont="1" applyBorder="1" applyAlignment="1" applyProtection="1">
      <alignment vertical="top"/>
      <protection locked="0"/>
    </xf>
    <xf numFmtId="164" fontId="6" fillId="4" borderId="44" xfId="1" applyFont="1" applyFill="1" applyBorder="1" applyAlignment="1" applyProtection="1">
      <alignment horizontal="right" vertical="top"/>
      <protection locked="0"/>
    </xf>
    <xf numFmtId="164" fontId="6" fillId="0" borderId="44" xfId="1" applyFont="1" applyFill="1" applyBorder="1" applyAlignment="1" applyProtection="1">
      <alignment horizontal="right" vertical="top"/>
      <protection locked="0"/>
    </xf>
    <xf numFmtId="0" fontId="7" fillId="0" borderId="27" xfId="0" applyFont="1" applyBorder="1" applyAlignment="1" applyProtection="1">
      <alignment vertical="top"/>
      <protection locked="0"/>
    </xf>
    <xf numFmtId="164" fontId="7" fillId="4" borderId="33" xfId="1" applyFont="1" applyFill="1" applyBorder="1" applyAlignment="1" applyProtection="1">
      <alignment horizontal="right" vertical="top"/>
    </xf>
    <xf numFmtId="164" fontId="7" fillId="0" borderId="33" xfId="1" applyFont="1" applyFill="1" applyBorder="1" applyAlignment="1" applyProtection="1">
      <alignment horizontal="right" vertical="top"/>
    </xf>
    <xf numFmtId="0" fontId="6" fillId="0" borderId="16" xfId="0" applyFont="1" applyBorder="1" applyAlignment="1" applyProtection="1">
      <alignment horizontal="left" vertical="top"/>
      <protection locked="0"/>
    </xf>
    <xf numFmtId="39" fontId="6" fillId="0" borderId="0" xfId="0" applyNumberFormat="1" applyFont="1" applyAlignment="1" applyProtection="1">
      <alignment vertical="top"/>
      <protection locked="0"/>
    </xf>
    <xf numFmtId="39" fontId="7" fillId="0" borderId="0" xfId="0" applyNumberFormat="1" applyFont="1" applyAlignment="1" applyProtection="1">
      <alignment vertical="top"/>
      <protection locked="0"/>
    </xf>
    <xf numFmtId="0" fontId="14" fillId="0" borderId="0" xfId="0" applyFont="1" applyAlignment="1" applyProtection="1">
      <alignment horizontal="left" vertical="top" indent="22"/>
      <protection locked="0"/>
    </xf>
    <xf numFmtId="39" fontId="6" fillId="0" borderId="32" xfId="0" applyNumberFormat="1" applyFont="1" applyBorder="1" applyAlignment="1" applyProtection="1">
      <alignment vertical="top"/>
      <protection locked="0"/>
    </xf>
    <xf numFmtId="0" fontId="7" fillId="4" borderId="32" xfId="0" applyFont="1" applyFill="1" applyBorder="1" applyAlignment="1" applyProtection="1">
      <alignment horizontal="right" vertical="top"/>
      <protection locked="0"/>
    </xf>
    <xf numFmtId="39" fontId="7" fillId="0" borderId="32" xfId="0" applyNumberFormat="1" applyFont="1" applyBorder="1" applyAlignment="1" applyProtection="1">
      <alignment vertical="top"/>
      <protection locked="0"/>
    </xf>
    <xf numFmtId="164" fontId="6" fillId="4" borderId="24" xfId="1" applyFont="1" applyFill="1" applyBorder="1" applyAlignment="1" applyProtection="1">
      <alignment horizontal="right" vertical="top"/>
    </xf>
    <xf numFmtId="164" fontId="6" fillId="0" borderId="24" xfId="1" applyFont="1" applyFill="1" applyBorder="1" applyAlignment="1" applyProtection="1">
      <alignment horizontal="right" vertical="top"/>
    </xf>
    <xf numFmtId="164" fontId="7" fillId="4" borderId="24" xfId="1" applyFont="1" applyFill="1" applyBorder="1" applyAlignment="1" applyProtection="1">
      <alignment horizontal="right" vertical="top"/>
    </xf>
    <xf numFmtId="164" fontId="7" fillId="0" borderId="24" xfId="1" applyFont="1" applyFill="1" applyBorder="1" applyAlignment="1" applyProtection="1">
      <alignment horizontal="right" vertical="top"/>
    </xf>
    <xf numFmtId="0" fontId="7" fillId="0" borderId="0" xfId="0" applyFont="1" applyAlignment="1" applyProtection="1">
      <alignment horizontal="left" vertical="top" indent="1"/>
      <protection locked="0"/>
    </xf>
    <xf numFmtId="39" fontId="6" fillId="0" borderId="25" xfId="0" applyNumberFormat="1" applyFont="1" applyBorder="1" applyAlignment="1" applyProtection="1">
      <alignment vertical="top"/>
      <protection locked="0"/>
    </xf>
    <xf numFmtId="0" fontId="7" fillId="0" borderId="44" xfId="0" applyFont="1" applyBorder="1" applyAlignment="1" applyProtection="1">
      <alignment horizontal="left" vertical="top"/>
      <protection locked="0"/>
    </xf>
    <xf numFmtId="0" fontId="11" fillId="0" borderId="0" xfId="0" applyFont="1" applyAlignment="1" applyProtection="1">
      <alignment vertical="top"/>
      <protection locked="0"/>
    </xf>
    <xf numFmtId="164" fontId="6" fillId="9" borderId="0" xfId="1" applyFont="1" applyFill="1" applyAlignment="1" applyProtection="1">
      <alignment horizontal="right" vertical="top"/>
      <protection locked="0"/>
    </xf>
    <xf numFmtId="164" fontId="6" fillId="0" borderId="0" xfId="0" applyNumberFormat="1" applyFont="1" applyAlignment="1" applyProtection="1">
      <alignment horizontal="left" vertical="top"/>
      <protection locked="0"/>
    </xf>
    <xf numFmtId="164" fontId="7" fillId="0" borderId="0" xfId="0" applyNumberFormat="1" applyFont="1" applyAlignment="1" applyProtection="1">
      <alignment horizontal="left" vertical="top"/>
      <protection locked="0"/>
    </xf>
    <xf numFmtId="0" fontId="6" fillId="4" borderId="42" xfId="0" applyFont="1" applyFill="1" applyBorder="1" applyAlignment="1" applyProtection="1">
      <alignment horizontal="center" vertical="top" wrapText="1"/>
      <protection locked="0"/>
    </xf>
    <xf numFmtId="39" fontId="7" fillId="0" borderId="25" xfId="0" applyNumberFormat="1" applyFont="1" applyBorder="1" applyAlignment="1" applyProtection="1">
      <alignment horizontal="left" vertical="top" indent="2"/>
      <protection locked="0"/>
    </xf>
    <xf numFmtId="39" fontId="7" fillId="0" borderId="25" xfId="0" applyNumberFormat="1" applyFont="1" applyBorder="1" applyAlignment="1" applyProtection="1">
      <alignment vertical="top"/>
      <protection locked="0"/>
    </xf>
    <xf numFmtId="0" fontId="7" fillId="0" borderId="0" xfId="0" applyFont="1" applyAlignment="1" applyProtection="1">
      <alignment vertical="top" wrapText="1"/>
      <protection locked="0"/>
    </xf>
    <xf numFmtId="0" fontId="24" fillId="0" borderId="0" xfId="0" applyFont="1" applyAlignment="1" applyProtection="1">
      <alignment horizontal="right" vertical="top" wrapText="1"/>
      <protection locked="0"/>
    </xf>
    <xf numFmtId="0" fontId="7" fillId="0" borderId="32" xfId="0" applyFont="1" applyBorder="1" applyAlignment="1" applyProtection="1">
      <alignment horizontal="left" vertical="top" indent="2"/>
      <protection locked="0"/>
    </xf>
    <xf numFmtId="39" fontId="6" fillId="0" borderId="44" xfId="0" applyNumberFormat="1" applyFont="1" applyBorder="1" applyAlignment="1" applyProtection="1">
      <alignment horizontal="left" vertical="top" indent="3"/>
      <protection locked="0"/>
    </xf>
    <xf numFmtId="0" fontId="6" fillId="0" borderId="18" xfId="0" applyFont="1" applyBorder="1" applyAlignment="1" applyProtection="1">
      <alignment vertical="top"/>
      <protection locked="0"/>
    </xf>
    <xf numFmtId="164" fontId="7" fillId="0" borderId="18" xfId="1" applyFont="1" applyFill="1" applyBorder="1" applyAlignment="1" applyProtection="1">
      <alignment horizontal="right" vertical="top"/>
      <protection locked="0"/>
    </xf>
    <xf numFmtId="0" fontId="14" fillId="0" borderId="0" xfId="0" applyFont="1" applyAlignment="1" applyProtection="1">
      <alignment vertical="center"/>
      <protection locked="0"/>
    </xf>
    <xf numFmtId="39" fontId="7" fillId="0" borderId="25" xfId="0" applyNumberFormat="1" applyFont="1" applyBorder="1" applyAlignment="1" applyProtection="1">
      <alignment horizontal="left" vertical="top"/>
      <protection locked="0"/>
    </xf>
    <xf numFmtId="164" fontId="7" fillId="0" borderId="0" xfId="1" applyFont="1" applyFill="1" applyAlignment="1" applyProtection="1">
      <alignment horizontal="left" vertical="top"/>
      <protection locked="0"/>
    </xf>
    <xf numFmtId="164" fontId="7" fillId="0" borderId="16" xfId="0" applyNumberFormat="1" applyFont="1" applyBorder="1" applyAlignment="1" applyProtection="1">
      <alignment vertical="top"/>
      <protection locked="0"/>
    </xf>
    <xf numFmtId="0" fontId="14" fillId="0" borderId="0" xfId="0" applyFont="1" applyAlignment="1" applyProtection="1">
      <alignment horizontal="left" vertical="top" indent="21"/>
      <protection locked="0"/>
    </xf>
    <xf numFmtId="0" fontId="7" fillId="0" borderId="25" xfId="0" applyFont="1" applyBorder="1" applyAlignment="1" applyProtection="1">
      <alignment horizontal="center" vertical="top"/>
      <protection locked="0"/>
    </xf>
    <xf numFmtId="0" fontId="7" fillId="0" borderId="25" xfId="0" quotePrefix="1" applyFont="1" applyBorder="1" applyAlignment="1" applyProtection="1">
      <alignment horizontal="left" vertical="top"/>
      <protection locked="0"/>
    </xf>
    <xf numFmtId="0" fontId="7" fillId="9" borderId="25" xfId="0" applyFont="1" applyFill="1" applyBorder="1" applyAlignment="1" applyProtection="1">
      <alignment horizontal="left" vertical="top"/>
      <protection locked="0"/>
    </xf>
    <xf numFmtId="39" fontId="6" fillId="0" borderId="0" xfId="0" applyNumberFormat="1" applyFont="1" applyAlignment="1" applyProtection="1">
      <alignment horizontal="left" vertical="top"/>
      <protection locked="0"/>
    </xf>
    <xf numFmtId="39" fontId="7" fillId="0" borderId="0" xfId="0" applyNumberFormat="1" applyFont="1" applyAlignment="1" applyProtection="1">
      <alignment horizontal="left" vertical="top"/>
      <protection locked="0"/>
    </xf>
    <xf numFmtId="164" fontId="7" fillId="9" borderId="0" xfId="1" applyFont="1" applyFill="1" applyAlignment="1" applyProtection="1">
      <alignment vertical="top"/>
      <protection locked="0"/>
    </xf>
    <xf numFmtId="164" fontId="7" fillId="0" borderId="33" xfId="1" applyFont="1" applyFill="1" applyBorder="1" applyAlignment="1" applyProtection="1">
      <alignment horizontal="right" vertical="top"/>
      <protection locked="0"/>
    </xf>
    <xf numFmtId="0" fontId="7"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31" fillId="0" borderId="0" xfId="0" applyFont="1" applyAlignment="1" applyProtection="1">
      <alignment horizontal="right" vertical="center"/>
      <protection locked="0"/>
    </xf>
    <xf numFmtId="0" fontId="6" fillId="4" borderId="25" xfId="0" applyFont="1" applyFill="1" applyBorder="1" applyAlignment="1" applyProtection="1">
      <alignment horizontal="right" vertical="top"/>
      <protection locked="0"/>
    </xf>
    <xf numFmtId="0" fontId="6" fillId="4" borderId="44" xfId="0" applyFont="1" applyFill="1" applyBorder="1" applyAlignment="1" applyProtection="1">
      <alignment horizontal="right" vertical="top"/>
      <protection locked="0"/>
    </xf>
    <xf numFmtId="164" fontId="6" fillId="0" borderId="44" xfId="0" applyNumberFormat="1" applyFont="1" applyBorder="1" applyAlignment="1" applyProtection="1">
      <alignment horizontal="right" vertical="top"/>
      <protection locked="0"/>
    </xf>
    <xf numFmtId="164" fontId="6" fillId="0" borderId="0" xfId="0" applyNumberFormat="1" applyFont="1" applyAlignment="1" applyProtection="1">
      <alignment horizontal="right" vertical="top" wrapText="1"/>
      <protection locked="0"/>
    </xf>
    <xf numFmtId="164" fontId="7" fillId="12" borderId="0" xfId="0" applyNumberFormat="1" applyFont="1" applyFill="1" applyAlignment="1" applyProtection="1">
      <alignment vertical="top"/>
      <protection locked="0"/>
    </xf>
    <xf numFmtId="0" fontId="32" fillId="0" borderId="0" xfId="0" applyFont="1" applyAlignment="1" applyProtection="1">
      <alignment horizontal="center" vertical="center"/>
      <protection locked="0"/>
    </xf>
    <xf numFmtId="0" fontId="7" fillId="0" borderId="33" xfId="0" applyFont="1" applyBorder="1" applyAlignment="1" applyProtection="1">
      <alignment horizontal="center" vertical="top"/>
      <protection locked="0"/>
    </xf>
    <xf numFmtId="39" fontId="7" fillId="0" borderId="33" xfId="0" applyNumberFormat="1" applyFont="1" applyBorder="1" applyAlignment="1" applyProtection="1">
      <alignment horizontal="left" vertical="top"/>
      <protection locked="0"/>
    </xf>
    <xf numFmtId="0" fontId="14" fillId="0" borderId="0" xfId="0" applyFont="1" applyAlignment="1" applyProtection="1">
      <alignment horizontal="left" vertical="top" indent="19"/>
      <protection locked="0"/>
    </xf>
    <xf numFmtId="164" fontId="7" fillId="8" borderId="32" xfId="1" applyFont="1" applyFill="1" applyBorder="1" applyAlignment="1" applyProtection="1">
      <alignment horizontal="right" vertical="top"/>
      <protection locked="0"/>
    </xf>
    <xf numFmtId="0" fontId="0" fillId="0" borderId="32" xfId="0" applyBorder="1" applyAlignment="1" applyProtection="1">
      <alignment horizontal="right" vertical="top"/>
      <protection locked="0"/>
    </xf>
    <xf numFmtId="164" fontId="6" fillId="9" borderId="0" xfId="1" applyFont="1" applyFill="1" applyAlignment="1" applyProtection="1">
      <alignment horizontal="center" vertical="center"/>
      <protection locked="0"/>
    </xf>
    <xf numFmtId="0" fontId="6" fillId="5" borderId="42" xfId="0" applyFont="1" applyFill="1" applyBorder="1" applyAlignment="1" applyProtection="1">
      <alignment horizontal="right" vertical="top" wrapText="1"/>
      <protection locked="0"/>
    </xf>
    <xf numFmtId="164" fontId="6" fillId="4" borderId="18" xfId="1" applyFont="1" applyFill="1" applyBorder="1" applyAlignment="1" applyProtection="1"/>
    <xf numFmtId="0" fontId="7" fillId="0" borderId="0" xfId="0" applyFont="1" applyAlignment="1" applyProtection="1">
      <alignment horizontal="right" wrapText="1"/>
      <protection locked="0"/>
    </xf>
    <xf numFmtId="0" fontId="0" fillId="0" borderId="0" xfId="0" applyAlignment="1" applyProtection="1">
      <alignment horizontal="right"/>
      <protection locked="0"/>
    </xf>
    <xf numFmtId="0" fontId="6" fillId="4" borderId="29" xfId="0" applyFont="1" applyFill="1" applyBorder="1" applyAlignment="1" applyProtection="1">
      <alignment horizontal="right" vertical="top" wrapText="1"/>
      <protection locked="0"/>
    </xf>
    <xf numFmtId="164" fontId="6" fillId="0" borderId="18" xfId="1" applyFont="1" applyFill="1" applyBorder="1" applyAlignment="1" applyProtection="1"/>
    <xf numFmtId="0" fontId="6" fillId="0" borderId="0" xfId="0" applyFont="1" applyAlignment="1" applyProtection="1">
      <alignment horizontal="left"/>
      <protection locked="0"/>
    </xf>
    <xf numFmtId="16" fontId="0" fillId="0" borderId="0" xfId="0" applyNumberFormat="1" applyProtection="1">
      <protection locked="0"/>
    </xf>
    <xf numFmtId="16" fontId="0" fillId="0" borderId="0" xfId="0" applyNumberFormat="1" applyAlignment="1" applyProtection="1">
      <alignment horizontal="right"/>
      <protection locked="0"/>
    </xf>
    <xf numFmtId="0" fontId="11" fillId="0" borderId="0" xfId="0" applyFont="1" applyAlignment="1" applyProtection="1">
      <alignment horizontal="center" vertical="center"/>
      <protection locked="0"/>
    </xf>
    <xf numFmtId="16" fontId="7" fillId="0" borderId="25" xfId="0" applyNumberFormat="1" applyFont="1" applyBorder="1" applyProtection="1">
      <protection locked="0"/>
    </xf>
    <xf numFmtId="16" fontId="0" fillId="0" borderId="25" xfId="0" applyNumberFormat="1" applyBorder="1" applyProtection="1">
      <protection locked="0"/>
    </xf>
    <xf numFmtId="16" fontId="0" fillId="0" borderId="25" xfId="0" applyNumberFormat="1" applyBorder="1" applyAlignment="1" applyProtection="1">
      <alignment horizontal="right"/>
      <protection locked="0"/>
    </xf>
    <xf numFmtId="16" fontId="0" fillId="4" borderId="25" xfId="0" applyNumberFormat="1" applyFill="1" applyBorder="1" applyAlignment="1" applyProtection="1">
      <alignment horizontal="right"/>
      <protection locked="0"/>
    </xf>
    <xf numFmtId="0" fontId="0" fillId="0" borderId="25" xfId="0" applyBorder="1" applyAlignment="1" applyProtection="1">
      <alignment horizontal="right"/>
      <protection locked="0"/>
    </xf>
    <xf numFmtId="16" fontId="7" fillId="0" borderId="33" xfId="0" applyNumberFormat="1" applyFont="1" applyBorder="1" applyAlignment="1" applyProtection="1">
      <alignment wrapText="1"/>
      <protection locked="0"/>
    </xf>
    <xf numFmtId="16" fontId="0" fillId="0" borderId="33" xfId="0" applyNumberFormat="1" applyBorder="1" applyProtection="1">
      <protection locked="0"/>
    </xf>
    <xf numFmtId="16" fontId="0" fillId="0" borderId="33" xfId="0" applyNumberFormat="1" applyBorder="1" applyAlignment="1" applyProtection="1">
      <alignment horizontal="right"/>
      <protection locked="0"/>
    </xf>
    <xf numFmtId="16" fontId="0" fillId="4" borderId="33" xfId="0" applyNumberFormat="1" applyFill="1" applyBorder="1" applyAlignment="1" applyProtection="1">
      <alignment horizontal="right"/>
      <protection locked="0"/>
    </xf>
    <xf numFmtId="0" fontId="0" fillId="0" borderId="33" xfId="0" applyBorder="1" applyAlignment="1" applyProtection="1">
      <alignment horizontal="right"/>
      <protection locked="0"/>
    </xf>
    <xf numFmtId="16" fontId="7" fillId="0" borderId="0" xfId="0" applyNumberFormat="1" applyFont="1" applyAlignment="1" applyProtection="1">
      <alignment vertical="top" wrapText="1"/>
      <protection locked="0"/>
    </xf>
    <xf numFmtId="16" fontId="7" fillId="0" borderId="0" xfId="0" applyNumberFormat="1" applyFont="1" applyAlignment="1" applyProtection="1">
      <alignment vertical="top"/>
      <protection locked="0"/>
    </xf>
    <xf numFmtId="16" fontId="7" fillId="0" borderId="0" xfId="0" applyNumberFormat="1" applyFont="1" applyProtection="1">
      <protection locked="0"/>
    </xf>
    <xf numFmtId="0" fontId="7" fillId="0" borderId="25" xfId="0" quotePrefix="1" applyFont="1" applyBorder="1" applyAlignment="1" applyProtection="1">
      <alignment horizontal="left" vertical="center"/>
      <protection locked="0"/>
    </xf>
    <xf numFmtId="0" fontId="14" fillId="0" borderId="44" xfId="0" applyFont="1" applyBorder="1" applyAlignment="1" applyProtection="1">
      <alignment horizontal="center" vertical="center"/>
      <protection locked="0"/>
    </xf>
    <xf numFmtId="0" fontId="0" fillId="0" borderId="32" xfId="0" applyBorder="1" applyAlignment="1" applyProtection="1">
      <alignment horizontal="right"/>
      <protection locked="0"/>
    </xf>
    <xf numFmtId="0" fontId="6" fillId="0" borderId="25" xfId="0" applyFont="1" applyBorder="1" applyAlignment="1" applyProtection="1">
      <alignment horizontal="left"/>
      <protection locked="0"/>
    </xf>
    <xf numFmtId="9" fontId="0" fillId="0" borderId="0" xfId="0" applyNumberFormat="1" applyAlignment="1" applyProtection="1">
      <alignment horizontal="center"/>
      <protection locked="0"/>
    </xf>
    <xf numFmtId="0" fontId="6" fillId="0" borderId="25" xfId="0" applyFont="1" applyBorder="1" applyAlignment="1" applyProtection="1">
      <alignment horizontal="right" vertical="top"/>
      <protection locked="0"/>
    </xf>
    <xf numFmtId="0" fontId="0" fillId="0" borderId="25" xfId="0" quotePrefix="1" applyBorder="1" applyAlignment="1" applyProtection="1">
      <alignment horizontal="left" vertical="top"/>
      <protection locked="0"/>
    </xf>
    <xf numFmtId="164" fontId="7" fillId="0" borderId="18" xfId="1" applyFont="1" applyFill="1" applyBorder="1" applyAlignment="1" applyProtection="1">
      <alignment horizontal="right" vertical="top"/>
    </xf>
    <xf numFmtId="39" fontId="33" fillId="0" borderId="0" xfId="0" applyNumberFormat="1" applyFont="1" applyAlignment="1" applyProtection="1">
      <alignment vertical="top"/>
      <protection locked="0"/>
    </xf>
    <xf numFmtId="17" fontId="6" fillId="0" borderId="0" xfId="0" applyNumberFormat="1" applyFont="1" applyAlignment="1" applyProtection="1">
      <alignment horizontal="right" vertical="top"/>
      <protection locked="0"/>
    </xf>
    <xf numFmtId="0" fontId="0" fillId="0" borderId="25" xfId="0" applyBorder="1" applyAlignment="1" applyProtection="1">
      <alignment horizontal="left" vertical="top" indent="1"/>
      <protection locked="0"/>
    </xf>
    <xf numFmtId="164" fontId="6" fillId="0" borderId="0" xfId="1" applyFont="1" applyFill="1" applyAlignment="1" applyProtection="1">
      <alignment vertical="top"/>
      <protection locked="0"/>
    </xf>
    <xf numFmtId="0" fontId="17" fillId="0" borderId="0" xfId="0" applyFont="1" applyAlignment="1" applyProtection="1">
      <alignment horizontal="right" vertical="top"/>
      <protection locked="0"/>
    </xf>
    <xf numFmtId="0" fontId="14" fillId="0" borderId="0" xfId="0" applyFont="1" applyAlignment="1" applyProtection="1">
      <alignment horizontal="left" vertical="center" indent="22"/>
      <protection locked="0"/>
    </xf>
    <xf numFmtId="0" fontId="7" fillId="0" borderId="25" xfId="0" applyFont="1" applyBorder="1" applyAlignment="1" applyProtection="1">
      <alignment horizontal="left" vertical="top" wrapText="1" indent="1"/>
      <protection locked="0"/>
    </xf>
    <xf numFmtId="164" fontId="7" fillId="4" borderId="32" xfId="1" applyFont="1" applyFill="1" applyBorder="1" applyAlignment="1" applyProtection="1">
      <alignment horizontal="right" vertical="top"/>
      <protection locked="0"/>
    </xf>
    <xf numFmtId="0" fontId="6" fillId="4" borderId="0" xfId="0" applyFont="1" applyFill="1" applyAlignment="1" applyProtection="1">
      <alignment horizontal="right" vertical="top"/>
      <protection locked="0"/>
    </xf>
    <xf numFmtId="0" fontId="34" fillId="0" borderId="25" xfId="0" applyFont="1" applyBorder="1" applyAlignment="1" applyProtection="1">
      <alignment horizontal="left" vertical="top"/>
      <protection locked="0"/>
    </xf>
    <xf numFmtId="164" fontId="7" fillId="4" borderId="16" xfId="1" applyFont="1" applyFill="1" applyBorder="1" applyAlignment="1" applyProtection="1">
      <alignment horizontal="right" vertical="top"/>
    </xf>
    <xf numFmtId="164" fontId="7" fillId="0" borderId="16" xfId="1" applyFont="1" applyFill="1" applyBorder="1" applyAlignment="1" applyProtection="1">
      <alignment horizontal="right" vertical="top"/>
    </xf>
    <xf numFmtId="164" fontId="17" fillId="9" borderId="0" xfId="0" applyNumberFormat="1" applyFont="1" applyFill="1" applyAlignment="1" applyProtection="1">
      <alignment horizontal="right" vertical="top"/>
      <protection locked="0"/>
    </xf>
    <xf numFmtId="0" fontId="36" fillId="0" borderId="0" xfId="0" applyFont="1" applyAlignment="1" applyProtection="1">
      <alignment horizontal="center" vertical="top"/>
      <protection locked="0"/>
    </xf>
    <xf numFmtId="0" fontId="35" fillId="0" borderId="25" xfId="0" applyFont="1" applyBorder="1" applyAlignment="1" applyProtection="1">
      <alignment horizontal="justify" vertical="top" wrapText="1"/>
      <protection locked="0"/>
    </xf>
    <xf numFmtId="0" fontId="34" fillId="0" borderId="25" xfId="0" applyFont="1" applyBorder="1" applyAlignment="1" applyProtection="1">
      <alignment horizontal="justify" vertical="top" wrapText="1"/>
      <protection locked="0"/>
    </xf>
    <xf numFmtId="0" fontId="34" fillId="0" borderId="44" xfId="0" applyFont="1" applyBorder="1" applyAlignment="1" applyProtection="1">
      <alignment horizontal="justify" vertical="top" wrapText="1"/>
      <protection locked="0"/>
    </xf>
    <xf numFmtId="0" fontId="35" fillId="0" borderId="16" xfId="0" applyFont="1" applyBorder="1" applyAlignment="1" applyProtection="1">
      <alignment horizontal="left" vertical="top"/>
      <protection locked="0"/>
    </xf>
    <xf numFmtId="0" fontId="7" fillId="9" borderId="0" xfId="0" applyFont="1" applyFill="1" applyAlignment="1" applyProtection="1">
      <alignment vertical="top"/>
      <protection locked="0"/>
    </xf>
    <xf numFmtId="0" fontId="34" fillId="0" borderId="0" xfId="0" applyFont="1" applyAlignment="1" applyProtection="1">
      <alignment horizontal="left" vertical="top"/>
      <protection locked="0"/>
    </xf>
    <xf numFmtId="0" fontId="35" fillId="0" borderId="0" xfId="0" applyFont="1" applyAlignment="1" applyProtection="1">
      <alignment horizontal="left" vertical="top"/>
      <protection locked="0"/>
    </xf>
    <xf numFmtId="0" fontId="36" fillId="0" borderId="0" xfId="0" applyFont="1" applyAlignment="1" applyProtection="1">
      <alignment vertical="top"/>
      <protection locked="0"/>
    </xf>
    <xf numFmtId="0" fontId="8" fillId="0" borderId="0" xfId="0" applyFont="1" applyAlignment="1" applyProtection="1">
      <alignment horizontal="left" vertical="top"/>
      <protection locked="0"/>
    </xf>
    <xf numFmtId="0" fontId="7" fillId="4" borderId="24" xfId="0" applyFont="1" applyFill="1" applyBorder="1" applyAlignment="1" applyProtection="1">
      <alignment vertical="top"/>
      <protection locked="0"/>
    </xf>
    <xf numFmtId="164" fontId="7" fillId="0" borderId="25" xfId="1" applyFont="1" applyFill="1" applyBorder="1" applyAlignment="1" applyProtection="1">
      <alignment vertical="top"/>
    </xf>
    <xf numFmtId="164" fontId="7" fillId="4" borderId="25" xfId="1" applyFont="1" applyFill="1" applyBorder="1" applyAlignment="1" applyProtection="1">
      <alignment vertical="top"/>
    </xf>
    <xf numFmtId="0" fontId="7" fillId="0" borderId="33" xfId="0" applyFont="1" applyBorder="1" applyAlignment="1" applyProtection="1">
      <alignment horizontal="left" vertical="top" indent="1"/>
      <protection locked="0"/>
    </xf>
    <xf numFmtId="164" fontId="7" fillId="0" borderId="33" xfId="1" applyFont="1" applyFill="1" applyBorder="1" applyAlignment="1" applyProtection="1">
      <alignment vertical="top"/>
    </xf>
    <xf numFmtId="164" fontId="7" fillId="4" borderId="33" xfId="1" applyFont="1" applyFill="1" applyBorder="1" applyAlignment="1" applyProtection="1">
      <alignment vertical="top"/>
    </xf>
    <xf numFmtId="164" fontId="6" fillId="0" borderId="18" xfId="1" applyFont="1" applyFill="1" applyBorder="1" applyAlignment="1" applyProtection="1">
      <alignment vertical="top"/>
    </xf>
    <xf numFmtId="164" fontId="6" fillId="4" borderId="18" xfId="1" applyFont="1" applyFill="1" applyBorder="1" applyAlignment="1" applyProtection="1">
      <alignment vertical="top"/>
    </xf>
    <xf numFmtId="164" fontId="7" fillId="0" borderId="25" xfId="1" applyFont="1" applyBorder="1" applyAlignment="1" applyProtection="1">
      <alignment horizontal="right" vertical="top"/>
    </xf>
    <xf numFmtId="164" fontId="7" fillId="0" borderId="33" xfId="1" applyFont="1" applyBorder="1" applyAlignment="1" applyProtection="1">
      <alignment horizontal="right" vertical="top"/>
    </xf>
    <xf numFmtId="164" fontId="6" fillId="0" borderId="18" xfId="1" applyFont="1" applyBorder="1" applyAlignment="1" applyProtection="1">
      <alignment horizontal="right" vertical="top"/>
    </xf>
    <xf numFmtId="164" fontId="7" fillId="0" borderId="25" xfId="1" applyFont="1" applyBorder="1" applyAlignment="1" applyProtection="1">
      <alignment horizontal="right" vertical="top"/>
      <protection locked="0"/>
    </xf>
    <xf numFmtId="0" fontId="6" fillId="5" borderId="18" xfId="0" applyFont="1" applyFill="1" applyBorder="1" applyAlignment="1" applyProtection="1">
      <alignment horizontal="right" vertical="top" wrapText="1"/>
      <protection locked="0"/>
    </xf>
    <xf numFmtId="164" fontId="37" fillId="0" borderId="0" xfId="0" applyNumberFormat="1" applyFont="1" applyAlignment="1" applyProtection="1">
      <alignment horizontal="right" vertical="top"/>
      <protection locked="0"/>
    </xf>
    <xf numFmtId="164" fontId="37" fillId="0" borderId="25" xfId="0" applyNumberFormat="1" applyFont="1" applyBorder="1" applyAlignment="1" applyProtection="1">
      <alignment horizontal="right" vertical="top"/>
      <protection locked="0"/>
    </xf>
    <xf numFmtId="164" fontId="7" fillId="4" borderId="32" xfId="1" applyFont="1" applyFill="1" applyBorder="1" applyAlignment="1" applyProtection="1">
      <alignment horizontal="right" vertical="top"/>
    </xf>
    <xf numFmtId="0" fontId="6" fillId="0" borderId="25" xfId="0" applyFont="1" applyBorder="1" applyAlignment="1" applyProtection="1">
      <alignment vertical="top" wrapText="1"/>
      <protection locked="0"/>
    </xf>
    <xf numFmtId="10" fontId="7" fillId="0" borderId="0" xfId="0" applyNumberFormat="1" applyFont="1" applyAlignment="1" applyProtection="1">
      <alignment horizontal="right" vertical="top" wrapText="1"/>
      <protection locked="0"/>
    </xf>
    <xf numFmtId="164" fontId="7" fillId="8" borderId="44" xfId="1" applyFont="1" applyFill="1" applyBorder="1" applyAlignment="1" applyProtection="1">
      <alignment horizontal="right" vertical="top"/>
    </xf>
    <xf numFmtId="0" fontId="6" fillId="0" borderId="33" xfId="0" applyFont="1" applyBorder="1" applyAlignment="1" applyProtection="1">
      <alignment horizontal="left" vertical="top" wrapText="1"/>
      <protection locked="0"/>
    </xf>
    <xf numFmtId="0" fontId="7" fillId="0" borderId="33" xfId="0" applyFont="1" applyBorder="1" applyAlignment="1" applyProtection="1">
      <alignment vertical="top" wrapText="1"/>
      <protection locked="0"/>
    </xf>
    <xf numFmtId="0" fontId="7" fillId="0" borderId="0" xfId="0" applyFont="1" applyAlignment="1" applyProtection="1">
      <alignment vertical="center" wrapText="1"/>
      <protection locked="0"/>
    </xf>
    <xf numFmtId="164" fontId="6" fillId="4" borderId="18" xfId="1" applyFont="1" applyFill="1" applyBorder="1" applyAlignment="1" applyProtection="1">
      <alignment horizontal="right" vertical="top"/>
      <protection locked="0"/>
    </xf>
    <xf numFmtId="164" fontId="6" fillId="0" borderId="18" xfId="1" applyFont="1" applyFill="1" applyBorder="1" applyAlignment="1" applyProtection="1">
      <alignment horizontal="right" vertical="top"/>
      <protection locked="0"/>
    </xf>
    <xf numFmtId="0" fontId="6" fillId="0" borderId="33" xfId="0" applyFont="1" applyBorder="1" applyAlignment="1" applyProtection="1">
      <alignment horizontal="center" vertical="top"/>
      <protection locked="0"/>
    </xf>
    <xf numFmtId="0" fontId="13" fillId="9" borderId="0" xfId="0" applyFont="1" applyFill="1" applyAlignment="1" applyProtection="1">
      <alignment vertical="top"/>
      <protection locked="0"/>
    </xf>
    <xf numFmtId="164" fontId="6" fillId="0" borderId="0" xfId="1" applyFont="1" applyFill="1" applyAlignment="1" applyProtection="1">
      <alignment horizontal="right" vertical="top"/>
      <protection locked="0"/>
    </xf>
    <xf numFmtId="164" fontId="6" fillId="10" borderId="18" xfId="1" applyFont="1" applyFill="1" applyBorder="1" applyAlignment="1" applyProtection="1">
      <alignment horizontal="center" vertical="top" wrapText="1"/>
    </xf>
    <xf numFmtId="164" fontId="6" fillId="9" borderId="0" xfId="0" applyNumberFormat="1" applyFont="1" applyFill="1" applyAlignment="1" applyProtection="1">
      <alignment vertical="top"/>
      <protection locked="0"/>
    </xf>
    <xf numFmtId="0" fontId="7" fillId="0" borderId="25" xfId="0" applyFont="1" applyBorder="1" applyAlignment="1" applyProtection="1">
      <alignment horizontal="justify" vertical="top" wrapText="1"/>
      <protection locked="0"/>
    </xf>
    <xf numFmtId="0" fontId="17" fillId="0" borderId="0" xfId="0" quotePrefix="1" applyFont="1" applyAlignment="1" applyProtection="1">
      <alignment horizontal="right" vertical="top"/>
      <protection locked="0"/>
    </xf>
    <xf numFmtId="0" fontId="6" fillId="0" borderId="25" xfId="0" applyFont="1" applyBorder="1" applyAlignment="1" applyProtection="1">
      <alignment horizontal="center"/>
      <protection locked="0"/>
    </xf>
    <xf numFmtId="0" fontId="7" fillId="0" borderId="25" xfId="0" applyFont="1" applyBorder="1" applyAlignment="1" applyProtection="1">
      <alignment horizontal="left"/>
      <protection locked="0"/>
    </xf>
    <xf numFmtId="0" fontId="7" fillId="0" borderId="25" xfId="0" applyFont="1" applyBorder="1" applyAlignment="1" applyProtection="1">
      <alignment horizontal="center"/>
      <protection locked="0"/>
    </xf>
    <xf numFmtId="0" fontId="7" fillId="0" borderId="33" xfId="0" applyFont="1" applyBorder="1" applyAlignment="1" applyProtection="1">
      <alignment horizontal="center"/>
      <protection locked="0"/>
    </xf>
    <xf numFmtId="0" fontId="7" fillId="0" borderId="0" xfId="0" applyFont="1" applyAlignment="1" applyProtection="1">
      <alignment horizontal="center"/>
      <protection locked="0"/>
    </xf>
    <xf numFmtId="164" fontId="6" fillId="0" borderId="0" xfId="0" applyNumberFormat="1" applyFont="1" applyProtection="1">
      <protection locked="0"/>
    </xf>
    <xf numFmtId="164" fontId="7" fillId="8" borderId="25" xfId="1" applyFont="1" applyFill="1" applyBorder="1" applyAlignment="1" applyProtection="1">
      <alignment horizontal="left" vertical="top"/>
    </xf>
    <xf numFmtId="164" fontId="7" fillId="0" borderId="25" xfId="1" applyFont="1" applyFill="1" applyBorder="1" applyAlignment="1" applyProtection="1">
      <alignment horizontal="left" vertical="top"/>
    </xf>
    <xf numFmtId="164" fontId="7" fillId="0" borderId="0" xfId="0" applyNumberFormat="1" applyFont="1" applyAlignment="1" applyProtection="1">
      <alignment horizontal="right"/>
      <protection locked="0"/>
    </xf>
    <xf numFmtId="0" fontId="7" fillId="0" borderId="44" xfId="0" applyFont="1" applyBorder="1" applyProtection="1">
      <protection locked="0"/>
    </xf>
    <xf numFmtId="0" fontId="23" fillId="0" borderId="0" xfId="0" applyFont="1" applyAlignment="1" applyProtection="1">
      <alignment horizontal="center" vertical="top"/>
      <protection locked="0"/>
    </xf>
    <xf numFmtId="164" fontId="7" fillId="8" borderId="18" xfId="1" applyFont="1" applyFill="1" applyBorder="1" applyAlignment="1" applyProtection="1">
      <alignment horizontal="right" vertical="top"/>
    </xf>
    <xf numFmtId="0" fontId="8" fillId="0" borderId="0" xfId="0" applyFont="1" applyAlignment="1" applyProtection="1">
      <alignment vertical="top" wrapText="1"/>
      <protection locked="0"/>
    </xf>
    <xf numFmtId="0" fontId="8" fillId="0" borderId="0" xfId="0" applyFont="1" applyAlignment="1" applyProtection="1">
      <alignment horizontal="left" vertical="top" wrapText="1"/>
      <protection locked="0"/>
    </xf>
    <xf numFmtId="0" fontId="7" fillId="2" borderId="0" xfId="0" applyFont="1" applyFill="1" applyAlignment="1" applyProtection="1">
      <alignment vertical="top"/>
      <protection locked="0"/>
    </xf>
    <xf numFmtId="0" fontId="8" fillId="0" borderId="25" xfId="0" applyFont="1" applyBorder="1" applyAlignment="1" applyProtection="1">
      <alignment vertical="top" wrapText="1"/>
      <protection locked="0"/>
    </xf>
    <xf numFmtId="0" fontId="20" fillId="0" borderId="0" xfId="3" applyAlignment="1" applyProtection="1">
      <alignment vertical="top"/>
      <protection locked="0"/>
    </xf>
    <xf numFmtId="164" fontId="8" fillId="4" borderId="33" xfId="1" applyFont="1" applyFill="1" applyBorder="1" applyAlignment="1" applyProtection="1">
      <alignment vertical="top"/>
      <protection locked="0"/>
    </xf>
    <xf numFmtId="0" fontId="21" fillId="0" borderId="0" xfId="0" applyFont="1" applyAlignment="1" applyProtection="1">
      <alignment vertical="center"/>
      <protection locked="0"/>
    </xf>
    <xf numFmtId="164" fontId="0" fillId="0" borderId="0" xfId="1" applyFont="1" applyAlignment="1" applyProtection="1">
      <alignment vertical="top"/>
      <protection locked="0"/>
    </xf>
    <xf numFmtId="3" fontId="6" fillId="0" borderId="0" xfId="0" applyNumberFormat="1" applyFont="1" applyAlignment="1" applyProtection="1">
      <alignment horizontal="center" vertical="top"/>
      <protection locked="0"/>
    </xf>
    <xf numFmtId="0" fontId="14" fillId="4" borderId="24" xfId="0" applyFont="1" applyFill="1" applyBorder="1" applyAlignment="1" applyProtection="1">
      <alignment horizontal="left" vertical="top" indent="12"/>
      <protection locked="0"/>
    </xf>
    <xf numFmtId="0" fontId="7" fillId="4" borderId="24" xfId="0" applyFont="1" applyFill="1" applyBorder="1" applyAlignment="1" applyProtection="1">
      <alignment vertical="top" wrapText="1"/>
      <protection locked="0"/>
    </xf>
    <xf numFmtId="0" fontId="6" fillId="4" borderId="0" xfId="0" applyFont="1" applyFill="1" applyAlignment="1" applyProtection="1">
      <alignment horizontal="right" vertical="top" wrapText="1"/>
      <protection locked="0"/>
    </xf>
    <xf numFmtId="0" fontId="7" fillId="0" borderId="32" xfId="0" applyFont="1" applyBorder="1" applyAlignment="1" applyProtection="1">
      <alignment vertical="top" wrapText="1"/>
      <protection locked="0"/>
    </xf>
    <xf numFmtId="0" fontId="7" fillId="4" borderId="32" xfId="0" applyFont="1" applyFill="1" applyBorder="1" applyAlignment="1" applyProtection="1">
      <alignment vertical="top" wrapText="1"/>
      <protection locked="0"/>
    </xf>
    <xf numFmtId="10" fontId="7" fillId="0" borderId="0" xfId="0" applyNumberFormat="1" applyFont="1" applyAlignment="1" applyProtection="1">
      <alignment horizontal="left" vertical="top"/>
      <protection locked="0"/>
    </xf>
    <xf numFmtId="164" fontId="7" fillId="4" borderId="25" xfId="1" applyFont="1" applyFill="1" applyBorder="1" applyAlignment="1" applyProtection="1">
      <alignment horizontal="right" vertical="top" wrapText="1"/>
    </xf>
    <xf numFmtId="164" fontId="7" fillId="0" borderId="25" xfId="1" applyFont="1" applyFill="1" applyBorder="1" applyAlignment="1" applyProtection="1">
      <alignment horizontal="right" vertical="top" wrapText="1"/>
    </xf>
    <xf numFmtId="164" fontId="0" fillId="2" borderId="0" xfId="1" applyFont="1" applyFill="1" applyAlignment="1" applyProtection="1">
      <alignment vertical="top"/>
      <protection locked="0"/>
    </xf>
    <xf numFmtId="164" fontId="7" fillId="4" borderId="44" xfId="1" applyFont="1" applyFill="1" applyBorder="1" applyAlignment="1" applyProtection="1">
      <alignment vertical="top"/>
    </xf>
    <xf numFmtId="10" fontId="7" fillId="4" borderId="25" xfId="2" applyNumberFormat="1" applyFont="1" applyFill="1" applyBorder="1" applyAlignment="1" applyProtection="1">
      <alignment horizontal="right" vertical="top" wrapText="1"/>
    </xf>
    <xf numFmtId="10" fontId="7" fillId="0" borderId="25" xfId="2" applyNumberFormat="1" applyFont="1" applyFill="1" applyBorder="1" applyAlignment="1" applyProtection="1">
      <alignment horizontal="right" vertical="top" wrapText="1"/>
    </xf>
    <xf numFmtId="164" fontId="7" fillId="4" borderId="32" xfId="1" applyFont="1" applyFill="1" applyBorder="1" applyAlignment="1" applyProtection="1">
      <alignment vertical="top"/>
    </xf>
    <xf numFmtId="10" fontId="7" fillId="0" borderId="0" xfId="0" applyNumberFormat="1" applyFont="1" applyAlignment="1" applyProtection="1">
      <alignment vertical="top"/>
      <protection locked="0"/>
    </xf>
    <xf numFmtId="0" fontId="7" fillId="0" borderId="33" xfId="0" quotePrefix="1" applyFont="1" applyBorder="1" applyAlignment="1" applyProtection="1">
      <alignment vertical="top"/>
      <protection locked="0"/>
    </xf>
    <xf numFmtId="10" fontId="7" fillId="4" borderId="33" xfId="2" applyNumberFormat="1" applyFont="1" applyFill="1" applyBorder="1" applyAlignment="1" applyProtection="1">
      <alignment horizontal="right" vertical="top" wrapText="1"/>
    </xf>
    <xf numFmtId="10" fontId="7" fillId="0" borderId="33" xfId="2" applyNumberFormat="1" applyFont="1" applyFill="1" applyBorder="1" applyAlignment="1" applyProtection="1">
      <alignment horizontal="right" vertical="top" wrapText="1"/>
    </xf>
    <xf numFmtId="0" fontId="8" fillId="0" borderId="0" xfId="0" applyFont="1" applyAlignment="1" applyProtection="1">
      <alignment horizontal="left"/>
      <protection locked="0"/>
    </xf>
    <xf numFmtId="0" fontId="38" fillId="0" borderId="0" xfId="0" applyFont="1" applyAlignment="1" applyProtection="1">
      <alignment horizontal="left" vertical="top"/>
      <protection locked="0"/>
    </xf>
    <xf numFmtId="0" fontId="38" fillId="0" borderId="0" xfId="0" applyFont="1" applyAlignment="1" applyProtection="1">
      <alignment vertical="top"/>
      <protection locked="0"/>
    </xf>
    <xf numFmtId="0" fontId="0" fillId="0" borderId="0" xfId="0" quotePrefix="1" applyAlignment="1" applyProtection="1">
      <alignment vertical="top" wrapText="1"/>
      <protection locked="0"/>
    </xf>
    <xf numFmtId="0" fontId="6" fillId="0" borderId="32" xfId="0" applyFont="1" applyBorder="1" applyAlignment="1" applyProtection="1">
      <alignment horizontal="right" vertical="top" wrapText="1"/>
      <protection locked="0"/>
    </xf>
    <xf numFmtId="0" fontId="0" fillId="0" borderId="33" xfId="0" applyBorder="1" applyAlignment="1" applyProtection="1">
      <alignment horizontal="left" vertical="top"/>
      <protection locked="0"/>
    </xf>
    <xf numFmtId="0" fontId="3" fillId="0" borderId="0" xfId="0" applyFont="1" applyProtection="1">
      <protection locked="0"/>
    </xf>
    <xf numFmtId="0" fontId="4" fillId="0" borderId="0" xfId="0" applyFont="1" applyProtection="1">
      <protection locked="0"/>
    </xf>
    <xf numFmtId="164" fontId="6" fillId="0" borderId="25" xfId="1" applyFont="1" applyBorder="1" applyAlignment="1" applyProtection="1">
      <alignment horizontal="right" vertical="top"/>
      <protection locked="0"/>
    </xf>
    <xf numFmtId="0" fontId="6" fillId="0" borderId="29" xfId="0" applyFont="1" applyBorder="1" applyAlignment="1" applyProtection="1">
      <alignment horizontal="center" vertical="top" wrapText="1"/>
      <protection locked="0"/>
    </xf>
    <xf numFmtId="0" fontId="7" fillId="0" borderId="29" xfId="0" applyFont="1" applyBorder="1" applyAlignment="1" applyProtection="1">
      <alignment vertical="top" wrapText="1"/>
      <protection locked="0"/>
    </xf>
    <xf numFmtId="0" fontId="6" fillId="0" borderId="29" xfId="0" applyFont="1" applyBorder="1" applyAlignment="1" applyProtection="1">
      <alignment vertical="top" wrapText="1"/>
      <protection locked="0"/>
    </xf>
    <xf numFmtId="0" fontId="7" fillId="0" borderId="27" xfId="0" applyFont="1" applyBorder="1" applyAlignment="1" applyProtection="1">
      <alignment wrapText="1"/>
      <protection locked="0"/>
    </xf>
    <xf numFmtId="0" fontId="7" fillId="0" borderId="27" xfId="0" applyFont="1" applyBorder="1" applyProtection="1">
      <protection locked="0"/>
    </xf>
    <xf numFmtId="0" fontId="7" fillId="0" borderId="27" xfId="0" applyFont="1" applyBorder="1" applyAlignment="1" applyProtection="1">
      <alignment vertical="top" wrapText="1"/>
      <protection locked="0"/>
    </xf>
    <xf numFmtId="164" fontId="6" fillId="0" borderId="31" xfId="1" applyFont="1" applyFill="1" applyBorder="1" applyAlignment="1" applyProtection="1">
      <alignment horizontal="center" vertical="center"/>
      <protection locked="0"/>
    </xf>
    <xf numFmtId="0" fontId="6" fillId="0" borderId="49" xfId="0" applyFont="1" applyBorder="1" applyAlignment="1" applyProtection="1">
      <alignment horizontal="left" vertical="top" wrapText="1"/>
      <protection locked="0"/>
    </xf>
    <xf numFmtId="164" fontId="6" fillId="0" borderId="31" xfId="1" applyFont="1" applyFill="1" applyBorder="1" applyAlignment="1" applyProtection="1">
      <alignment horizontal="center" vertical="center"/>
    </xf>
    <xf numFmtId="164" fontId="7" fillId="0" borderId="31" xfId="1" applyFont="1" applyFill="1" applyBorder="1" applyAlignment="1" applyProtection="1">
      <alignment horizontal="center" vertical="center"/>
    </xf>
    <xf numFmtId="0" fontId="7" fillId="0" borderId="31" xfId="0" applyFont="1" applyBorder="1" applyAlignment="1" applyProtection="1">
      <alignment vertical="center" wrapText="1"/>
      <protection locked="0"/>
    </xf>
    <xf numFmtId="0" fontId="7" fillId="0" borderId="49" xfId="0" applyFont="1" applyBorder="1" applyAlignment="1" applyProtection="1">
      <alignment vertical="center" wrapText="1"/>
      <protection locked="0"/>
    </xf>
    <xf numFmtId="0" fontId="7" fillId="0" borderId="29" xfId="0" applyFont="1" applyBorder="1" applyAlignment="1" applyProtection="1">
      <alignment horizontal="center" vertical="center"/>
      <protection locked="0"/>
    </xf>
    <xf numFmtId="10" fontId="7" fillId="0" borderId="29" xfId="0" applyNumberFormat="1" applyFont="1" applyBorder="1" applyAlignment="1" applyProtection="1">
      <alignment horizontal="center" vertical="center"/>
      <protection locked="0"/>
    </xf>
    <xf numFmtId="0" fontId="7" fillId="0" borderId="0" xfId="0" applyFont="1" applyAlignment="1" applyProtection="1">
      <alignment horizontal="center" vertical="center" wrapText="1"/>
      <protection locked="0"/>
    </xf>
    <xf numFmtId="164" fontId="6" fillId="4" borderId="29" xfId="1" applyFont="1" applyFill="1" applyBorder="1" applyAlignment="1" applyProtection="1">
      <alignment horizontal="center" vertical="center"/>
      <protection locked="0"/>
    </xf>
    <xf numFmtId="164" fontId="6" fillId="4" borderId="29" xfId="1" applyFont="1" applyFill="1" applyBorder="1" applyAlignment="1" applyProtection="1">
      <alignment horizontal="center" vertical="center"/>
    </xf>
    <xf numFmtId="164" fontId="7" fillId="4" borderId="29" xfId="1" applyFont="1" applyFill="1" applyBorder="1" applyAlignment="1" applyProtection="1">
      <alignment horizontal="center" vertical="center"/>
    </xf>
    <xf numFmtId="0" fontId="7" fillId="4" borderId="27" xfId="0" applyFont="1" applyFill="1" applyBorder="1" applyAlignment="1" applyProtection="1">
      <alignment wrapText="1"/>
      <protection locked="0"/>
    </xf>
    <xf numFmtId="165" fontId="7" fillId="4" borderId="25" xfId="1" applyNumberFormat="1" applyFont="1" applyFill="1" applyBorder="1" applyAlignment="1" applyProtection="1">
      <alignment horizontal="right" vertical="top"/>
    </xf>
    <xf numFmtId="165" fontId="6" fillId="0" borderId="25" xfId="1" applyNumberFormat="1" applyFont="1" applyBorder="1" applyAlignment="1" applyProtection="1">
      <alignment horizontal="right" vertical="top"/>
      <protection locked="0"/>
    </xf>
    <xf numFmtId="165" fontId="7" fillId="0" borderId="25" xfId="1" applyNumberFormat="1" applyFont="1" applyFill="1" applyBorder="1" applyAlignment="1" applyProtection="1">
      <alignment horizontal="right" vertical="top"/>
    </xf>
    <xf numFmtId="0" fontId="7" fillId="0" borderId="32" xfId="0" applyFont="1" applyBorder="1" applyAlignment="1" applyProtection="1">
      <alignment horizontal="left" vertical="top" indent="1"/>
      <protection locked="0"/>
    </xf>
    <xf numFmtId="164" fontId="7" fillId="0" borderId="32" xfId="1" applyFont="1" applyFill="1" applyBorder="1" applyAlignment="1" applyProtection="1">
      <alignment vertical="top"/>
    </xf>
    <xf numFmtId="0" fontId="11" fillId="0" borderId="0" xfId="0" applyFont="1" applyAlignment="1" applyProtection="1">
      <alignment horizontal="left" vertical="top"/>
      <protection locked="0"/>
    </xf>
    <xf numFmtId="164" fontId="11" fillId="0" borderId="0" xfId="1" applyFont="1" applyFill="1" applyAlignment="1" applyProtection="1">
      <alignment vertical="top"/>
      <protection locked="0"/>
    </xf>
    <xf numFmtId="0" fontId="7" fillId="0" borderId="32" xfId="0" applyFont="1" applyBorder="1" applyAlignment="1" applyProtection="1">
      <alignment horizontal="left" indent="2"/>
      <protection locked="0"/>
    </xf>
    <xf numFmtId="0" fontId="6" fillId="0" borderId="32" xfId="0" applyFont="1" applyBorder="1" applyProtection="1">
      <protection locked="0"/>
    </xf>
    <xf numFmtId="164" fontId="7" fillId="4" borderId="32" xfId="1" applyFont="1" applyFill="1" applyBorder="1" applyAlignment="1" applyProtection="1">
      <alignment wrapText="1"/>
      <protection locked="0"/>
    </xf>
    <xf numFmtId="164" fontId="7" fillId="0" borderId="32" xfId="1" applyFont="1" applyBorder="1" applyAlignment="1" applyProtection="1">
      <alignment wrapText="1"/>
      <protection locked="0"/>
    </xf>
    <xf numFmtId="0" fontId="7" fillId="0" borderId="32" xfId="0" applyFont="1" applyBorder="1" applyAlignment="1" applyProtection="1">
      <alignment horizontal="left"/>
      <protection locked="0"/>
    </xf>
    <xf numFmtId="0" fontId="6" fillId="0" borderId="0" xfId="0" applyFont="1" applyAlignment="1" applyProtection="1">
      <alignment horizontal="left" indent="2"/>
      <protection locked="0"/>
    </xf>
    <xf numFmtId="164" fontId="7" fillId="4" borderId="18" xfId="1" applyFont="1" applyFill="1" applyBorder="1" applyAlignment="1" applyProtection="1">
      <alignment horizontal="right" vertical="top"/>
    </xf>
    <xf numFmtId="0" fontId="6" fillId="0" borderId="33" xfId="0" applyFont="1" applyBorder="1" applyProtection="1">
      <protection locked="0"/>
    </xf>
    <xf numFmtId="164" fontId="7" fillId="0" borderId="25" xfId="1" applyFont="1" applyBorder="1" applyAlignment="1" applyProtection="1">
      <alignment vertical="top"/>
      <protection locked="0"/>
    </xf>
    <xf numFmtId="164" fontId="8" fillId="4" borderId="25" xfId="1" applyFont="1" applyFill="1" applyBorder="1" applyAlignment="1" applyProtection="1">
      <alignment vertical="top"/>
      <protection locked="0"/>
    </xf>
    <xf numFmtId="164" fontId="7" fillId="4" borderId="33" xfId="1" applyFont="1" applyFill="1" applyBorder="1" applyAlignment="1" applyProtection="1">
      <alignment vertical="top"/>
      <protection locked="0"/>
    </xf>
    <xf numFmtId="164" fontId="7" fillId="0" borderId="33" xfId="1" applyFont="1" applyBorder="1" applyAlignment="1" applyProtection="1">
      <alignment vertical="top"/>
      <protection locked="0"/>
    </xf>
    <xf numFmtId="0" fontId="6" fillId="0" borderId="33" xfId="0" applyFont="1" applyBorder="1" applyAlignment="1" applyProtection="1">
      <alignment horizontal="left" indent="2"/>
      <protection locked="0"/>
    </xf>
    <xf numFmtId="0" fontId="7" fillId="0" borderId="44" xfId="0" applyFont="1" applyBorder="1" applyAlignment="1" applyProtection="1">
      <alignment horizontal="left" indent="2"/>
      <protection locked="0"/>
    </xf>
    <xf numFmtId="0" fontId="6" fillId="0" borderId="16" xfId="0" applyFont="1" applyBorder="1" applyProtection="1">
      <protection locked="0"/>
    </xf>
    <xf numFmtId="0" fontId="27" fillId="0" borderId="44" xfId="0" applyFont="1" applyBorder="1" applyProtection="1">
      <protection locked="0"/>
    </xf>
    <xf numFmtId="0" fontId="27" fillId="4" borderId="0" xfId="0" applyFont="1" applyFill="1" applyAlignment="1" applyProtection="1">
      <alignment wrapText="1"/>
      <protection locked="0"/>
    </xf>
    <xf numFmtId="0" fontId="27" fillId="0" borderId="0" xfId="0" applyFont="1" applyAlignment="1" applyProtection="1">
      <alignment wrapText="1"/>
      <protection locked="0"/>
    </xf>
    <xf numFmtId="164" fontId="8" fillId="4" borderId="44" xfId="1" applyFont="1" applyFill="1" applyBorder="1" applyAlignment="1" applyProtection="1">
      <alignment vertical="top"/>
      <protection locked="0"/>
    </xf>
    <xf numFmtId="164" fontId="7" fillId="0" borderId="44" xfId="1" applyFont="1" applyBorder="1" applyAlignment="1" applyProtection="1">
      <alignment vertical="top"/>
      <protection locked="0"/>
    </xf>
    <xf numFmtId="164" fontId="8" fillId="4" borderId="18" xfId="1" applyFont="1" applyFill="1" applyBorder="1" applyAlignment="1" applyProtection="1">
      <alignment vertical="top"/>
      <protection locked="0"/>
    </xf>
    <xf numFmtId="164" fontId="7" fillId="0" borderId="18" xfId="1" applyFont="1" applyBorder="1" applyAlignment="1" applyProtection="1">
      <alignment vertical="top"/>
      <protection locked="0"/>
    </xf>
    <xf numFmtId="164" fontId="7" fillId="4" borderId="44" xfId="1" applyFont="1" applyFill="1" applyBorder="1" applyAlignment="1" applyProtection="1">
      <alignment vertical="top"/>
      <protection locked="0"/>
    </xf>
    <xf numFmtId="164" fontId="7" fillId="4" borderId="32" xfId="1" applyFont="1" applyFill="1" applyBorder="1" applyAlignment="1" applyProtection="1">
      <alignment vertical="top"/>
      <protection locked="0"/>
    </xf>
    <xf numFmtId="164" fontId="7" fillId="0" borderId="32" xfId="1" applyFont="1" applyBorder="1" applyAlignment="1" applyProtection="1">
      <alignment vertical="top"/>
      <protection locked="0"/>
    </xf>
    <xf numFmtId="164" fontId="7" fillId="4" borderId="18" xfId="1" applyFont="1" applyFill="1" applyBorder="1" applyAlignment="1" applyProtection="1">
      <alignment vertical="top"/>
      <protection locked="0"/>
    </xf>
    <xf numFmtId="164" fontId="7" fillId="4" borderId="18" xfId="1" applyFont="1" applyFill="1" applyBorder="1" applyAlignment="1" applyProtection="1">
      <alignment vertical="center"/>
      <protection locked="0"/>
    </xf>
    <xf numFmtId="164" fontId="6" fillId="4" borderId="25" xfId="1" applyFont="1" applyFill="1" applyBorder="1" applyAlignment="1" applyProtection="1">
      <alignment vertical="top"/>
      <protection locked="0"/>
    </xf>
    <xf numFmtId="0" fontId="7" fillId="0" borderId="44" xfId="0" applyFont="1" applyBorder="1" applyAlignment="1" applyProtection="1">
      <alignment horizontal="left" vertical="top" indent="1"/>
      <protection locked="0"/>
    </xf>
    <xf numFmtId="164" fontId="7" fillId="0" borderId="27" xfId="1" applyFont="1" applyBorder="1" applyAlignment="1" applyProtection="1">
      <alignment vertical="top"/>
      <protection locked="0"/>
    </xf>
    <xf numFmtId="164" fontId="8" fillId="0" borderId="27" xfId="1" applyFont="1" applyFill="1" applyBorder="1" applyAlignment="1" applyProtection="1">
      <alignment vertical="top"/>
      <protection locked="0"/>
    </xf>
    <xf numFmtId="0" fontId="6" fillId="5" borderId="18" xfId="0" applyFont="1" applyFill="1" applyBorder="1" applyAlignment="1" applyProtection="1">
      <alignment horizontal="center" vertical="center" wrapText="1"/>
      <protection locked="0"/>
    </xf>
    <xf numFmtId="164" fontId="8" fillId="0" borderId="25" xfId="1" applyFont="1" applyFill="1" applyBorder="1" applyAlignment="1" applyProtection="1">
      <alignment vertical="top"/>
      <protection locked="0"/>
    </xf>
    <xf numFmtId="164" fontId="8" fillId="0" borderId="44" xfId="1" applyFont="1" applyFill="1" applyBorder="1" applyAlignment="1" applyProtection="1">
      <alignment vertical="top"/>
      <protection locked="0"/>
    </xf>
    <xf numFmtId="164" fontId="7" fillId="0" borderId="33" xfId="1" applyFont="1" applyFill="1" applyBorder="1" applyAlignment="1" applyProtection="1">
      <alignment vertical="top"/>
      <protection locked="0"/>
    </xf>
    <xf numFmtId="164" fontId="7" fillId="0" borderId="44" xfId="1" applyFont="1" applyFill="1" applyBorder="1" applyAlignment="1" applyProtection="1">
      <alignment vertical="top"/>
      <protection locked="0"/>
    </xf>
    <xf numFmtId="164" fontId="7" fillId="0" borderId="18" xfId="1" applyFont="1" applyFill="1" applyBorder="1" applyAlignment="1" applyProtection="1">
      <alignment vertical="top"/>
      <protection locked="0"/>
    </xf>
    <xf numFmtId="164" fontId="7" fillId="0" borderId="32" xfId="1" applyFont="1" applyFill="1" applyBorder="1" applyAlignment="1" applyProtection="1">
      <alignment vertical="top"/>
      <protection locked="0"/>
    </xf>
    <xf numFmtId="164" fontId="7" fillId="0" borderId="18" xfId="1" applyFont="1" applyFill="1" applyBorder="1" applyAlignment="1" applyProtection="1">
      <alignment vertical="center"/>
      <protection locked="0"/>
    </xf>
    <xf numFmtId="164" fontId="6" fillId="0" borderId="25" xfId="1" applyFont="1" applyFill="1" applyBorder="1" applyAlignment="1" applyProtection="1">
      <alignment vertical="top"/>
      <protection locked="0"/>
    </xf>
    <xf numFmtId="164" fontId="8" fillId="0" borderId="33" xfId="1" applyFont="1" applyFill="1" applyBorder="1" applyAlignment="1" applyProtection="1">
      <alignment vertical="top"/>
      <protection locked="0"/>
    </xf>
    <xf numFmtId="164" fontId="8" fillId="0" borderId="18" xfId="1" applyFont="1" applyFill="1" applyBorder="1" applyAlignment="1" applyProtection="1">
      <alignment vertical="top"/>
      <protection locked="0"/>
    </xf>
    <xf numFmtId="0" fontId="23" fillId="0" borderId="0" xfId="11" applyFont="1" applyAlignment="1" applyProtection="1">
      <alignment horizontal="left" vertical="top"/>
      <protection locked="0"/>
    </xf>
    <xf numFmtId="0" fontId="6" fillId="0" borderId="25" xfId="0" applyFont="1" applyBorder="1" applyAlignment="1" applyProtection="1">
      <alignment horizontal="left" vertical="top" indent="1"/>
      <protection locked="0"/>
    </xf>
    <xf numFmtId="0" fontId="6" fillId="0" borderId="36" xfId="11" applyFont="1" applyBorder="1" applyAlignment="1" applyProtection="1">
      <alignment horizontal="center" vertical="center" wrapText="1"/>
      <protection locked="0"/>
    </xf>
    <xf numFmtId="0" fontId="6" fillId="0" borderId="37" xfId="11" applyFont="1" applyBorder="1" applyAlignment="1" applyProtection="1">
      <alignment horizontal="center" vertical="center" wrapText="1"/>
      <protection locked="0"/>
    </xf>
    <xf numFmtId="0" fontId="6" fillId="0" borderId="35" xfId="11" applyFont="1" applyBorder="1" applyAlignment="1" applyProtection="1">
      <alignment horizontal="center" vertical="center" wrapText="1"/>
      <protection locked="0"/>
    </xf>
    <xf numFmtId="0" fontId="7" fillId="0" borderId="25" xfId="11" applyFont="1" applyBorder="1" applyAlignment="1" applyProtection="1">
      <alignment vertical="top"/>
      <protection locked="0"/>
    </xf>
    <xf numFmtId="0" fontId="6" fillId="0" borderId="49" xfId="11" applyFont="1" applyBorder="1" applyAlignment="1" applyProtection="1">
      <alignment horizontal="center" vertical="center" wrapText="1"/>
      <protection locked="0"/>
    </xf>
    <xf numFmtId="164" fontId="7" fillId="0" borderId="31" xfId="8" applyFont="1" applyFill="1" applyBorder="1" applyAlignment="1" applyProtection="1">
      <alignment vertical="top"/>
    </xf>
    <xf numFmtId="0" fontId="7" fillId="0" borderId="49" xfId="11" applyFont="1" applyBorder="1" applyAlignment="1" applyProtection="1">
      <alignment vertical="top"/>
      <protection locked="0"/>
    </xf>
    <xf numFmtId="0" fontId="7" fillId="0" borderId="29" xfId="11" applyFont="1" applyBorder="1" applyAlignment="1" applyProtection="1">
      <alignment vertical="top"/>
      <protection locked="0"/>
    </xf>
    <xf numFmtId="0" fontId="7" fillId="0" borderId="31" xfId="11" applyFont="1" applyBorder="1" applyAlignment="1" applyProtection="1">
      <alignment vertical="top"/>
      <protection locked="0"/>
    </xf>
    <xf numFmtId="164" fontId="7" fillId="0" borderId="49" xfId="1" applyFont="1" applyFill="1" applyBorder="1" applyAlignment="1" applyProtection="1">
      <alignment vertical="top"/>
      <protection locked="0"/>
    </xf>
    <xf numFmtId="164" fontId="7" fillId="0" borderId="49" xfId="8" applyFont="1" applyFill="1" applyBorder="1" applyAlignment="1" applyProtection="1">
      <alignment vertical="top"/>
      <protection locked="0"/>
    </xf>
    <xf numFmtId="0" fontId="6" fillId="0" borderId="33" xfId="11" applyFont="1" applyBorder="1" applyAlignment="1" applyProtection="1">
      <alignment vertical="top"/>
      <protection locked="0"/>
    </xf>
    <xf numFmtId="164" fontId="7" fillId="0" borderId="41" xfId="8" applyFont="1" applyFill="1" applyBorder="1" applyAlignment="1" applyProtection="1">
      <alignment vertical="top"/>
      <protection locked="0"/>
    </xf>
    <xf numFmtId="164" fontId="7" fillId="0" borderId="58" xfId="8" applyFont="1" applyFill="1" applyBorder="1" applyAlignment="1" applyProtection="1">
      <alignment vertical="top"/>
    </xf>
    <xf numFmtId="0" fontId="6" fillId="0" borderId="30" xfId="11" applyFont="1" applyBorder="1" applyAlignment="1" applyProtection="1">
      <alignment horizontal="center" vertical="center" wrapText="1"/>
      <protection locked="0"/>
    </xf>
    <xf numFmtId="0" fontId="6" fillId="0" borderId="48" xfId="11" applyFont="1" applyBorder="1" applyAlignment="1" applyProtection="1">
      <alignment horizontal="center" vertical="center" wrapText="1"/>
      <protection locked="0"/>
    </xf>
    <xf numFmtId="164" fontId="6" fillId="0" borderId="45" xfId="8" applyFont="1" applyFill="1" applyBorder="1" applyAlignment="1" applyProtection="1">
      <alignment vertical="top"/>
    </xf>
    <xf numFmtId="164" fontId="6" fillId="0" borderId="57" xfId="8" applyFont="1" applyFill="1" applyBorder="1" applyAlignment="1" applyProtection="1">
      <alignment vertical="top"/>
    </xf>
    <xf numFmtId="0" fontId="6" fillId="0" borderId="32" xfId="11" applyFont="1" applyBorder="1" applyAlignment="1" applyProtection="1">
      <alignment horizontal="center" vertical="center" wrapText="1"/>
      <protection locked="0"/>
    </xf>
    <xf numFmtId="0" fontId="6" fillId="0" borderId="47" xfId="11" applyFont="1" applyBorder="1" applyAlignment="1" applyProtection="1">
      <alignment horizontal="center" vertical="center" wrapText="1"/>
      <protection locked="0"/>
    </xf>
    <xf numFmtId="0" fontId="6" fillId="0" borderId="41" xfId="11" applyFont="1" applyBorder="1" applyAlignment="1" applyProtection="1">
      <alignment horizontal="center" vertical="center" wrapText="1"/>
      <protection locked="0"/>
    </xf>
    <xf numFmtId="0" fontId="6" fillId="5" borderId="22" xfId="11" applyFont="1" applyFill="1" applyBorder="1" applyAlignment="1" applyProtection="1">
      <alignment horizontal="center" vertical="center" wrapText="1"/>
      <protection locked="0"/>
    </xf>
    <xf numFmtId="0" fontId="6" fillId="5" borderId="17" xfId="11" applyFont="1" applyFill="1" applyBorder="1" applyAlignment="1" applyProtection="1">
      <alignment horizontal="center" vertical="center" wrapText="1"/>
      <protection locked="0"/>
    </xf>
    <xf numFmtId="0" fontId="23" fillId="5" borderId="19" xfId="11" applyFont="1" applyFill="1" applyBorder="1" applyAlignment="1" applyProtection="1">
      <alignment horizontal="center" vertical="center" wrapText="1"/>
      <protection locked="0"/>
    </xf>
    <xf numFmtId="0" fontId="23" fillId="4" borderId="22" xfId="11" applyFont="1" applyFill="1" applyBorder="1" applyAlignment="1" applyProtection="1">
      <alignment horizontal="center" vertical="center" wrapText="1"/>
      <protection locked="0"/>
    </xf>
    <xf numFmtId="0" fontId="23" fillId="4" borderId="18" xfId="11" applyFont="1" applyFill="1" applyBorder="1" applyAlignment="1" applyProtection="1">
      <alignment horizontal="center" vertical="center" wrapText="1"/>
      <protection locked="0"/>
    </xf>
    <xf numFmtId="0" fontId="7" fillId="0" borderId="36" xfId="0" applyFont="1" applyBorder="1" applyAlignment="1" applyProtection="1">
      <alignment vertical="top"/>
      <protection locked="0"/>
    </xf>
    <xf numFmtId="164" fontId="7" fillId="4" borderId="37" xfId="1" applyFont="1" applyFill="1" applyBorder="1" applyAlignment="1" applyProtection="1">
      <alignment vertical="top"/>
    </xf>
    <xf numFmtId="0" fontId="7" fillId="0" borderId="24" xfId="0" applyFont="1" applyBorder="1" applyAlignment="1" applyProtection="1">
      <alignment vertical="top"/>
      <protection locked="0"/>
    </xf>
    <xf numFmtId="0" fontId="8" fillId="0" borderId="36" xfId="11" applyFont="1" applyBorder="1" applyAlignment="1" applyProtection="1">
      <alignment vertical="top"/>
      <protection locked="0"/>
    </xf>
    <xf numFmtId="164" fontId="7" fillId="4" borderId="30" xfId="1" applyFont="1" applyFill="1" applyBorder="1" applyAlignment="1" applyProtection="1">
      <alignment vertical="top"/>
    </xf>
    <xf numFmtId="0" fontId="7" fillId="0" borderId="47" xfId="0" applyFont="1" applyBorder="1" applyAlignment="1" applyProtection="1">
      <alignment vertical="top"/>
      <protection locked="0"/>
    </xf>
    <xf numFmtId="0" fontId="8" fillId="0" borderId="37" xfId="11" applyFont="1" applyBorder="1" applyAlignment="1" applyProtection="1">
      <alignment horizontal="center" vertical="top"/>
      <protection locked="0"/>
    </xf>
    <xf numFmtId="0" fontId="8" fillId="0" borderId="30" xfId="11" applyFont="1" applyBorder="1" applyAlignment="1" applyProtection="1">
      <alignment horizontal="center" vertical="top"/>
      <protection locked="0"/>
    </xf>
    <xf numFmtId="0" fontId="7" fillId="0" borderId="41" xfId="0" applyFont="1" applyBorder="1" applyAlignment="1" applyProtection="1">
      <alignment vertical="top"/>
      <protection locked="0"/>
    </xf>
    <xf numFmtId="0" fontId="8" fillId="0" borderId="42" xfId="11" applyFont="1" applyBorder="1" applyAlignment="1" applyProtection="1">
      <alignment horizontal="center" vertical="top"/>
      <protection locked="0"/>
    </xf>
    <xf numFmtId="164" fontId="7" fillId="4" borderId="42" xfId="1" applyFont="1" applyFill="1" applyBorder="1" applyAlignment="1" applyProtection="1">
      <alignment vertical="top"/>
    </xf>
    <xf numFmtId="164" fontId="7" fillId="4" borderId="24" xfId="1" applyFont="1" applyFill="1" applyBorder="1" applyAlignment="1" applyProtection="1">
      <alignment vertical="top"/>
      <protection locked="0"/>
    </xf>
    <xf numFmtId="164" fontId="7" fillId="0" borderId="24" xfId="1" applyFont="1" applyFill="1" applyBorder="1" applyAlignment="1" applyProtection="1">
      <alignment vertical="top"/>
      <protection locked="0"/>
    </xf>
    <xf numFmtId="0" fontId="7" fillId="0" borderId="59" xfId="0" applyFont="1" applyBorder="1" applyAlignment="1" applyProtection="1">
      <alignment vertical="top"/>
      <protection locked="0"/>
    </xf>
    <xf numFmtId="0" fontId="7" fillId="4" borderId="42" xfId="0" applyFont="1" applyFill="1" applyBorder="1" applyAlignment="1" applyProtection="1">
      <alignment vertical="top"/>
      <protection locked="0"/>
    </xf>
    <xf numFmtId="164" fontId="7" fillId="0" borderId="37" xfId="1" applyFont="1" applyFill="1" applyBorder="1" applyAlignment="1" applyProtection="1">
      <alignment horizontal="center" vertical="center"/>
      <protection locked="0"/>
    </xf>
    <xf numFmtId="164" fontId="7" fillId="0" borderId="35" xfId="1" applyFont="1" applyFill="1" applyBorder="1" applyAlignment="1" applyProtection="1">
      <alignment horizontal="center" vertical="top" wrapText="1"/>
      <protection locked="0"/>
    </xf>
    <xf numFmtId="0" fontId="8" fillId="4" borderId="18" xfId="0" applyFont="1" applyFill="1" applyBorder="1" applyAlignment="1" applyProtection="1">
      <alignment vertical="top"/>
      <protection locked="0"/>
    </xf>
    <xf numFmtId="16" fontId="7" fillId="0" borderId="0" xfId="0" applyNumberFormat="1" applyFont="1" applyAlignment="1" applyProtection="1">
      <alignment wrapText="1"/>
      <protection locked="0"/>
    </xf>
    <xf numFmtId="16" fontId="0" fillId="0" borderId="0" xfId="0" applyNumberFormat="1" applyAlignment="1" applyProtection="1">
      <alignment wrapText="1"/>
      <protection locked="0"/>
    </xf>
    <xf numFmtId="39" fontId="30" fillId="0" borderId="0" xfId="0" applyNumberFormat="1" applyFont="1" applyAlignment="1" applyProtection="1">
      <alignment vertical="center"/>
      <protection locked="0"/>
    </xf>
    <xf numFmtId="39" fontId="23" fillId="4" borderId="29" xfId="0" applyNumberFormat="1" applyFont="1" applyFill="1" applyBorder="1" applyAlignment="1" applyProtection="1">
      <alignment horizontal="center" vertical="center" wrapText="1"/>
      <protection locked="0"/>
    </xf>
    <xf numFmtId="39" fontId="6" fillId="4" borderId="29" xfId="0" applyNumberFormat="1" applyFont="1" applyFill="1" applyBorder="1" applyAlignment="1" applyProtection="1">
      <alignment horizontal="center" vertical="center" wrapText="1"/>
      <protection locked="0"/>
    </xf>
    <xf numFmtId="164" fontId="7" fillId="9" borderId="29" xfId="1" applyFont="1" applyFill="1" applyBorder="1" applyAlignment="1" applyProtection="1">
      <alignment horizontal="right" vertical="top"/>
    </xf>
    <xf numFmtId="164" fontId="7" fillId="9" borderId="29" xfId="1" applyFont="1" applyFill="1" applyBorder="1" applyAlignment="1" applyProtection="1">
      <alignment horizontal="right" vertical="top"/>
      <protection locked="0"/>
    </xf>
    <xf numFmtId="164" fontId="7" fillId="9" borderId="28" xfId="1" applyFont="1" applyFill="1" applyBorder="1" applyAlignment="1" applyProtection="1">
      <alignment horizontal="right" vertical="top"/>
    </xf>
    <xf numFmtId="164" fontId="7" fillId="9" borderId="28" xfId="1" applyFont="1" applyFill="1" applyBorder="1" applyAlignment="1" applyProtection="1">
      <alignment horizontal="right" vertical="top"/>
      <protection locked="0"/>
    </xf>
    <xf numFmtId="164" fontId="7" fillId="9" borderId="30" xfId="1" applyFont="1" applyFill="1" applyBorder="1" applyAlignment="1" applyProtection="1">
      <alignment horizontal="right" vertical="top"/>
    </xf>
    <xf numFmtId="39" fontId="7" fillId="0" borderId="49" xfId="0" applyNumberFormat="1" applyFont="1" applyBorder="1" applyAlignment="1" applyProtection="1">
      <alignment vertical="center" wrapText="1"/>
      <protection locked="0"/>
    </xf>
    <xf numFmtId="39" fontId="7" fillId="0" borderId="59" xfId="0" applyNumberFormat="1" applyFont="1" applyBorder="1" applyAlignment="1" applyProtection="1">
      <alignment vertical="center" wrapText="1"/>
      <protection locked="0"/>
    </xf>
    <xf numFmtId="39" fontId="7" fillId="0" borderId="47" xfId="0" applyNumberFormat="1" applyFont="1" applyBorder="1" applyAlignment="1" applyProtection="1">
      <alignment vertical="center" wrapText="1"/>
      <protection locked="0"/>
    </xf>
    <xf numFmtId="0" fontId="15" fillId="0" borderId="0" xfId="0" applyFont="1" applyAlignment="1" applyProtection="1">
      <alignment horizontal="left" vertical="top"/>
      <protection locked="0"/>
    </xf>
    <xf numFmtId="0" fontId="14" fillId="0" borderId="0" xfId="0" applyFont="1" applyAlignment="1" applyProtection="1">
      <alignment horizontal="left" vertical="top"/>
      <protection locked="0"/>
    </xf>
    <xf numFmtId="0" fontId="14" fillId="0" borderId="0" xfId="5" applyFont="1" applyAlignment="1" applyProtection="1">
      <alignment vertical="top"/>
      <protection locked="0"/>
    </xf>
    <xf numFmtId="0" fontId="6" fillId="0" borderId="0" xfId="5" applyFont="1" applyAlignment="1" applyProtection="1">
      <alignment vertical="top"/>
      <protection locked="0"/>
    </xf>
    <xf numFmtId="0" fontId="14" fillId="4" borderId="24" xfId="0" applyFont="1" applyFill="1" applyBorder="1" applyAlignment="1" applyProtection="1">
      <alignment vertical="top"/>
      <protection locked="0"/>
    </xf>
    <xf numFmtId="39" fontId="7" fillId="0" borderId="33" xfId="0" applyNumberFormat="1" applyFont="1" applyBorder="1" applyAlignment="1" applyProtection="1">
      <alignment vertical="top"/>
      <protection locked="0"/>
    </xf>
    <xf numFmtId="0" fontId="6" fillId="0" borderId="53" xfId="0" applyFont="1" applyBorder="1" applyAlignment="1" applyProtection="1">
      <alignment horizontal="right" vertical="top"/>
      <protection locked="0"/>
    </xf>
    <xf numFmtId="164" fontId="7" fillId="0" borderId="29" xfId="1" applyFont="1" applyFill="1" applyBorder="1" applyAlignment="1" applyProtection="1">
      <alignment horizontal="right" vertical="top"/>
      <protection locked="0"/>
    </xf>
    <xf numFmtId="164" fontId="7" fillId="0" borderId="28" xfId="1" applyFont="1" applyFill="1" applyBorder="1" applyAlignment="1" applyProtection="1">
      <alignment horizontal="right" vertical="top"/>
      <protection locked="0"/>
    </xf>
    <xf numFmtId="0" fontId="6" fillId="4" borderId="38" xfId="0" applyFont="1" applyFill="1" applyBorder="1" applyAlignment="1" applyProtection="1">
      <alignment horizontal="right" vertical="top"/>
      <protection locked="0"/>
    </xf>
    <xf numFmtId="0" fontId="6" fillId="0" borderId="38" xfId="0" applyFont="1" applyBorder="1" applyAlignment="1" applyProtection="1">
      <alignment horizontal="right" vertical="top"/>
      <protection locked="0"/>
    </xf>
    <xf numFmtId="164" fontId="6" fillId="4" borderId="45" xfId="1" applyFont="1" applyFill="1" applyBorder="1" applyAlignment="1" applyProtection="1">
      <alignment horizontal="right"/>
    </xf>
    <xf numFmtId="16" fontId="0" fillId="0" borderId="16" xfId="0" applyNumberFormat="1" applyBorder="1" applyAlignment="1" applyProtection="1">
      <alignment wrapText="1"/>
      <protection locked="0"/>
    </xf>
    <xf numFmtId="16" fontId="0" fillId="4" borderId="0" xfId="0" applyNumberFormat="1" applyFill="1" applyAlignment="1" applyProtection="1">
      <alignment horizontal="right"/>
      <protection locked="0"/>
    </xf>
    <xf numFmtId="0" fontId="11" fillId="0" borderId="0" xfId="0" applyFont="1" applyAlignment="1" applyProtection="1">
      <alignment vertical="center"/>
      <protection locked="0"/>
    </xf>
    <xf numFmtId="16" fontId="7" fillId="0" borderId="0" xfId="0" applyNumberFormat="1" applyFont="1" applyAlignment="1" applyProtection="1">
      <alignment horizontal="left" vertical="top"/>
      <protection locked="0"/>
    </xf>
    <xf numFmtId="16" fontId="0" fillId="0" borderId="16" xfId="0" applyNumberFormat="1" applyBorder="1" applyProtection="1">
      <protection locked="0"/>
    </xf>
    <xf numFmtId="16" fontId="0" fillId="0" borderId="16" xfId="0" applyNumberFormat="1" applyBorder="1" applyAlignment="1" applyProtection="1">
      <alignment horizontal="right"/>
      <protection locked="0"/>
    </xf>
    <xf numFmtId="16" fontId="0" fillId="4" borderId="44" xfId="0" applyNumberFormat="1" applyFill="1" applyBorder="1" applyAlignment="1" applyProtection="1">
      <alignment horizontal="right"/>
      <protection locked="0"/>
    </xf>
    <xf numFmtId="16" fontId="0" fillId="4" borderId="32" xfId="0" applyNumberFormat="1" applyFill="1" applyBorder="1" applyAlignment="1" applyProtection="1">
      <alignment horizontal="right"/>
      <protection locked="0"/>
    </xf>
    <xf numFmtId="16" fontId="0" fillId="4" borderId="16" xfId="0" applyNumberFormat="1" applyFill="1" applyBorder="1" applyAlignment="1" applyProtection="1">
      <alignment horizontal="right"/>
      <protection locked="0"/>
    </xf>
    <xf numFmtId="0" fontId="0" fillId="0" borderId="16" xfId="0" applyBorder="1" applyAlignment="1" applyProtection="1">
      <alignment horizontal="right"/>
      <protection locked="0"/>
    </xf>
    <xf numFmtId="16" fontId="6" fillId="0" borderId="33" xfId="0" applyNumberFormat="1" applyFont="1" applyBorder="1" applyProtection="1">
      <protection locked="0"/>
    </xf>
    <xf numFmtId="164" fontId="6" fillId="0" borderId="32" xfId="1" applyFont="1" applyBorder="1" applyAlignment="1" applyProtection="1">
      <alignment horizontal="right" vertical="top"/>
      <protection locked="0"/>
    </xf>
    <xf numFmtId="0" fontId="6" fillId="0" borderId="0" xfId="0" applyFont="1" applyAlignment="1" applyProtection="1">
      <alignment horizontal="left" vertical="top" indent="21"/>
      <protection locked="0"/>
    </xf>
    <xf numFmtId="0" fontId="6" fillId="5" borderId="42" xfId="0" applyFont="1" applyFill="1" applyBorder="1" applyAlignment="1" applyProtection="1">
      <alignment horizontal="center" vertical="center"/>
      <protection locked="0"/>
    </xf>
    <xf numFmtId="164" fontId="7" fillId="8" borderId="32" xfId="1" applyFont="1" applyFill="1" applyBorder="1" applyAlignment="1" applyProtection="1">
      <alignment horizontal="left" vertical="top"/>
    </xf>
    <xf numFmtId="164" fontId="7" fillId="0" borderId="32" xfId="1" applyFont="1" applyFill="1" applyBorder="1" applyAlignment="1" applyProtection="1">
      <alignment horizontal="left" vertical="top"/>
    </xf>
    <xf numFmtId="0" fontId="6" fillId="0" borderId="33" xfId="0" applyFont="1" applyBorder="1" applyAlignment="1" applyProtection="1">
      <alignment horizontal="left" vertical="top" indent="2"/>
      <protection locked="0"/>
    </xf>
    <xf numFmtId="0" fontId="7" fillId="0" borderId="25" xfId="0" quotePrefix="1" applyFont="1" applyBorder="1" applyAlignment="1" applyProtection="1">
      <alignment horizontal="left" vertical="top" wrapText="1" indent="1"/>
      <protection locked="0"/>
    </xf>
    <xf numFmtId="0" fontId="7" fillId="0" borderId="25" xfId="0" quotePrefix="1" applyFont="1" applyBorder="1" applyAlignment="1" applyProtection="1">
      <alignment horizontal="left" vertical="top" indent="1"/>
      <protection locked="0"/>
    </xf>
    <xf numFmtId="0" fontId="14" fillId="0" borderId="0" xfId="0" applyFont="1" applyAlignment="1" applyProtection="1">
      <alignment horizontal="left" vertical="top" indent="7"/>
      <protection locked="0"/>
    </xf>
    <xf numFmtId="0" fontId="7" fillId="0" borderId="44" xfId="0" applyFont="1" applyBorder="1" applyAlignment="1" applyProtection="1">
      <alignment vertical="top" wrapText="1"/>
      <protection locked="0"/>
    </xf>
    <xf numFmtId="0" fontId="6" fillId="4" borderId="33" xfId="0" applyFont="1" applyFill="1" applyBorder="1" applyAlignment="1" applyProtection="1">
      <alignment horizontal="center" vertical="top" wrapText="1"/>
      <protection locked="0"/>
    </xf>
    <xf numFmtId="164" fontId="0" fillId="4" borderId="32" xfId="1" applyFont="1" applyFill="1" applyBorder="1" applyAlignment="1" applyProtection="1">
      <alignment horizontal="left" vertical="top" wrapText="1"/>
      <protection locked="0"/>
    </xf>
    <xf numFmtId="0" fontId="6" fillId="5" borderId="16" xfId="0" applyFont="1" applyFill="1" applyBorder="1" applyAlignment="1" applyProtection="1">
      <alignment horizontal="center" vertical="top" wrapText="1"/>
      <protection locked="0"/>
    </xf>
    <xf numFmtId="0" fontId="41" fillId="0" borderId="0" xfId="0" applyFont="1" applyAlignment="1" applyProtection="1">
      <alignment horizontal="center" vertical="top"/>
      <protection locked="0"/>
    </xf>
    <xf numFmtId="0" fontId="32" fillId="0" borderId="0" xfId="0" quotePrefix="1" applyFont="1" applyAlignment="1" applyProtection="1">
      <alignment horizontal="center" vertical="top"/>
      <protection locked="0"/>
    </xf>
    <xf numFmtId="164" fontId="6" fillId="8" borderId="18" xfId="1" applyFont="1" applyFill="1" applyBorder="1" applyAlignment="1" applyProtection="1">
      <alignment vertical="top"/>
    </xf>
    <xf numFmtId="164" fontId="6" fillId="4" borderId="27" xfId="1" applyFont="1" applyFill="1" applyBorder="1" applyAlignment="1" applyProtection="1">
      <alignment horizontal="right" vertical="top" wrapText="1"/>
      <protection locked="0"/>
    </xf>
    <xf numFmtId="164" fontId="6" fillId="0" borderId="27" xfId="1" applyFont="1" applyFill="1" applyBorder="1" applyAlignment="1" applyProtection="1">
      <alignment horizontal="right" vertical="top" wrapText="1"/>
      <protection locked="0"/>
    </xf>
    <xf numFmtId="164" fontId="6" fillId="4" borderId="0" xfId="0" applyNumberFormat="1" applyFont="1" applyFill="1" applyAlignment="1" applyProtection="1">
      <alignment horizontal="right" vertical="top"/>
      <protection locked="0"/>
    </xf>
    <xf numFmtId="164" fontId="7" fillId="4" borderId="0" xfId="0" applyNumberFormat="1" applyFont="1" applyFill="1" applyAlignment="1" applyProtection="1">
      <alignment horizontal="right" vertical="top"/>
      <protection locked="0"/>
    </xf>
    <xf numFmtId="0" fontId="24" fillId="0" borderId="0" xfId="0" applyFont="1" applyAlignment="1" applyProtection="1">
      <alignment horizontal="center" vertical="center"/>
      <protection locked="0"/>
    </xf>
    <xf numFmtId="0" fontId="42" fillId="0" borderId="0" xfId="3" applyFont="1" applyFill="1" applyAlignment="1" applyProtection="1">
      <alignment horizontal="center" vertical="center"/>
      <protection locked="0"/>
    </xf>
    <xf numFmtId="17" fontId="7" fillId="0" borderId="0" xfId="0" applyNumberFormat="1" applyFont="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7" fillId="4" borderId="18" xfId="1" applyFont="1" applyFill="1" applyBorder="1" applyAlignment="1" applyProtection="1">
      <alignment horizontal="right" vertical="top"/>
      <protection locked="0"/>
    </xf>
    <xf numFmtId="164" fontId="6" fillId="0" borderId="18" xfId="0" applyNumberFormat="1" applyFont="1" applyBorder="1" applyAlignment="1" applyProtection="1">
      <alignment vertical="top"/>
      <protection locked="0"/>
    </xf>
    <xf numFmtId="17" fontId="6" fillId="0" borderId="0" xfId="0" applyNumberFormat="1" applyFont="1" applyAlignment="1" applyProtection="1">
      <alignment horizontal="center" vertical="center"/>
      <protection locked="0"/>
    </xf>
    <xf numFmtId="0" fontId="12" fillId="0" borderId="0" xfId="0" applyFont="1" applyAlignment="1" applyProtection="1">
      <alignment horizontal="center" vertical="center"/>
      <protection locked="0"/>
    </xf>
    <xf numFmtId="164" fontId="7" fillId="9" borderId="0" xfId="1" applyFont="1" applyFill="1" applyAlignment="1" applyProtection="1">
      <alignment horizontal="center" vertical="center"/>
      <protection locked="0"/>
    </xf>
    <xf numFmtId="164" fontId="7" fillId="0" borderId="0" xfId="1" applyFont="1" applyFill="1" applyAlignment="1" applyProtection="1">
      <alignment horizontal="center" vertical="center"/>
      <protection locked="0"/>
    </xf>
    <xf numFmtId="0" fontId="32" fillId="0" borderId="0" xfId="0" applyFont="1" applyAlignment="1" applyProtection="1">
      <alignment horizontal="left" vertical="top"/>
      <protection locked="0"/>
    </xf>
    <xf numFmtId="0" fontId="6" fillId="0" borderId="44" xfId="0" applyFont="1" applyBorder="1" applyAlignment="1" applyProtection="1">
      <alignment vertical="top" wrapText="1"/>
      <protection locked="0"/>
    </xf>
    <xf numFmtId="0" fontId="6" fillId="4" borderId="33" xfId="0" applyFont="1" applyFill="1" applyBorder="1" applyAlignment="1" applyProtection="1">
      <alignment horizontal="center" vertical="center" wrapText="1"/>
      <protection locked="0"/>
    </xf>
    <xf numFmtId="0" fontId="17" fillId="0" borderId="0" xfId="0" quotePrefix="1" applyFont="1" applyAlignment="1" applyProtection="1">
      <alignment horizontal="center" vertical="center"/>
      <protection locked="0"/>
    </xf>
    <xf numFmtId="164" fontId="7" fillId="0" borderId="37" xfId="1" applyFont="1" applyFill="1" applyBorder="1" applyAlignment="1" applyProtection="1">
      <alignment vertical="top"/>
    </xf>
    <xf numFmtId="164" fontId="7" fillId="0" borderId="29" xfId="1" applyFont="1" applyFill="1" applyBorder="1" applyAlignment="1" applyProtection="1">
      <alignment vertical="top"/>
    </xf>
    <xf numFmtId="164" fontId="6" fillId="4" borderId="18" xfId="1" applyFont="1" applyFill="1" applyBorder="1" applyAlignment="1" applyProtection="1">
      <alignment horizontal="right"/>
    </xf>
    <xf numFmtId="0" fontId="6" fillId="4" borderId="42" xfId="0" applyFont="1" applyFill="1" applyBorder="1" applyAlignment="1" applyProtection="1">
      <alignment horizontal="center" vertical="center" wrapText="1"/>
      <protection locked="0"/>
    </xf>
    <xf numFmtId="0" fontId="20" fillId="0" borderId="0" xfId="3" applyFill="1" applyAlignment="1" applyProtection="1">
      <alignment horizontal="center" vertical="center"/>
      <protection locked="0"/>
    </xf>
    <xf numFmtId="17" fontId="24" fillId="0" borderId="0" xfId="0" applyNumberFormat="1" applyFont="1" applyAlignment="1" applyProtection="1">
      <alignment horizontal="center" vertical="center"/>
      <protection locked="0"/>
    </xf>
    <xf numFmtId="0" fontId="6" fillId="9" borderId="0" xfId="0" applyFont="1" applyFill="1" applyAlignment="1" applyProtection="1">
      <alignment horizontal="center" vertical="center"/>
      <protection locked="0"/>
    </xf>
    <xf numFmtId="164" fontId="6" fillId="0" borderId="45" xfId="1" applyFont="1" applyBorder="1" applyAlignment="1" applyProtection="1">
      <alignment horizontal="right"/>
    </xf>
    <xf numFmtId="0" fontId="6" fillId="0" borderId="16" xfId="0" applyFont="1" applyBorder="1" applyAlignment="1" applyProtection="1">
      <alignment horizontal="center" vertical="center" wrapText="1"/>
      <protection locked="0"/>
    </xf>
    <xf numFmtId="0" fontId="6" fillId="0" borderId="16" xfId="0" applyFont="1" applyBorder="1" applyAlignment="1" applyProtection="1">
      <alignment horizontal="center" vertical="center"/>
      <protection locked="0"/>
    </xf>
    <xf numFmtId="164" fontId="0" fillId="0" borderId="25" xfId="1" applyFont="1" applyBorder="1" applyAlignment="1" applyProtection="1">
      <alignment horizontal="right"/>
      <protection locked="0"/>
    </xf>
    <xf numFmtId="164" fontId="0" fillId="0" borderId="33" xfId="1" applyFont="1" applyBorder="1" applyAlignment="1" applyProtection="1">
      <alignment horizontal="right"/>
      <protection locked="0"/>
    </xf>
    <xf numFmtId="0" fontId="0" fillId="0" borderId="44" xfId="0" applyBorder="1" applyAlignment="1" applyProtection="1">
      <alignment horizontal="right"/>
      <protection locked="0"/>
    </xf>
    <xf numFmtId="16" fontId="0" fillId="4" borderId="18" xfId="0" applyNumberFormat="1" applyFill="1" applyBorder="1" applyAlignment="1" applyProtection="1">
      <alignment horizontal="right"/>
      <protection locked="0"/>
    </xf>
    <xf numFmtId="0" fontId="0" fillId="0" borderId="18" xfId="0" applyBorder="1" applyAlignment="1" applyProtection="1">
      <alignment horizontal="right"/>
      <protection locked="0"/>
    </xf>
    <xf numFmtId="0" fontId="6" fillId="5" borderId="42" xfId="0" applyFont="1" applyFill="1" applyBorder="1" applyAlignment="1" applyProtection="1">
      <alignment horizontal="center" vertical="center" wrapText="1"/>
      <protection locked="0"/>
    </xf>
    <xf numFmtId="164" fontId="7" fillId="0" borderId="42" xfId="1" applyFont="1" applyFill="1" applyBorder="1" applyAlignment="1" applyProtection="1">
      <alignment vertical="top"/>
    </xf>
    <xf numFmtId="164" fontId="6" fillId="0" borderId="45" xfId="1" applyFont="1" applyFill="1" applyBorder="1" applyAlignment="1" applyProtection="1">
      <alignment vertical="top"/>
    </xf>
    <xf numFmtId="10" fontId="11" fillId="0" borderId="0" xfId="0" applyNumberFormat="1" applyFont="1" applyProtection="1">
      <protection locked="0"/>
    </xf>
    <xf numFmtId="164" fontId="23" fillId="0" borderId="18" xfId="1" applyFont="1" applyFill="1" applyBorder="1" applyAlignment="1" applyProtection="1">
      <alignment vertical="top"/>
      <protection locked="0"/>
    </xf>
    <xf numFmtId="0" fontId="7" fillId="0" borderId="25" xfId="12" applyBorder="1" applyAlignment="1" applyProtection="1">
      <alignment vertical="top"/>
      <protection locked="0"/>
    </xf>
    <xf numFmtId="166" fontId="7" fillId="0" borderId="29" xfId="12" applyNumberFormat="1" applyBorder="1" applyAlignment="1" applyProtection="1">
      <alignment horizontal="center" vertical="top"/>
      <protection locked="0"/>
    </xf>
    <xf numFmtId="166" fontId="7" fillId="0" borderId="33" xfId="12" applyNumberFormat="1" applyBorder="1" applyAlignment="1" applyProtection="1">
      <alignment horizontal="center" vertical="top"/>
      <protection locked="0"/>
    </xf>
    <xf numFmtId="0" fontId="6" fillId="0" borderId="44" xfId="12" applyFont="1" applyBorder="1" applyAlignment="1" applyProtection="1">
      <alignment vertical="top"/>
      <protection locked="0"/>
    </xf>
    <xf numFmtId="0" fontId="7" fillId="0" borderId="44" xfId="12" applyBorder="1" applyAlignment="1" applyProtection="1">
      <alignment vertical="top"/>
      <protection locked="0"/>
    </xf>
    <xf numFmtId="166" fontId="7" fillId="4" borderId="42" xfId="12" applyNumberFormat="1" applyFill="1" applyBorder="1" applyAlignment="1" applyProtection="1">
      <alignment horizontal="center" vertical="top"/>
      <protection locked="0"/>
    </xf>
    <xf numFmtId="166" fontId="7" fillId="0" borderId="28" xfId="12" applyNumberFormat="1" applyBorder="1" applyAlignment="1" applyProtection="1">
      <alignment horizontal="center" vertical="top"/>
      <protection locked="0"/>
    </xf>
    <xf numFmtId="0" fontId="7" fillId="0" borderId="32" xfId="12" applyBorder="1" applyAlignment="1" applyProtection="1">
      <alignment horizontal="center" vertical="center"/>
      <protection locked="0"/>
    </xf>
    <xf numFmtId="0" fontId="6" fillId="4" borderId="37" xfId="12" applyFont="1" applyFill="1" applyBorder="1" applyAlignment="1" applyProtection="1">
      <alignment horizontal="center" vertical="center"/>
      <protection locked="0"/>
    </xf>
    <xf numFmtId="0" fontId="7" fillId="0" borderId="25" xfId="12" applyBorder="1" applyAlignment="1" applyProtection="1">
      <alignment horizontal="left"/>
      <protection locked="0"/>
    </xf>
    <xf numFmtId="0" fontId="6" fillId="0" borderId="25" xfId="12" applyFont="1" applyBorder="1" applyProtection="1">
      <protection locked="0"/>
    </xf>
    <xf numFmtId="0" fontId="7" fillId="0" borderId="32" xfId="12" applyBorder="1" applyAlignment="1" applyProtection="1">
      <alignment horizontal="left" vertical="center"/>
      <protection locked="0"/>
    </xf>
    <xf numFmtId="0" fontId="6" fillId="0" borderId="25" xfId="12" applyFont="1" applyBorder="1" applyAlignment="1" applyProtection="1">
      <alignment horizontal="left"/>
      <protection locked="0"/>
    </xf>
    <xf numFmtId="164" fontId="7" fillId="0" borderId="44" xfId="1" applyFont="1" applyFill="1" applyBorder="1" applyAlignment="1" applyProtection="1">
      <alignment vertical="top"/>
    </xf>
    <xf numFmtId="0" fontId="7" fillId="0" borderId="25" xfId="0" applyFont="1" applyBorder="1" applyAlignment="1" applyProtection="1">
      <alignment horizontal="left" vertical="top" indent="4"/>
      <protection locked="0"/>
    </xf>
    <xf numFmtId="0" fontId="11" fillId="9" borderId="0" xfId="0" applyFont="1" applyFill="1" applyAlignment="1" applyProtection="1">
      <alignment horizontal="left" vertical="top"/>
      <protection locked="0"/>
    </xf>
    <xf numFmtId="164" fontId="7" fillId="4" borderId="24" xfId="1" applyFont="1" applyFill="1" applyBorder="1" applyAlignment="1" applyProtection="1">
      <alignment vertical="top"/>
    </xf>
    <xf numFmtId="0" fontId="6" fillId="0" borderId="33" xfId="0" applyFont="1" applyBorder="1" applyAlignment="1" applyProtection="1">
      <alignment wrapText="1"/>
      <protection locked="0"/>
    </xf>
    <xf numFmtId="164" fontId="6" fillId="4" borderId="32" xfId="1" applyFont="1" applyFill="1" applyBorder="1" applyAlignment="1" applyProtection="1">
      <alignment horizontal="right" vertical="top"/>
    </xf>
    <xf numFmtId="0" fontId="7" fillId="0" borderId="44" xfId="0" applyFont="1" applyBorder="1" applyAlignment="1" applyProtection="1">
      <alignment horizontal="center" vertical="top"/>
      <protection locked="0"/>
    </xf>
    <xf numFmtId="165" fontId="7" fillId="4" borderId="32" xfId="1" applyNumberFormat="1" applyFont="1" applyFill="1" applyBorder="1" applyAlignment="1" applyProtection="1">
      <alignment horizontal="right" vertical="top"/>
    </xf>
    <xf numFmtId="165" fontId="6" fillId="0" borderId="32" xfId="1" applyNumberFormat="1" applyFont="1" applyBorder="1" applyAlignment="1" applyProtection="1">
      <alignment horizontal="right" vertical="top"/>
      <protection locked="0"/>
    </xf>
    <xf numFmtId="165" fontId="7" fillId="0" borderId="32" xfId="1" applyNumberFormat="1" applyFont="1" applyFill="1" applyBorder="1" applyAlignment="1" applyProtection="1">
      <alignment horizontal="right" vertical="top"/>
    </xf>
    <xf numFmtId="164" fontId="46" fillId="0" borderId="0" xfId="1" applyFont="1" applyFill="1" applyAlignment="1" applyProtection="1">
      <alignment vertical="top"/>
    </xf>
    <xf numFmtId="0" fontId="47" fillId="0" borderId="0" xfId="0" applyFont="1" applyProtection="1">
      <protection locked="0"/>
    </xf>
    <xf numFmtId="0" fontId="32" fillId="0" borderId="0" xfId="0" applyFont="1" applyProtection="1">
      <protection locked="0"/>
    </xf>
    <xf numFmtId="164" fontId="32" fillId="0" borderId="0" xfId="0" applyNumberFormat="1" applyFont="1" applyProtection="1">
      <protection locked="0"/>
    </xf>
    <xf numFmtId="164" fontId="32" fillId="0" borderId="0" xfId="1" applyFont="1" applyProtection="1">
      <protection locked="0"/>
    </xf>
    <xf numFmtId="39" fontId="8" fillId="0" borderId="0" xfId="0" applyNumberFormat="1" applyFont="1" applyAlignment="1" applyProtection="1">
      <alignment vertical="top" wrapText="1"/>
      <protection locked="0"/>
    </xf>
    <xf numFmtId="0" fontId="6" fillId="0" borderId="44" xfId="0" applyFont="1" applyBorder="1" applyAlignment="1" applyProtection="1">
      <alignment horizontal="left" vertical="top"/>
      <protection locked="0"/>
    </xf>
    <xf numFmtId="0" fontId="1" fillId="0" borderId="0" xfId="0" applyFont="1" applyProtection="1">
      <protection locked="0"/>
    </xf>
    <xf numFmtId="39" fontId="11" fillId="0" borderId="0" xfId="0" applyNumberFormat="1" applyFont="1" applyAlignment="1" applyProtection="1">
      <alignment horizontal="center" vertical="top"/>
      <protection locked="0"/>
    </xf>
    <xf numFmtId="39" fontId="11" fillId="0" borderId="0" xfId="0" applyNumberFormat="1" applyFont="1" applyAlignment="1" applyProtection="1">
      <alignment horizontal="center" vertical="top" wrapText="1"/>
      <protection locked="0"/>
    </xf>
    <xf numFmtId="164" fontId="11" fillId="0" borderId="0" xfId="1" applyFont="1" applyAlignment="1" applyProtection="1">
      <alignment horizontal="center" vertical="top"/>
      <protection locked="0"/>
    </xf>
    <xf numFmtId="39" fontId="7" fillId="2" borderId="49" xfId="0" applyNumberFormat="1" applyFont="1" applyFill="1" applyBorder="1" applyAlignment="1" applyProtection="1">
      <alignment vertical="center" wrapText="1"/>
      <protection locked="0"/>
    </xf>
    <xf numFmtId="39" fontId="7" fillId="2" borderId="49" xfId="0" applyNumberFormat="1" applyFont="1" applyFill="1" applyBorder="1" applyAlignment="1" applyProtection="1">
      <alignment vertical="top" wrapText="1"/>
      <protection locked="0"/>
    </xf>
    <xf numFmtId="0" fontId="6" fillId="0" borderId="25" xfId="0" applyFont="1" applyBorder="1" applyAlignment="1" applyProtection="1">
      <alignment horizontal="left" vertical="top" indent="2"/>
      <protection locked="0"/>
    </xf>
    <xf numFmtId="164" fontId="6" fillId="0" borderId="33" xfId="0" applyNumberFormat="1" applyFont="1" applyBorder="1" applyAlignment="1" applyProtection="1">
      <alignment horizontal="right" vertical="top" wrapText="1"/>
      <protection locked="0"/>
    </xf>
    <xf numFmtId="0" fontId="8" fillId="0" borderId="33" xfId="0" applyFont="1" applyBorder="1" applyAlignment="1" applyProtection="1">
      <alignment horizontal="justify" vertical="top" wrapText="1"/>
      <protection locked="0"/>
    </xf>
    <xf numFmtId="0" fontId="7" fillId="4" borderId="33" xfId="0" applyFont="1" applyFill="1" applyBorder="1" applyAlignment="1" applyProtection="1">
      <alignment vertical="top"/>
      <protection locked="0"/>
    </xf>
    <xf numFmtId="164" fontId="7" fillId="4" borderId="55" xfId="1" applyFont="1" applyFill="1" applyBorder="1" applyAlignment="1" applyProtection="1">
      <alignment horizontal="right" vertical="top"/>
    </xf>
    <xf numFmtId="0" fontId="8" fillId="0" borderId="40" xfId="0" applyFont="1" applyBorder="1" applyAlignment="1" applyProtection="1">
      <alignment horizontal="justify" vertical="top" wrapText="1"/>
      <protection locked="0"/>
    </xf>
    <xf numFmtId="0" fontId="7" fillId="4" borderId="41" xfId="0" applyFont="1" applyFill="1" applyBorder="1" applyAlignment="1" applyProtection="1">
      <alignment vertical="top"/>
      <protection locked="0"/>
    </xf>
    <xf numFmtId="0" fontId="8" fillId="0" borderId="41" xfId="0" applyFont="1" applyBorder="1" applyAlignment="1" applyProtection="1">
      <alignment horizontal="justify" vertical="top" wrapText="1"/>
      <protection locked="0"/>
    </xf>
    <xf numFmtId="0" fontId="8" fillId="0" borderId="32" xfId="0" applyFont="1" applyBorder="1" applyAlignment="1" applyProtection="1">
      <alignment horizontal="justify" vertical="top" wrapText="1"/>
      <protection locked="0"/>
    </xf>
    <xf numFmtId="0" fontId="8" fillId="0" borderId="32" xfId="0" applyFont="1" applyBorder="1" applyAlignment="1" applyProtection="1">
      <alignment horizontal="center" vertical="top" wrapText="1"/>
      <protection locked="0"/>
    </xf>
    <xf numFmtId="0" fontId="8" fillId="0" borderId="27" xfId="0" applyFont="1" applyBorder="1" applyAlignment="1" applyProtection="1">
      <alignment vertical="top"/>
      <protection locked="0"/>
    </xf>
    <xf numFmtId="0" fontId="50" fillId="0" borderId="0" xfId="0" applyFont="1" applyProtection="1">
      <protection locked="0"/>
    </xf>
    <xf numFmtId="0" fontId="6" fillId="5" borderId="33" xfId="0" applyFont="1" applyFill="1" applyBorder="1" applyAlignment="1" applyProtection="1">
      <alignment horizontal="center" vertical="center" wrapText="1"/>
      <protection locked="0"/>
    </xf>
    <xf numFmtId="164" fontId="6" fillId="0" borderId="24" xfId="1" applyFont="1" applyFill="1" applyBorder="1" applyAlignment="1" applyProtection="1">
      <alignment vertical="top"/>
    </xf>
    <xf numFmtId="164" fontId="6" fillId="4" borderId="45" xfId="1" applyFont="1" applyFill="1" applyBorder="1" applyAlignment="1" applyProtection="1">
      <alignment vertical="top"/>
    </xf>
    <xf numFmtId="0" fontId="6" fillId="0" borderId="10" xfId="0" applyFont="1" applyBorder="1" applyProtection="1">
      <protection locked="0"/>
    </xf>
    <xf numFmtId="0" fontId="6" fillId="0" borderId="12" xfId="0" applyFont="1" applyBorder="1" applyProtection="1">
      <protection locked="0"/>
    </xf>
    <xf numFmtId="0" fontId="0" fillId="3" borderId="0" xfId="0" applyFill="1" applyProtection="1">
      <protection locked="0"/>
    </xf>
    <xf numFmtId="0" fontId="6" fillId="3" borderId="12" xfId="0" applyFont="1" applyFill="1" applyBorder="1" applyProtection="1">
      <protection locked="0"/>
    </xf>
    <xf numFmtId="0" fontId="6" fillId="13" borderId="12" xfId="0" applyFont="1" applyFill="1" applyBorder="1" applyProtection="1">
      <protection locked="0"/>
    </xf>
    <xf numFmtId="0" fontId="40" fillId="0" borderId="12" xfId="0" applyFont="1" applyBorder="1" applyProtection="1">
      <protection locked="0"/>
    </xf>
    <xf numFmtId="0" fontId="40" fillId="0" borderId="61" xfId="0" applyFont="1" applyBorder="1" applyProtection="1">
      <protection locked="0"/>
    </xf>
    <xf numFmtId="0" fontId="23" fillId="0" borderId="12" xfId="0" applyFont="1" applyBorder="1" applyProtection="1">
      <protection locked="0"/>
    </xf>
    <xf numFmtId="0" fontId="7" fillId="0" borderId="21" xfId="0" applyFont="1" applyBorder="1" applyAlignment="1" applyProtection="1">
      <alignment horizontal="left"/>
      <protection locked="0"/>
    </xf>
    <xf numFmtId="0" fontId="23" fillId="0" borderId="14" xfId="0" applyFont="1" applyBorder="1" applyProtection="1">
      <protection locked="0"/>
    </xf>
    <xf numFmtId="0" fontId="23" fillId="0" borderId="0" xfId="0" applyFont="1" applyProtection="1">
      <protection locked="0"/>
    </xf>
    <xf numFmtId="0" fontId="44" fillId="0" borderId="0" xfId="0" applyFont="1" applyProtection="1">
      <protection locked="0"/>
    </xf>
    <xf numFmtId="0" fontId="23" fillId="0" borderId="0" xfId="0" applyFont="1" applyAlignment="1" applyProtection="1">
      <alignment horizontal="left"/>
      <protection locked="0"/>
    </xf>
    <xf numFmtId="0" fontId="7" fillId="0" borderId="0" xfId="0" applyFont="1" applyAlignment="1" applyProtection="1">
      <alignment horizontal="left" wrapText="1"/>
      <protection locked="0"/>
    </xf>
    <xf numFmtId="164" fontId="0" fillId="0" borderId="0" xfId="1" applyFont="1" applyAlignment="1" applyProtection="1">
      <alignment horizontal="left"/>
      <protection locked="0"/>
    </xf>
    <xf numFmtId="0" fontId="0" fillId="5" borderId="64" xfId="0" applyFill="1" applyBorder="1" applyProtection="1">
      <protection locked="0"/>
    </xf>
    <xf numFmtId="0" fontId="0" fillId="5" borderId="45" xfId="0" applyFill="1" applyBorder="1" applyProtection="1">
      <protection locked="0"/>
    </xf>
    <xf numFmtId="0" fontId="0" fillId="5" borderId="50" xfId="0" applyFill="1" applyBorder="1" applyProtection="1">
      <protection locked="0"/>
    </xf>
    <xf numFmtId="0" fontId="0" fillId="5" borderId="65" xfId="0" applyFill="1" applyBorder="1" applyProtection="1">
      <protection locked="0"/>
    </xf>
    <xf numFmtId="0" fontId="0" fillId="0" borderId="63" xfId="0" applyBorder="1" applyProtection="1">
      <protection locked="0"/>
    </xf>
    <xf numFmtId="0" fontId="7" fillId="0" borderId="30" xfId="0" applyFont="1" applyBorder="1" applyProtection="1">
      <protection locked="0"/>
    </xf>
    <xf numFmtId="0" fontId="0" fillId="0" borderId="30" xfId="0" applyBorder="1" applyProtection="1">
      <protection locked="0"/>
    </xf>
    <xf numFmtId="0" fontId="0" fillId="0" borderId="51" xfId="0" applyBorder="1" applyProtection="1">
      <protection locked="0"/>
    </xf>
    <xf numFmtId="0" fontId="0" fillId="0" borderId="12" xfId="0" applyBorder="1" applyProtection="1">
      <protection locked="0"/>
    </xf>
    <xf numFmtId="0" fontId="0" fillId="0" borderId="29"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42" xfId="0" applyBorder="1" applyProtection="1">
      <protection locked="0"/>
    </xf>
    <xf numFmtId="0" fontId="0" fillId="0" borderId="15" xfId="0" applyBorder="1" applyProtection="1">
      <protection locked="0"/>
    </xf>
    <xf numFmtId="0" fontId="7" fillId="5" borderId="45" xfId="0" applyFont="1" applyFill="1" applyBorder="1" applyProtection="1">
      <protection locked="0"/>
    </xf>
    <xf numFmtId="0" fontId="7" fillId="0" borderId="12" xfId="0" applyFont="1" applyBorder="1" applyProtection="1">
      <protection locked="0"/>
    </xf>
    <xf numFmtId="0" fontId="7" fillId="0" borderId="29" xfId="0" applyFont="1" applyBorder="1" applyProtection="1">
      <protection locked="0"/>
    </xf>
    <xf numFmtId="0" fontId="7" fillId="0" borderId="42" xfId="0" applyFont="1" applyBorder="1" applyProtection="1">
      <protection locked="0"/>
    </xf>
    <xf numFmtId="0" fontId="0" fillId="5" borderId="10"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7" fillId="5" borderId="37" xfId="0" applyFont="1" applyFill="1" applyBorder="1" applyAlignment="1" applyProtection="1">
      <alignment horizontal="center"/>
      <protection locked="0"/>
    </xf>
    <xf numFmtId="0" fontId="0" fillId="5" borderId="11" xfId="0" applyFill="1" applyBorder="1" applyAlignment="1" applyProtection="1">
      <alignment horizontal="center"/>
      <protection locked="0"/>
    </xf>
    <xf numFmtId="0" fontId="0" fillId="0" borderId="31" xfId="0" applyBorder="1" applyProtection="1">
      <protection locked="0"/>
    </xf>
    <xf numFmtId="0" fontId="0" fillId="0" borderId="0" xfId="0" applyAlignment="1" applyProtection="1">
      <alignment horizontal="center"/>
      <protection locked="0"/>
    </xf>
    <xf numFmtId="0" fontId="52" fillId="0" borderId="0" xfId="0" applyFont="1" applyAlignment="1" applyProtection="1">
      <alignment horizontal="center" vertical="center"/>
      <protection locked="0"/>
    </xf>
    <xf numFmtId="0" fontId="15" fillId="0" borderId="0" xfId="0" applyFont="1" applyProtection="1">
      <protection locked="0"/>
    </xf>
    <xf numFmtId="164" fontId="6" fillId="8" borderId="18" xfId="1" applyFont="1" applyFill="1" applyBorder="1" applyAlignment="1" applyProtection="1">
      <alignment horizontal="right" vertical="top"/>
      <protection locked="0"/>
    </xf>
    <xf numFmtId="164" fontId="6" fillId="9" borderId="18" xfId="1" applyFont="1" applyFill="1" applyBorder="1" applyAlignment="1" applyProtection="1">
      <alignment horizontal="right" vertical="top"/>
      <protection locked="0"/>
    </xf>
    <xf numFmtId="0" fontId="7" fillId="9" borderId="33" xfId="0" applyFont="1" applyFill="1" applyBorder="1" applyAlignment="1" applyProtection="1">
      <alignment vertical="top"/>
      <protection locked="0"/>
    </xf>
    <xf numFmtId="0" fontId="6" fillId="9" borderId="33" xfId="0" applyFont="1" applyFill="1" applyBorder="1" applyAlignment="1" applyProtection="1">
      <alignment horizontal="center" vertical="top"/>
      <protection locked="0"/>
    </xf>
    <xf numFmtId="0" fontId="6" fillId="0" borderId="25" xfId="1" applyNumberFormat="1" applyFont="1" applyFill="1" applyBorder="1" applyAlignment="1" applyProtection="1">
      <alignment horizontal="center" vertical="top"/>
    </xf>
    <xf numFmtId="164" fontId="7" fillId="0" borderId="25" xfId="1" applyFont="1" applyBorder="1" applyAlignment="1" applyProtection="1">
      <alignment vertical="top"/>
    </xf>
    <xf numFmtId="164" fontId="0" fillId="4" borderId="25" xfId="1" applyFont="1" applyFill="1" applyBorder="1" applyAlignment="1" applyProtection="1">
      <alignment vertical="top"/>
    </xf>
    <xf numFmtId="0" fontId="13" fillId="0" borderId="0" xfId="0" applyFont="1" applyProtection="1">
      <protection locked="0"/>
    </xf>
    <xf numFmtId="0" fontId="6" fillId="10" borderId="18" xfId="0" applyFont="1" applyFill="1" applyBorder="1" applyAlignment="1" applyProtection="1">
      <alignment horizontal="right" vertical="top" wrapText="1"/>
      <protection locked="0"/>
    </xf>
    <xf numFmtId="0" fontId="6" fillId="8" borderId="24" xfId="0" applyFont="1" applyFill="1" applyBorder="1" applyAlignment="1" applyProtection="1">
      <alignment horizontal="right" vertical="top"/>
      <protection locked="0"/>
    </xf>
    <xf numFmtId="164" fontId="7" fillId="8" borderId="25" xfId="1" applyFont="1" applyFill="1" applyBorder="1" applyAlignment="1" applyProtection="1">
      <alignment horizontal="right" vertical="top" wrapText="1"/>
      <protection locked="0"/>
    </xf>
    <xf numFmtId="164" fontId="7" fillId="8" borderId="25" xfId="1" applyFont="1" applyFill="1" applyBorder="1" applyAlignment="1" applyProtection="1">
      <alignment horizontal="center" vertical="top"/>
      <protection locked="0"/>
    </xf>
    <xf numFmtId="164" fontId="6" fillId="8" borderId="32" xfId="1" applyFont="1" applyFill="1" applyBorder="1" applyAlignment="1" applyProtection="1">
      <alignment horizontal="right" vertical="top"/>
      <protection locked="0"/>
    </xf>
    <xf numFmtId="164" fontId="6" fillId="9" borderId="32" xfId="1" applyFont="1" applyFill="1" applyBorder="1" applyAlignment="1" applyProtection="1">
      <alignment horizontal="right" vertical="top"/>
      <protection locked="0"/>
    </xf>
    <xf numFmtId="0" fontId="6" fillId="0" borderId="44" xfId="0" applyFont="1" applyBorder="1" applyAlignment="1" applyProtection="1">
      <alignment horizontal="center" vertical="top"/>
      <protection locked="0"/>
    </xf>
    <xf numFmtId="0" fontId="6" fillId="0" borderId="32" xfId="0" applyFont="1" applyBorder="1" applyAlignment="1" applyProtection="1">
      <alignment horizontal="center" vertical="top"/>
      <protection locked="0"/>
    </xf>
    <xf numFmtId="0" fontId="7" fillId="9" borderId="33" xfId="0" applyFont="1" applyFill="1" applyBorder="1" applyAlignment="1" applyProtection="1">
      <alignment vertical="top" wrapText="1"/>
      <protection locked="0"/>
    </xf>
    <xf numFmtId="164" fontId="6" fillId="8" borderId="18" xfId="1" applyFont="1" applyFill="1" applyBorder="1" applyAlignment="1" applyProtection="1">
      <alignment horizontal="right" vertical="top" wrapText="1"/>
    </xf>
    <xf numFmtId="164" fontId="6" fillId="9" borderId="18" xfId="1" applyFont="1" applyFill="1" applyBorder="1" applyAlignment="1" applyProtection="1">
      <alignment horizontal="right" vertical="top" wrapText="1"/>
    </xf>
    <xf numFmtId="164" fontId="7" fillId="4" borderId="32" xfId="1" applyFont="1" applyFill="1" applyBorder="1" applyAlignment="1" applyProtection="1">
      <alignment horizontal="right" vertical="top" wrapText="1"/>
    </xf>
    <xf numFmtId="164" fontId="7" fillId="0" borderId="32" xfId="1" applyFont="1" applyFill="1" applyBorder="1" applyAlignment="1" applyProtection="1">
      <alignment horizontal="right" vertical="top" wrapText="1"/>
    </xf>
    <xf numFmtId="164" fontId="8" fillId="9" borderId="33" xfId="1" applyFont="1" applyFill="1" applyBorder="1" applyAlignment="1" applyProtection="1">
      <alignment horizontal="right" vertical="top"/>
      <protection locked="0"/>
    </xf>
    <xf numFmtId="164" fontId="8" fillId="9" borderId="33" xfId="1" applyFont="1" applyFill="1" applyBorder="1" applyAlignment="1" applyProtection="1">
      <alignment vertical="top"/>
      <protection locked="0"/>
    </xf>
    <xf numFmtId="164" fontId="6" fillId="9" borderId="29" xfId="1" applyFont="1" applyFill="1" applyBorder="1" applyAlignment="1" applyProtection="1">
      <alignment horizontal="right" vertical="top"/>
      <protection locked="0"/>
    </xf>
    <xf numFmtId="164" fontId="23" fillId="0" borderId="31" xfId="1" applyFont="1" applyBorder="1" applyAlignment="1" applyProtection="1">
      <alignment horizontal="right" vertical="top"/>
      <protection locked="0"/>
    </xf>
    <xf numFmtId="164" fontId="7" fillId="9" borderId="30" xfId="1" applyFont="1" applyFill="1" applyBorder="1" applyAlignment="1" applyProtection="1">
      <alignment horizontal="right" vertical="top"/>
      <protection locked="0"/>
    </xf>
    <xf numFmtId="164" fontId="8" fillId="9" borderId="33" xfId="1" applyFont="1" applyFill="1" applyBorder="1" applyAlignment="1" applyProtection="1">
      <alignment vertical="top"/>
    </xf>
    <xf numFmtId="164" fontId="23" fillId="9" borderId="33" xfId="1" applyFont="1" applyFill="1" applyBorder="1" applyAlignment="1" applyProtection="1">
      <alignment horizontal="right" vertical="top"/>
    </xf>
    <xf numFmtId="164" fontId="6" fillId="9" borderId="29" xfId="1" applyFont="1" applyFill="1" applyBorder="1" applyAlignment="1" applyProtection="1">
      <alignment horizontal="right" vertical="top"/>
    </xf>
    <xf numFmtId="164" fontId="8" fillId="9" borderId="29" xfId="1" applyFont="1" applyFill="1" applyBorder="1" applyAlignment="1" applyProtection="1">
      <alignment horizontal="right" vertical="top"/>
    </xf>
    <xf numFmtId="164" fontId="23" fillId="0" borderId="31" xfId="1" applyFont="1" applyBorder="1" applyAlignment="1" applyProtection="1">
      <alignment horizontal="right" vertical="top"/>
    </xf>
    <xf numFmtId="164" fontId="23" fillId="4" borderId="45" xfId="1" applyFont="1" applyFill="1" applyBorder="1" applyAlignment="1" applyProtection="1">
      <alignment horizontal="right" vertical="top"/>
    </xf>
    <xf numFmtId="164" fontId="23" fillId="4" borderId="57" xfId="1" applyFont="1" applyFill="1" applyBorder="1" applyAlignment="1" applyProtection="1">
      <alignment horizontal="right" vertical="top"/>
    </xf>
    <xf numFmtId="164" fontId="8" fillId="0" borderId="48" xfId="1" applyFont="1" applyBorder="1" applyAlignment="1" applyProtection="1">
      <alignment horizontal="right" vertical="top"/>
    </xf>
    <xf numFmtId="164" fontId="11" fillId="0" borderId="0" xfId="1" applyFont="1" applyAlignment="1" applyProtection="1">
      <alignment vertical="top"/>
    </xf>
    <xf numFmtId="0" fontId="0" fillId="0" borderId="0" xfId="0" applyAlignment="1" applyProtection="1">
      <alignment horizontal="justify" vertical="top"/>
      <protection locked="0"/>
    </xf>
    <xf numFmtId="0" fontId="0" fillId="0" borderId="0" xfId="0" applyAlignment="1" applyProtection="1">
      <alignment horizontal="left" wrapText="1"/>
      <protection locked="0"/>
    </xf>
    <xf numFmtId="0" fontId="15" fillId="0" borderId="0" xfId="0" applyFont="1" applyAlignment="1" applyProtection="1">
      <alignment horizontal="justify" vertical="center"/>
      <protection locked="0"/>
    </xf>
    <xf numFmtId="0" fontId="0" fillId="0" borderId="0" xfId="0" applyAlignment="1" applyProtection="1">
      <alignment horizontal="justify" vertical="justify"/>
      <protection locked="0"/>
    </xf>
    <xf numFmtId="0" fontId="26" fillId="0" borderId="0" xfId="0" applyFont="1" applyAlignment="1" applyProtection="1">
      <alignment horizontal="center" vertical="top" wrapText="1"/>
      <protection locked="0"/>
    </xf>
    <xf numFmtId="0" fontId="27" fillId="0" borderId="0" xfId="0" applyFont="1" applyAlignment="1" applyProtection="1">
      <alignment horizontal="center" vertical="top"/>
      <protection locked="0"/>
    </xf>
    <xf numFmtId="0" fontId="28" fillId="0" borderId="0" xfId="0" applyFont="1" applyAlignment="1" applyProtection="1">
      <alignment vertical="top" wrapText="1"/>
      <protection locked="0"/>
    </xf>
    <xf numFmtId="0" fontId="28" fillId="0" borderId="0" xfId="0" applyFont="1" applyAlignment="1" applyProtection="1">
      <alignment vertical="center" wrapText="1"/>
      <protection locked="0"/>
    </xf>
    <xf numFmtId="0" fontId="23" fillId="5" borderId="22" xfId="0" applyFont="1" applyFill="1" applyBorder="1" applyAlignment="1" applyProtection="1">
      <alignment horizontal="center" vertical="center" wrapText="1"/>
      <protection locked="0"/>
    </xf>
    <xf numFmtId="164" fontId="23" fillId="0" borderId="37" xfId="1" applyFont="1" applyBorder="1" applyProtection="1">
      <protection locked="0"/>
    </xf>
    <xf numFmtId="164" fontId="8" fillId="0" borderId="37" xfId="1" applyFont="1" applyBorder="1" applyProtection="1">
      <protection locked="0"/>
    </xf>
    <xf numFmtId="164" fontId="23" fillId="0" borderId="29" xfId="1" applyFont="1" applyBorder="1" applyProtection="1">
      <protection locked="0"/>
    </xf>
    <xf numFmtId="164" fontId="7" fillId="0" borderId="29" xfId="1" applyFont="1" applyBorder="1" applyAlignment="1" applyProtection="1">
      <alignment horizontal="right"/>
      <protection locked="0"/>
    </xf>
    <xf numFmtId="164" fontId="7" fillId="0" borderId="29" xfId="1" applyFont="1" applyBorder="1" applyProtection="1">
      <protection locked="0"/>
    </xf>
    <xf numFmtId="164" fontId="7" fillId="0" borderId="30" xfId="1" applyFont="1" applyBorder="1" applyAlignment="1" applyProtection="1">
      <alignment horizontal="right"/>
      <protection locked="0"/>
    </xf>
    <xf numFmtId="164" fontId="7" fillId="0" borderId="46" xfId="1" applyFont="1" applyBorder="1" applyAlignment="1" applyProtection="1">
      <alignment horizontal="right"/>
      <protection locked="0"/>
    </xf>
    <xf numFmtId="0" fontId="11"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49" fillId="0" borderId="0" xfId="0" applyFont="1" applyProtection="1">
      <protection locked="0"/>
    </xf>
    <xf numFmtId="164" fontId="23" fillId="0" borderId="29" xfId="1" applyFont="1" applyBorder="1" applyProtection="1"/>
    <xf numFmtId="164" fontId="7" fillId="0" borderId="29" xfId="1" applyFont="1" applyBorder="1" applyAlignment="1" applyProtection="1">
      <alignment horizontal="right"/>
    </xf>
    <xf numFmtId="164" fontId="23" fillId="0" borderId="45" xfId="1" applyFont="1" applyBorder="1" applyAlignment="1" applyProtection="1">
      <alignment horizontal="right"/>
    </xf>
    <xf numFmtId="164" fontId="6" fillId="0" borderId="29" xfId="1" applyFont="1" applyBorder="1" applyAlignment="1" applyProtection="1">
      <alignment horizontal="right"/>
    </xf>
    <xf numFmtId="164" fontId="23" fillId="4" borderId="45" xfId="1" applyFont="1" applyFill="1" applyBorder="1" applyAlignment="1" applyProtection="1">
      <alignment horizontal="right"/>
    </xf>
    <xf numFmtId="0" fontId="14" fillId="0" borderId="0" xfId="0" applyFont="1" applyProtection="1">
      <protection locked="0"/>
    </xf>
    <xf numFmtId="0" fontId="6" fillId="5" borderId="19" xfId="0" applyFont="1" applyFill="1" applyBorder="1" applyAlignment="1" applyProtection="1">
      <alignment horizontal="center" vertical="center" wrapText="1"/>
      <protection locked="0"/>
    </xf>
    <xf numFmtId="0" fontId="6" fillId="5" borderId="22" xfId="0" applyFont="1" applyFill="1" applyBorder="1" applyAlignment="1" applyProtection="1">
      <alignment horizontal="center" vertical="center" wrapText="1"/>
      <protection locked="0"/>
    </xf>
    <xf numFmtId="0" fontId="6" fillId="5" borderId="17" xfId="0" applyFont="1" applyFill="1" applyBorder="1" applyAlignment="1" applyProtection="1">
      <alignment horizontal="center" vertical="center" wrapText="1"/>
      <protection locked="0"/>
    </xf>
    <xf numFmtId="0" fontId="23" fillId="0" borderId="47" xfId="0" applyFont="1" applyBorder="1" applyProtection="1">
      <protection locked="0"/>
    </xf>
    <xf numFmtId="0" fontId="7" fillId="0" borderId="48" xfId="0" applyFont="1" applyBorder="1" applyProtection="1">
      <protection locked="0"/>
    </xf>
    <xf numFmtId="0" fontId="6" fillId="0" borderId="49" xfId="0" applyFont="1" applyBorder="1" applyProtection="1">
      <protection locked="0"/>
    </xf>
    <xf numFmtId="164" fontId="7" fillId="0" borderId="31" xfId="1" applyFont="1" applyBorder="1" applyProtection="1">
      <protection locked="0"/>
    </xf>
    <xf numFmtId="0" fontId="7" fillId="0" borderId="49" xfId="0" applyFont="1" applyBorder="1" applyProtection="1">
      <protection locked="0"/>
    </xf>
    <xf numFmtId="164" fontId="7" fillId="0" borderId="30" xfId="1" applyFont="1" applyBorder="1" applyProtection="1">
      <protection locked="0"/>
    </xf>
    <xf numFmtId="164" fontId="7" fillId="0" borderId="48" xfId="1" applyFont="1" applyBorder="1" applyProtection="1">
      <protection locked="0"/>
    </xf>
    <xf numFmtId="0" fontId="0" fillId="15" borderId="0" xfId="0" applyFill="1" applyAlignment="1" applyProtection="1">
      <alignment horizontal="center" vertical="center"/>
      <protection locked="0"/>
    </xf>
    <xf numFmtId="0" fontId="6" fillId="0" borderId="41" xfId="0" applyFont="1" applyBorder="1" applyProtection="1">
      <protection locked="0"/>
    </xf>
    <xf numFmtId="164" fontId="7" fillId="0" borderId="29" xfId="1" applyFont="1" applyBorder="1" applyProtection="1"/>
    <xf numFmtId="164" fontId="7" fillId="0" borderId="31" xfId="1" applyFont="1" applyBorder="1" applyProtection="1"/>
    <xf numFmtId="164" fontId="6" fillId="0" borderId="45" xfId="1" applyFont="1" applyBorder="1" applyProtection="1"/>
    <xf numFmtId="164" fontId="6" fillId="0" borderId="57" xfId="1" applyFont="1" applyBorder="1" applyProtection="1"/>
    <xf numFmtId="164" fontId="6" fillId="4" borderId="45" xfId="1" applyFont="1" applyFill="1" applyBorder="1" applyAlignment="1" applyProtection="1">
      <alignment horizontal="left"/>
    </xf>
    <xf numFmtId="164" fontId="6" fillId="4" borderId="45" xfId="1" applyFont="1" applyFill="1" applyBorder="1" applyProtection="1"/>
    <xf numFmtId="164" fontId="6" fillId="4" borderId="57" xfId="1" applyFont="1" applyFill="1" applyBorder="1" applyProtection="1"/>
    <xf numFmtId="164" fontId="6" fillId="0" borderId="28" xfId="1" applyFont="1" applyBorder="1" applyProtection="1"/>
    <xf numFmtId="164" fontId="6" fillId="0" borderId="58" xfId="1" applyFont="1" applyBorder="1" applyProtection="1"/>
    <xf numFmtId="0" fontId="6" fillId="9" borderId="0" xfId="0" applyFont="1" applyFill="1" applyAlignment="1" applyProtection="1">
      <alignment horizontal="left" vertical="top"/>
      <protection locked="0"/>
    </xf>
    <xf numFmtId="0" fontId="6" fillId="9" borderId="0" xfId="0" applyFont="1" applyFill="1" applyAlignment="1" applyProtection="1">
      <alignment vertical="top"/>
      <protection locked="0"/>
    </xf>
    <xf numFmtId="0" fontId="6" fillId="10" borderId="16" xfId="0" applyFont="1" applyFill="1" applyBorder="1" applyAlignment="1" applyProtection="1">
      <alignment horizontal="center" vertical="center" wrapText="1"/>
      <protection locked="0"/>
    </xf>
    <xf numFmtId="164" fontId="6" fillId="0" borderId="18" xfId="1" applyFont="1" applyBorder="1" applyAlignment="1" applyProtection="1"/>
    <xf numFmtId="164" fontId="7" fillId="4" borderId="25" xfId="1" applyFont="1" applyFill="1" applyBorder="1" applyAlignment="1" applyProtection="1"/>
    <xf numFmtId="164" fontId="7" fillId="0" borderId="25" xfId="1" applyFont="1" applyBorder="1" applyAlignment="1" applyProtection="1"/>
    <xf numFmtId="164" fontId="7" fillId="0" borderId="33" xfId="1" applyFont="1" applyBorder="1" applyAlignment="1" applyProtection="1"/>
    <xf numFmtId="164" fontId="7" fillId="4" borderId="18" xfId="1" applyFont="1" applyFill="1" applyBorder="1" applyAlignment="1" applyProtection="1"/>
    <xf numFmtId="164" fontId="7" fillId="0" borderId="18" xfId="1" applyFont="1" applyBorder="1" applyAlignment="1" applyProtection="1"/>
    <xf numFmtId="164" fontId="7" fillId="4" borderId="33" xfId="1" applyFont="1" applyFill="1" applyBorder="1" applyAlignment="1" applyProtection="1"/>
    <xf numFmtId="0" fontId="6" fillId="0" borderId="0" xfId="0" applyFont="1" applyAlignment="1" applyProtection="1">
      <alignment horizontal="right"/>
      <protection locked="0"/>
    </xf>
    <xf numFmtId="164" fontId="7" fillId="4" borderId="0" xfId="1" applyFont="1" applyFill="1" applyAlignment="1" applyProtection="1"/>
    <xf numFmtId="164" fontId="7" fillId="0" borderId="0" xfId="1" applyFont="1" applyAlignment="1" applyProtection="1"/>
    <xf numFmtId="164" fontId="7" fillId="4" borderId="44" xfId="1" applyFont="1" applyFill="1" applyBorder="1" applyAlignment="1" applyProtection="1"/>
    <xf numFmtId="164" fontId="7" fillId="0" borderId="44" xfId="1" applyFont="1" applyBorder="1" applyAlignment="1" applyProtection="1"/>
    <xf numFmtId="164" fontId="0" fillId="0" borderId="18" xfId="1" applyFont="1" applyBorder="1" applyProtection="1"/>
    <xf numFmtId="0" fontId="6" fillId="10" borderId="18" xfId="0" applyFont="1" applyFill="1" applyBorder="1" applyAlignment="1" applyProtection="1">
      <alignment horizontal="right" vertical="top"/>
      <protection locked="0"/>
    </xf>
    <xf numFmtId="0" fontId="6" fillId="8" borderId="18" xfId="0" applyFont="1" applyFill="1" applyBorder="1" applyAlignment="1" applyProtection="1">
      <alignment vertical="top"/>
      <protection locked="0"/>
    </xf>
    <xf numFmtId="0" fontId="6" fillId="8" borderId="18" xfId="0" applyFont="1" applyFill="1" applyBorder="1" applyAlignment="1" applyProtection="1">
      <alignment horizontal="right" vertical="top"/>
      <protection locked="0"/>
    </xf>
    <xf numFmtId="0" fontId="0" fillId="9" borderId="25" xfId="0" applyFill="1" applyBorder="1" applyAlignment="1" applyProtection="1">
      <alignment horizontal="left" vertical="top"/>
      <protection locked="0"/>
    </xf>
    <xf numFmtId="164" fontId="6" fillId="0" borderId="25" xfId="1" applyFont="1" applyFill="1" applyBorder="1" applyAlignment="1" applyProtection="1">
      <alignment horizontal="right" vertical="top"/>
      <protection locked="0"/>
    </xf>
    <xf numFmtId="164" fontId="6" fillId="0" borderId="27" xfId="1" applyFont="1" applyFill="1" applyBorder="1" applyAlignment="1" applyProtection="1">
      <alignment horizontal="right" vertical="top"/>
      <protection locked="0"/>
    </xf>
    <xf numFmtId="164" fontId="6" fillId="0" borderId="18" xfId="1" applyFont="1" applyBorder="1" applyAlignment="1" applyProtection="1">
      <alignment horizontal="right" vertical="top"/>
      <protection locked="0"/>
    </xf>
    <xf numFmtId="0" fontId="7" fillId="9" borderId="32" xfId="0" applyFont="1" applyFill="1" applyBorder="1" applyAlignment="1" applyProtection="1">
      <alignment horizontal="left" vertical="top"/>
      <protection locked="0"/>
    </xf>
    <xf numFmtId="0" fontId="7" fillId="4" borderId="33" xfId="0" applyFont="1" applyFill="1" applyBorder="1" applyAlignment="1" applyProtection="1">
      <alignment horizontal="right" vertical="top"/>
      <protection locked="0"/>
    </xf>
    <xf numFmtId="0" fontId="7" fillId="0" borderId="33" xfId="0" applyFont="1" applyBorder="1" applyAlignment="1" applyProtection="1">
      <alignment horizontal="right" vertical="top"/>
      <protection locked="0"/>
    </xf>
    <xf numFmtId="0" fontId="7" fillId="9" borderId="0" xfId="0" applyFont="1" applyFill="1" applyAlignment="1" applyProtection="1">
      <alignment horizontal="left" vertical="top"/>
      <protection locked="0"/>
    </xf>
    <xf numFmtId="0" fontId="7" fillId="4" borderId="44" xfId="0" applyFont="1" applyFill="1" applyBorder="1" applyAlignment="1" applyProtection="1">
      <alignment horizontal="right" vertical="top"/>
      <protection locked="0"/>
    </xf>
    <xf numFmtId="0" fontId="7" fillId="0" borderId="44" xfId="0" applyFont="1" applyBorder="1" applyAlignment="1" applyProtection="1">
      <alignment horizontal="right" vertical="top"/>
      <protection locked="0"/>
    </xf>
    <xf numFmtId="0" fontId="7" fillId="4" borderId="24" xfId="0" applyFont="1" applyFill="1" applyBorder="1" applyAlignment="1" applyProtection="1">
      <alignment horizontal="right" vertical="top"/>
      <protection locked="0"/>
    </xf>
    <xf numFmtId="0" fontId="7" fillId="0" borderId="24" xfId="0" applyFont="1" applyBorder="1" applyAlignment="1" applyProtection="1">
      <alignment horizontal="right" vertical="top"/>
      <protection locked="0"/>
    </xf>
    <xf numFmtId="0" fontId="7" fillId="4" borderId="0" xfId="0" applyFont="1" applyFill="1" applyAlignment="1" applyProtection="1">
      <alignment horizontal="right" vertical="top"/>
      <protection locked="0"/>
    </xf>
    <xf numFmtId="0" fontId="6" fillId="8" borderId="0" xfId="0" applyFont="1" applyFill="1" applyAlignment="1" applyProtection="1">
      <alignment horizontal="right" vertical="top"/>
      <protection locked="0"/>
    </xf>
    <xf numFmtId="0" fontId="6" fillId="8" borderId="25" xfId="0" applyFont="1" applyFill="1" applyBorder="1" applyAlignment="1" applyProtection="1">
      <alignment horizontal="right" vertical="top"/>
      <protection locked="0"/>
    </xf>
    <xf numFmtId="0" fontId="6" fillId="8" borderId="44" xfId="0" applyFont="1" applyFill="1" applyBorder="1" applyAlignment="1" applyProtection="1">
      <alignment horizontal="right" vertical="top"/>
      <protection locked="0"/>
    </xf>
    <xf numFmtId="164" fontId="6" fillId="0" borderId="44" xfId="1" applyFont="1" applyBorder="1" applyAlignment="1" applyProtection="1">
      <alignment horizontal="right" vertical="top"/>
      <protection locked="0"/>
    </xf>
    <xf numFmtId="164" fontId="6" fillId="0" borderId="32" xfId="1" applyFont="1" applyFill="1" applyBorder="1" applyAlignment="1" applyProtection="1">
      <alignment horizontal="right" vertical="top"/>
      <protection locked="0"/>
    </xf>
    <xf numFmtId="0" fontId="7" fillId="4" borderId="18" xfId="0" applyFont="1" applyFill="1" applyBorder="1" applyAlignment="1" applyProtection="1">
      <alignment horizontal="right" vertical="top"/>
      <protection locked="0"/>
    </xf>
    <xf numFmtId="0" fontId="7" fillId="0" borderId="18" xfId="0" applyFont="1" applyBorder="1" applyAlignment="1" applyProtection="1">
      <alignment horizontal="right" vertical="top"/>
      <protection locked="0"/>
    </xf>
    <xf numFmtId="0" fontId="6" fillId="5" borderId="18" xfId="0" applyFont="1" applyFill="1" applyBorder="1" applyAlignment="1" applyProtection="1">
      <alignment horizontal="right" vertical="top"/>
      <protection locked="0"/>
    </xf>
    <xf numFmtId="164" fontId="7" fillId="0" borderId="33" xfId="1" applyFont="1" applyBorder="1" applyAlignment="1" applyProtection="1">
      <alignment horizontal="right" vertical="top"/>
      <protection locked="0"/>
    </xf>
    <xf numFmtId="0" fontId="6" fillId="8" borderId="24" xfId="0" applyFont="1" applyFill="1" applyBorder="1" applyAlignment="1" applyProtection="1">
      <alignment vertical="top"/>
      <protection locked="0"/>
    </xf>
    <xf numFmtId="0" fontId="0" fillId="9" borderId="0" xfId="0" applyFill="1" applyAlignment="1" applyProtection="1">
      <alignment horizontal="center" vertical="top"/>
      <protection locked="0"/>
    </xf>
    <xf numFmtId="0" fontId="6" fillId="10" borderId="18" xfId="0" applyFont="1" applyFill="1" applyBorder="1" applyProtection="1">
      <protection locked="0"/>
    </xf>
    <xf numFmtId="0" fontId="6" fillId="8" borderId="27" xfId="0" applyFont="1" applyFill="1" applyBorder="1" applyProtection="1">
      <protection locked="0"/>
    </xf>
    <xf numFmtId="0" fontId="0" fillId="0" borderId="44" xfId="0" applyBorder="1" applyAlignment="1" applyProtection="1">
      <alignment horizontal="right" vertical="top"/>
      <protection locked="0"/>
    </xf>
    <xf numFmtId="0" fontId="0" fillId="0" borderId="18" xfId="0" applyBorder="1" applyAlignment="1" applyProtection="1">
      <alignment horizontal="right" vertical="top"/>
      <protection locked="0"/>
    </xf>
    <xf numFmtId="0" fontId="6" fillId="5" borderId="24" xfId="0" applyFont="1" applyFill="1" applyBorder="1" applyAlignment="1" applyProtection="1">
      <alignment horizontal="center" vertical="top"/>
      <protection locked="0"/>
    </xf>
    <xf numFmtId="0" fontId="6" fillId="4" borderId="18" xfId="0" applyFont="1" applyFill="1" applyBorder="1" applyAlignment="1" applyProtection="1">
      <alignment horizontal="right" vertical="top"/>
      <protection locked="0"/>
    </xf>
    <xf numFmtId="0" fontId="0" fillId="9" borderId="0" xfId="0" applyFill="1" applyAlignment="1" applyProtection="1">
      <alignment horizontal="right" vertical="top"/>
      <protection locked="0"/>
    </xf>
    <xf numFmtId="0" fontId="8" fillId="9" borderId="25" xfId="0" applyFont="1" applyFill="1" applyBorder="1" applyAlignment="1" applyProtection="1">
      <alignment horizontal="left" vertical="top"/>
      <protection locked="0"/>
    </xf>
    <xf numFmtId="164" fontId="7" fillId="0" borderId="44" xfId="1" applyFont="1" applyBorder="1" applyAlignment="1" applyProtection="1">
      <alignment horizontal="right" vertical="top"/>
      <protection locked="0"/>
    </xf>
    <xf numFmtId="164" fontId="6" fillId="4" borderId="44" xfId="1" applyFont="1" applyFill="1" applyBorder="1" applyAlignment="1" applyProtection="1">
      <alignment horizontal="right" vertical="top"/>
    </xf>
    <xf numFmtId="164" fontId="6" fillId="0" borderId="44" xfId="1" applyFont="1" applyFill="1" applyBorder="1" applyAlignment="1" applyProtection="1">
      <alignment horizontal="right" vertical="top"/>
    </xf>
    <xf numFmtId="164" fontId="6" fillId="8" borderId="44" xfId="1" applyFont="1" applyFill="1" applyBorder="1" applyAlignment="1" applyProtection="1">
      <alignment horizontal="right" vertical="top"/>
    </xf>
    <xf numFmtId="164" fontId="6" fillId="0" borderId="25" xfId="1" applyFont="1" applyBorder="1" applyAlignment="1" applyProtection="1">
      <alignment horizontal="right" vertical="top"/>
    </xf>
    <xf numFmtId="164" fontId="6" fillId="0" borderId="44" xfId="1" applyFont="1" applyBorder="1" applyAlignment="1" applyProtection="1">
      <alignment horizontal="right" vertical="top"/>
    </xf>
    <xf numFmtId="164" fontId="7" fillId="0" borderId="29" xfId="1" applyFont="1" applyFill="1" applyBorder="1" applyAlignment="1" applyProtection="1">
      <alignment horizontal="right" vertical="top"/>
    </xf>
    <xf numFmtId="164" fontId="6" fillId="4" borderId="31" xfId="1" applyFont="1" applyFill="1" applyBorder="1" applyAlignment="1" applyProtection="1">
      <alignment horizontal="right" vertical="top"/>
    </xf>
    <xf numFmtId="164" fontId="6" fillId="4" borderId="58" xfId="1" applyFont="1" applyFill="1" applyBorder="1" applyAlignment="1" applyProtection="1">
      <alignment horizontal="right" vertical="top"/>
    </xf>
    <xf numFmtId="164" fontId="7" fillId="0" borderId="45" xfId="1" applyFont="1" applyFill="1" applyBorder="1" applyAlignment="1" applyProtection="1">
      <alignment horizontal="right" vertical="top"/>
    </xf>
    <xf numFmtId="164" fontId="7" fillId="4" borderId="57" xfId="1" applyFont="1" applyFill="1" applyBorder="1" applyAlignment="1" applyProtection="1">
      <alignment horizontal="right" vertical="top"/>
    </xf>
    <xf numFmtId="164" fontId="7" fillId="0" borderId="57" xfId="1" applyFont="1" applyFill="1" applyBorder="1" applyAlignment="1" applyProtection="1">
      <alignment horizontal="right" vertical="top"/>
    </xf>
    <xf numFmtId="164" fontId="0" fillId="0" borderId="44" xfId="1" applyFont="1" applyBorder="1" applyAlignment="1" applyProtection="1">
      <alignment horizontal="right" vertical="top"/>
    </xf>
    <xf numFmtId="164" fontId="0" fillId="9" borderId="29" xfId="1" applyFont="1" applyFill="1" applyBorder="1" applyAlignment="1" applyProtection="1">
      <alignment horizontal="right" vertical="top"/>
    </xf>
    <xf numFmtId="164" fontId="0" fillId="0" borderId="25" xfId="1" applyFont="1" applyBorder="1" applyAlignment="1" applyProtection="1">
      <alignment vertical="top"/>
    </xf>
    <xf numFmtId="164" fontId="0" fillId="4" borderId="25" xfId="1" applyFont="1" applyFill="1" applyBorder="1" applyAlignment="1" applyProtection="1">
      <alignment horizontal="right"/>
    </xf>
    <xf numFmtId="164" fontId="0" fillId="4" borderId="33" xfId="1" applyFont="1" applyFill="1" applyBorder="1" applyAlignment="1" applyProtection="1">
      <alignment horizontal="right"/>
    </xf>
    <xf numFmtId="164" fontId="0" fillId="0" borderId="25" xfId="1" applyFont="1" applyBorder="1" applyProtection="1"/>
    <xf numFmtId="164" fontId="0" fillId="0" borderId="33" xfId="1" applyFont="1" applyBorder="1" applyProtection="1"/>
    <xf numFmtId="164" fontId="0" fillId="4" borderId="32" xfId="1" applyFont="1" applyFill="1" applyBorder="1" applyAlignment="1" applyProtection="1">
      <alignment horizontal="center"/>
    </xf>
    <xf numFmtId="164" fontId="0" fillId="4" borderId="25" xfId="1" applyFont="1" applyFill="1" applyBorder="1" applyAlignment="1" applyProtection="1">
      <alignment horizontal="center"/>
    </xf>
    <xf numFmtId="164" fontId="0" fillId="4" borderId="44" xfId="1" applyFont="1" applyFill="1" applyBorder="1" applyAlignment="1" applyProtection="1">
      <alignment horizontal="center"/>
    </xf>
    <xf numFmtId="164" fontId="6" fillId="4" borderId="18" xfId="1" applyFont="1" applyFill="1" applyBorder="1" applyAlignment="1" applyProtection="1">
      <alignment horizontal="center"/>
    </xf>
    <xf numFmtId="164" fontId="0" fillId="0" borderId="32" xfId="1" applyFont="1" applyFill="1" applyBorder="1" applyAlignment="1" applyProtection="1">
      <alignment horizontal="center"/>
    </xf>
    <xf numFmtId="164" fontId="0" fillId="0" borderId="25" xfId="1" applyFont="1" applyFill="1" applyBorder="1" applyAlignment="1" applyProtection="1">
      <alignment horizontal="center"/>
    </xf>
    <xf numFmtId="164" fontId="0" fillId="0" borderId="44" xfId="1" applyFont="1" applyFill="1" applyBorder="1" applyAlignment="1" applyProtection="1">
      <alignment horizontal="center"/>
    </xf>
    <xf numFmtId="164" fontId="6" fillId="0" borderId="44" xfId="1" applyFont="1" applyFill="1" applyBorder="1" applyAlignment="1" applyProtection="1">
      <alignment horizontal="center"/>
    </xf>
    <xf numFmtId="164" fontId="7" fillId="0" borderId="18" xfId="1" applyFont="1" applyFill="1" applyBorder="1" applyAlignment="1" applyProtection="1">
      <alignment horizontal="center"/>
    </xf>
    <xf numFmtId="164" fontId="6" fillId="0" borderId="32" xfId="1" applyFont="1" applyBorder="1" applyAlignment="1" applyProtection="1">
      <alignment horizontal="right" vertical="top"/>
    </xf>
    <xf numFmtId="164" fontId="7" fillId="0" borderId="32" xfId="1" applyFont="1" applyBorder="1" applyAlignment="1" applyProtection="1">
      <alignment horizontal="right" vertical="top"/>
    </xf>
    <xf numFmtId="0" fontId="13" fillId="9" borderId="0" xfId="0" applyFont="1" applyFill="1" applyAlignment="1" applyProtection="1">
      <alignment horizontal="left" vertical="top"/>
      <protection locked="0"/>
    </xf>
    <xf numFmtId="0" fontId="5" fillId="9" borderId="0" xfId="0" applyFont="1" applyFill="1" applyAlignment="1" applyProtection="1">
      <alignment horizontal="left" vertical="top"/>
      <protection locked="0"/>
    </xf>
    <xf numFmtId="164" fontId="7" fillId="4" borderId="27" xfId="1" applyFont="1" applyFill="1" applyBorder="1" applyAlignment="1" applyProtection="1">
      <alignment horizontal="right" vertical="top"/>
      <protection locked="0"/>
    </xf>
    <xf numFmtId="164" fontId="7" fillId="8" borderId="27" xfId="1" applyFont="1" applyFill="1" applyBorder="1" applyAlignment="1" applyProtection="1">
      <alignment horizontal="right" vertical="top"/>
      <protection locked="0"/>
    </xf>
    <xf numFmtId="164" fontId="7" fillId="0" borderId="27" xfId="1" applyFont="1" applyFill="1" applyBorder="1" applyAlignment="1" applyProtection="1">
      <alignment horizontal="right" vertical="top"/>
      <protection locked="0"/>
    </xf>
    <xf numFmtId="0" fontId="6" fillId="8" borderId="33" xfId="0" applyFont="1" applyFill="1" applyBorder="1" applyAlignment="1" applyProtection="1">
      <alignment horizontal="right" vertical="top" wrapText="1"/>
      <protection locked="0"/>
    </xf>
    <xf numFmtId="0" fontId="6" fillId="4" borderId="18" xfId="0" applyFont="1" applyFill="1" applyBorder="1" applyAlignment="1" applyProtection="1">
      <alignment horizontal="center" vertical="top" wrapText="1"/>
      <protection locked="0"/>
    </xf>
    <xf numFmtId="164" fontId="17" fillId="0" borderId="25" xfId="1" applyFont="1" applyBorder="1" applyAlignment="1" applyProtection="1">
      <alignment horizontal="right" vertical="top"/>
    </xf>
    <xf numFmtId="164" fontId="7" fillId="0" borderId="18" xfId="1" applyFont="1" applyBorder="1" applyAlignment="1" applyProtection="1">
      <alignment horizontal="right" vertical="top"/>
    </xf>
    <xf numFmtId="164" fontId="17" fillId="0" borderId="18" xfId="1" applyFont="1" applyBorder="1" applyAlignment="1" applyProtection="1">
      <alignment horizontal="right" vertical="top"/>
    </xf>
    <xf numFmtId="164" fontId="0" fillId="4" borderId="32" xfId="1" applyFont="1" applyFill="1" applyBorder="1" applyAlignment="1" applyProtection="1">
      <alignment horizontal="left" vertical="top" wrapText="1"/>
    </xf>
    <xf numFmtId="164" fontId="7" fillId="4" borderId="25" xfId="1" applyFont="1" applyFill="1" applyBorder="1" applyAlignment="1" applyProtection="1">
      <alignment horizontal="left" vertical="top" wrapText="1"/>
    </xf>
    <xf numFmtId="164" fontId="6" fillId="4" borderId="18" xfId="1" applyFont="1" applyFill="1" applyBorder="1" applyAlignment="1" applyProtection="1">
      <alignment horizontal="left" vertical="top" wrapText="1"/>
    </xf>
    <xf numFmtId="0" fontId="17" fillId="9" borderId="0" xfId="0" applyFont="1" applyFill="1" applyAlignment="1" applyProtection="1">
      <alignment horizontal="right" vertical="top"/>
      <protection locked="0"/>
    </xf>
    <xf numFmtId="164" fontId="7" fillId="4" borderId="44" xfId="1" applyFont="1" applyFill="1" applyBorder="1" applyProtection="1">
      <protection locked="0"/>
    </xf>
    <xf numFmtId="164" fontId="7" fillId="0" borderId="44" xfId="1" applyFont="1" applyBorder="1" applyProtection="1">
      <protection locked="0"/>
    </xf>
    <xf numFmtId="164" fontId="7" fillId="4" borderId="25" xfId="1" applyFont="1" applyFill="1" applyBorder="1" applyProtection="1"/>
    <xf numFmtId="164" fontId="7" fillId="0" borderId="25" xfId="1" applyFont="1" applyBorder="1" applyProtection="1"/>
    <xf numFmtId="164" fontId="7" fillId="4" borderId="44" xfId="1" applyFont="1" applyFill="1" applyBorder="1" applyProtection="1"/>
    <xf numFmtId="164" fontId="7" fillId="0" borderId="44" xfId="1" applyFont="1" applyBorder="1" applyProtection="1"/>
    <xf numFmtId="164" fontId="7" fillId="4" borderId="18" xfId="1" applyFont="1" applyFill="1" applyBorder="1" applyProtection="1"/>
    <xf numFmtId="164" fontId="7" fillId="0" borderId="18" xfId="1" applyFont="1" applyBorder="1" applyProtection="1"/>
    <xf numFmtId="0" fontId="6" fillId="10" borderId="18" xfId="0" applyFont="1" applyFill="1" applyBorder="1" applyAlignment="1" applyProtection="1">
      <alignment horizontal="center" vertical="top"/>
      <protection locked="0"/>
    </xf>
    <xf numFmtId="0" fontId="6" fillId="8" borderId="18" xfId="0" applyFont="1" applyFill="1" applyBorder="1" applyAlignment="1" applyProtection="1">
      <alignment horizontal="center" vertical="top"/>
      <protection locked="0"/>
    </xf>
    <xf numFmtId="164" fontId="7" fillId="4" borderId="32" xfId="1" applyFont="1" applyFill="1" applyBorder="1" applyAlignment="1" applyProtection="1">
      <alignment horizontal="center" vertical="top"/>
      <protection locked="0"/>
    </xf>
    <xf numFmtId="0" fontId="6" fillId="0" borderId="18" xfId="0" applyFont="1" applyBorder="1" applyAlignment="1" applyProtection="1">
      <alignment horizontal="right" vertical="top"/>
      <protection locked="0"/>
    </xf>
    <xf numFmtId="164" fontId="7" fillId="4" borderId="29" xfId="1" applyFont="1" applyFill="1" applyBorder="1" applyAlignment="1" applyProtection="1">
      <alignment horizontal="center" vertical="center"/>
      <protection locked="0"/>
    </xf>
    <xf numFmtId="164" fontId="7" fillId="0" borderId="31" xfId="1" applyFont="1" applyFill="1" applyBorder="1" applyAlignment="1" applyProtection="1">
      <alignment horizontal="center" vertical="center"/>
      <protection locked="0"/>
    </xf>
    <xf numFmtId="0" fontId="7" fillId="0" borderId="0" xfId="0" quotePrefix="1" applyFont="1" applyProtection="1">
      <protection locked="0"/>
    </xf>
    <xf numFmtId="164" fontId="7" fillId="4" borderId="16" xfId="1" applyFont="1" applyFill="1" applyBorder="1" applyAlignment="1" applyProtection="1">
      <alignment horizontal="right" vertical="top"/>
      <protection locked="0"/>
    </xf>
    <xf numFmtId="164" fontId="7" fillId="0" borderId="16" xfId="1" applyFont="1" applyFill="1" applyBorder="1" applyAlignment="1" applyProtection="1">
      <alignment horizontal="right" vertical="top"/>
      <protection locked="0"/>
    </xf>
    <xf numFmtId="165" fontId="7" fillId="4" borderId="25" xfId="1" applyNumberFormat="1" applyFont="1" applyFill="1" applyBorder="1" applyAlignment="1" applyProtection="1">
      <alignment horizontal="right" vertical="top"/>
      <protection locked="0"/>
    </xf>
    <xf numFmtId="165" fontId="7" fillId="0" borderId="25" xfId="1" applyNumberFormat="1" applyFont="1" applyFill="1" applyBorder="1" applyAlignment="1" applyProtection="1">
      <alignment horizontal="right" vertical="top"/>
      <protection locked="0"/>
    </xf>
    <xf numFmtId="165" fontId="6" fillId="0" borderId="18" xfId="1" applyNumberFormat="1" applyFont="1" applyBorder="1" applyAlignment="1" applyProtection="1">
      <alignment horizontal="right" vertical="top"/>
      <protection locked="0"/>
    </xf>
    <xf numFmtId="0" fontId="34" fillId="9" borderId="25" xfId="0" applyFont="1" applyFill="1" applyBorder="1" applyAlignment="1" applyProtection="1">
      <alignment horizontal="left" vertical="top" indent="1"/>
      <protection locked="0"/>
    </xf>
    <xf numFmtId="0" fontId="35" fillId="9" borderId="33" xfId="0" applyFont="1" applyFill="1" applyBorder="1" applyAlignment="1" applyProtection="1">
      <alignment horizontal="left" vertical="top"/>
      <protection locked="0"/>
    </xf>
    <xf numFmtId="0" fontId="7" fillId="9" borderId="25" xfId="0" applyFont="1" applyFill="1" applyBorder="1" applyAlignment="1" applyProtection="1">
      <alignment horizontal="left" vertical="top" indent="2"/>
      <protection locked="0"/>
    </xf>
    <xf numFmtId="0" fontId="7" fillId="9" borderId="25" xfId="0" applyFont="1" applyFill="1" applyBorder="1" applyAlignment="1" applyProtection="1">
      <alignment horizontal="left" vertical="top" indent="4"/>
      <protection locked="0"/>
    </xf>
    <xf numFmtId="164" fontId="7" fillId="0" borderId="29" xfId="1" applyFont="1" applyFill="1" applyBorder="1" applyAlignment="1" applyProtection="1">
      <alignment vertical="top"/>
      <protection locked="0"/>
    </xf>
    <xf numFmtId="165" fontId="6" fillId="8" borderId="18" xfId="1" applyNumberFormat="1" applyFont="1" applyFill="1" applyBorder="1" applyAlignment="1" applyProtection="1">
      <alignment horizontal="right" vertical="top"/>
    </xf>
    <xf numFmtId="165" fontId="6" fillId="0" borderId="18" xfId="1" applyNumberFormat="1" applyFont="1" applyBorder="1" applyAlignment="1" applyProtection="1">
      <alignment horizontal="right" vertical="top"/>
    </xf>
    <xf numFmtId="0" fontId="8" fillId="9" borderId="0" xfId="0" quotePrefix="1" applyFont="1" applyFill="1" applyAlignment="1" applyProtection="1">
      <alignment horizontal="right" vertical="top"/>
      <protection locked="0"/>
    </xf>
    <xf numFmtId="0" fontId="7" fillId="9" borderId="0" xfId="0" quotePrefix="1" applyFont="1" applyFill="1" applyAlignment="1" applyProtection="1">
      <alignment horizontal="right" vertical="top"/>
      <protection locked="0"/>
    </xf>
    <xf numFmtId="164" fontId="7" fillId="0" borderId="32" xfId="1" applyFont="1" applyBorder="1" applyAlignment="1" applyProtection="1">
      <alignment horizontal="right" vertical="top" wrapText="1"/>
      <protection locked="0"/>
    </xf>
    <xf numFmtId="0" fontId="7" fillId="9" borderId="25" xfId="0" applyFont="1" applyFill="1" applyBorder="1" applyAlignment="1" applyProtection="1">
      <alignment vertical="top"/>
      <protection locked="0"/>
    </xf>
    <xf numFmtId="164" fontId="7" fillId="0" borderId="25" xfId="1" applyFont="1" applyBorder="1" applyAlignment="1" applyProtection="1">
      <alignment wrapText="1"/>
    </xf>
    <xf numFmtId="164" fontId="6" fillId="0" borderId="18" xfId="1" applyFont="1" applyBorder="1" applyAlignment="1" applyProtection="1">
      <alignment wrapText="1"/>
    </xf>
    <xf numFmtId="164" fontId="7" fillId="4" borderId="25" xfId="1" applyFont="1" applyFill="1" applyBorder="1" applyAlignment="1" applyProtection="1">
      <alignment wrapText="1"/>
    </xf>
    <xf numFmtId="164" fontId="6" fillId="4" borderId="18" xfId="1" applyFont="1" applyFill="1" applyBorder="1" applyAlignment="1" applyProtection="1">
      <alignment wrapText="1"/>
    </xf>
    <xf numFmtId="164" fontId="7" fillId="0" borderId="33" xfId="1" applyFont="1" applyBorder="1" applyProtection="1"/>
    <xf numFmtId="164" fontId="7" fillId="4" borderId="32" xfId="1" applyFont="1" applyFill="1" applyBorder="1" applyAlignment="1" applyProtection="1">
      <alignment horizontal="left" vertical="top"/>
    </xf>
    <xf numFmtId="164" fontId="0" fillId="4" borderId="33" xfId="1" applyFont="1" applyFill="1" applyBorder="1" applyProtection="1">
      <protection locked="0"/>
    </xf>
    <xf numFmtId="164" fontId="0" fillId="0" borderId="33" xfId="1" applyFont="1" applyFill="1" applyBorder="1" applyProtection="1">
      <protection locked="0"/>
    </xf>
    <xf numFmtId="0" fontId="48" fillId="0" borderId="0" xfId="0" applyFont="1" applyAlignment="1" applyProtection="1">
      <alignment horizontal="center"/>
      <protection locked="0"/>
    </xf>
    <xf numFmtId="0" fontId="21" fillId="0" borderId="0" xfId="0" applyFont="1" applyProtection="1">
      <protection locked="0"/>
    </xf>
    <xf numFmtId="0" fontId="6" fillId="5" borderId="17" xfId="0" applyFont="1" applyFill="1" applyBorder="1" applyAlignment="1" applyProtection="1">
      <alignment horizontal="center" vertical="center"/>
      <protection locked="0"/>
    </xf>
    <xf numFmtId="0" fontId="0" fillId="0" borderId="36" xfId="0" applyBorder="1" applyProtection="1">
      <protection locked="0"/>
    </xf>
    <xf numFmtId="0" fontId="0" fillId="0" borderId="49" xfId="0" applyBorder="1" applyProtection="1">
      <protection locked="0"/>
    </xf>
    <xf numFmtId="0" fontId="0" fillId="0" borderId="41" xfId="0" applyBorder="1" applyProtection="1">
      <protection locked="0"/>
    </xf>
    <xf numFmtId="164" fontId="8" fillId="4" borderId="25" xfId="1" applyFont="1" applyFill="1" applyBorder="1" applyAlignment="1" applyProtection="1">
      <alignment vertical="top"/>
    </xf>
    <xf numFmtId="164" fontId="8" fillId="4" borderId="44" xfId="1" applyFont="1" applyFill="1" applyBorder="1" applyAlignment="1" applyProtection="1">
      <alignment vertical="top"/>
    </xf>
    <xf numFmtId="164" fontId="8" fillId="4" borderId="18" xfId="1" applyFont="1" applyFill="1" applyBorder="1" applyAlignment="1" applyProtection="1">
      <alignment vertical="top"/>
    </xf>
    <xf numFmtId="164" fontId="7" fillId="0" borderId="44" xfId="1" applyFont="1" applyBorder="1" applyAlignment="1" applyProtection="1">
      <alignment vertical="top"/>
    </xf>
    <xf numFmtId="164" fontId="7" fillId="0" borderId="18" xfId="1" applyFont="1" applyBorder="1" applyAlignment="1" applyProtection="1">
      <alignment vertical="top"/>
    </xf>
    <xf numFmtId="164" fontId="0" fillId="4" borderId="33" xfId="1" applyFont="1" applyFill="1" applyBorder="1" applyProtection="1"/>
    <xf numFmtId="164" fontId="7" fillId="0" borderId="33" xfId="1" applyFont="1" applyBorder="1" applyAlignment="1" applyProtection="1">
      <alignment vertical="top"/>
    </xf>
    <xf numFmtId="164" fontId="7" fillId="4" borderId="18" xfId="1" applyFont="1" applyFill="1" applyBorder="1" applyAlignment="1" applyProtection="1">
      <alignment vertical="top"/>
    </xf>
    <xf numFmtId="164" fontId="7" fillId="4" borderId="18" xfId="1" applyFont="1" applyFill="1" applyBorder="1" applyAlignment="1" applyProtection="1">
      <alignment vertical="center"/>
    </xf>
    <xf numFmtId="164" fontId="7" fillId="0" borderId="18" xfId="1" applyFont="1" applyBorder="1" applyAlignment="1" applyProtection="1">
      <alignment vertical="center"/>
    </xf>
    <xf numFmtId="164" fontId="6" fillId="4" borderId="25" xfId="1" applyFont="1" applyFill="1" applyBorder="1" applyAlignment="1" applyProtection="1">
      <alignment vertical="top"/>
    </xf>
    <xf numFmtId="164" fontId="6" fillId="0" borderId="25" xfId="1" applyFont="1" applyBorder="1" applyAlignment="1" applyProtection="1">
      <alignment vertical="top"/>
    </xf>
    <xf numFmtId="164" fontId="7" fillId="0" borderId="32" xfId="1" applyFont="1" applyBorder="1" applyAlignment="1" applyProtection="1">
      <alignment vertical="top"/>
    </xf>
    <xf numFmtId="164" fontId="8" fillId="4" borderId="33" xfId="1" applyFont="1" applyFill="1" applyBorder="1" applyAlignment="1" applyProtection="1">
      <alignment vertical="top"/>
    </xf>
    <xf numFmtId="164" fontId="8" fillId="0" borderId="18" xfId="1" applyFont="1" applyFill="1" applyBorder="1" applyAlignment="1" applyProtection="1">
      <alignment vertical="top"/>
    </xf>
    <xf numFmtId="164" fontId="23" fillId="4" borderId="18" xfId="1" applyFont="1" applyFill="1" applyBorder="1" applyAlignment="1" applyProtection="1">
      <alignment vertical="top"/>
    </xf>
    <xf numFmtId="164" fontId="6" fillId="0" borderId="18" xfId="1" applyFont="1" applyBorder="1" applyAlignment="1" applyProtection="1">
      <alignment vertical="top"/>
    </xf>
    <xf numFmtId="0" fontId="6" fillId="0" borderId="0" xfId="0" applyFont="1" applyAlignment="1" applyProtection="1">
      <alignment horizontal="left" vertical="center"/>
      <protection locked="0"/>
    </xf>
    <xf numFmtId="0" fontId="7" fillId="4" borderId="33" xfId="0" applyFont="1" applyFill="1" applyBorder="1" applyAlignment="1" applyProtection="1">
      <alignment vertical="top" wrapText="1"/>
      <protection locked="0"/>
    </xf>
    <xf numFmtId="164" fontId="7" fillId="0" borderId="24" xfId="1" applyFont="1" applyBorder="1" applyAlignment="1" applyProtection="1">
      <alignment vertical="top"/>
    </xf>
    <xf numFmtId="164" fontId="8" fillId="4" borderId="18" xfId="1" applyFont="1" applyFill="1" applyBorder="1" applyAlignment="1" applyProtection="1">
      <alignment horizontal="right" vertical="top"/>
    </xf>
    <xf numFmtId="164" fontId="7" fillId="4" borderId="30" xfId="1" applyFont="1" applyFill="1" applyBorder="1" applyAlignment="1" applyProtection="1">
      <alignment horizontal="center" vertical="center"/>
    </xf>
    <xf numFmtId="10" fontId="7" fillId="0" borderId="0" xfId="0" applyNumberFormat="1" applyFont="1" applyAlignment="1" applyProtection="1">
      <alignment horizontal="right" vertical="top"/>
      <protection locked="0"/>
    </xf>
    <xf numFmtId="0" fontId="9" fillId="0" borderId="0" xfId="0" applyFont="1" applyAlignment="1" applyProtection="1">
      <alignment horizontal="center" vertical="top"/>
      <protection locked="0"/>
    </xf>
    <xf numFmtId="0" fontId="9" fillId="0" borderId="0" xfId="0" quotePrefix="1" applyFont="1" applyAlignment="1" applyProtection="1">
      <alignment horizontal="center" vertical="top"/>
      <protection locked="0"/>
    </xf>
    <xf numFmtId="9" fontId="7" fillId="4" borderId="25" xfId="2" applyFont="1" applyFill="1" applyBorder="1" applyAlignment="1" applyProtection="1">
      <alignment horizontal="right" vertical="top"/>
    </xf>
    <xf numFmtId="9" fontId="7" fillId="0" borderId="25" xfId="2" applyFont="1" applyFill="1" applyBorder="1" applyAlignment="1" applyProtection="1">
      <alignment horizontal="right" vertical="top"/>
    </xf>
    <xf numFmtId="9" fontId="7" fillId="4" borderId="44" xfId="2" applyFont="1" applyFill="1" applyBorder="1" applyAlignment="1" applyProtection="1">
      <alignment horizontal="right" vertical="top"/>
    </xf>
    <xf numFmtId="9" fontId="7" fillId="0" borderId="44" xfId="2" applyFont="1" applyFill="1" applyBorder="1" applyAlignment="1" applyProtection="1">
      <alignment horizontal="right" vertical="top"/>
    </xf>
    <xf numFmtId="9" fontId="7" fillId="4" borderId="33" xfId="2" applyFont="1" applyFill="1" applyBorder="1" applyAlignment="1" applyProtection="1">
      <alignment horizontal="right" vertical="top"/>
    </xf>
    <xf numFmtId="9" fontId="7" fillId="0" borderId="33" xfId="2" applyFont="1" applyFill="1" applyBorder="1" applyAlignment="1" applyProtection="1">
      <alignment horizontal="right" vertical="top"/>
    </xf>
    <xf numFmtId="164" fontId="7" fillId="0" borderId="28" xfId="1" applyFont="1" applyFill="1" applyBorder="1" applyAlignment="1" applyProtection="1">
      <alignment vertical="top"/>
    </xf>
    <xf numFmtId="164" fontId="6" fillId="0" borderId="37" xfId="1" applyFont="1" applyFill="1" applyBorder="1" applyAlignment="1" applyProtection="1">
      <alignment vertical="top"/>
    </xf>
    <xf numFmtId="164" fontId="6" fillId="0" borderId="29" xfId="1" applyFont="1" applyFill="1" applyBorder="1" applyAlignment="1" applyProtection="1">
      <alignment horizontal="right" vertical="top"/>
    </xf>
    <xf numFmtId="165" fontId="7" fillId="4" borderId="25" xfId="1" applyNumberFormat="1" applyFont="1" applyFill="1" applyBorder="1" applyProtection="1"/>
    <xf numFmtId="165" fontId="7" fillId="0" borderId="25" xfId="1" applyNumberFormat="1" applyFont="1" applyBorder="1" applyProtection="1"/>
    <xf numFmtId="165" fontId="7" fillId="4" borderId="44" xfId="1" applyNumberFormat="1" applyFont="1" applyFill="1" applyBorder="1" applyProtection="1">
      <protection locked="0"/>
    </xf>
    <xf numFmtId="165" fontId="7" fillId="0" borderId="44" xfId="1" applyNumberFormat="1" applyFont="1" applyBorder="1" applyProtection="1">
      <protection locked="0"/>
    </xf>
    <xf numFmtId="165" fontId="7" fillId="0" borderId="44" xfId="1" applyNumberFormat="1" applyFont="1" applyBorder="1" applyProtection="1"/>
    <xf numFmtId="165" fontId="7" fillId="0" borderId="0" xfId="0" applyNumberFormat="1" applyFont="1" applyProtection="1">
      <protection locked="0"/>
    </xf>
    <xf numFmtId="0" fontId="3" fillId="0" borderId="0" xfId="0" applyFont="1" applyAlignment="1" applyProtection="1">
      <alignment horizontal="left"/>
      <protection locked="0"/>
    </xf>
    <xf numFmtId="0" fontId="3" fillId="0" borderId="29" xfId="0" applyFont="1" applyBorder="1" applyProtection="1">
      <protection locked="0"/>
    </xf>
    <xf numFmtId="0" fontId="0" fillId="0" borderId="29" xfId="0" applyBorder="1" applyAlignment="1" applyProtection="1">
      <alignment wrapText="1"/>
      <protection locked="0"/>
    </xf>
    <xf numFmtId="0" fontId="7" fillId="0" borderId="29" xfId="0" applyFont="1" applyBorder="1" applyAlignment="1" applyProtection="1">
      <alignment wrapText="1"/>
      <protection locked="0"/>
    </xf>
    <xf numFmtId="0" fontId="6" fillId="0" borderId="29" xfId="0" applyFont="1" applyBorder="1" applyAlignment="1" applyProtection="1">
      <alignment wrapText="1"/>
      <protection locked="0"/>
    </xf>
    <xf numFmtId="0" fontId="6" fillId="0" borderId="29" xfId="0" applyFont="1" applyBorder="1" applyProtection="1">
      <protection locked="0"/>
    </xf>
    <xf numFmtId="0" fontId="20" fillId="0" borderId="29" xfId="3" applyFill="1" applyBorder="1" applyAlignment="1" applyProtection="1">
      <alignment wrapText="1"/>
      <protection locked="0"/>
    </xf>
    <xf numFmtId="0" fontId="7" fillId="0" borderId="46" xfId="0" applyFont="1" applyBorder="1" applyAlignment="1" applyProtection="1">
      <alignment wrapText="1"/>
      <protection locked="0"/>
    </xf>
    <xf numFmtId="0" fontId="6" fillId="0" borderId="22" xfId="0" applyFont="1" applyBorder="1" applyAlignment="1" applyProtection="1">
      <alignment horizontal="center" vertical="center" wrapText="1"/>
      <protection locked="0"/>
    </xf>
    <xf numFmtId="0" fontId="23" fillId="0" borderId="10" xfId="0" applyFont="1" applyBorder="1" applyProtection="1">
      <protection locked="0"/>
    </xf>
    <xf numFmtId="164" fontId="7" fillId="0" borderId="30" xfId="1" applyFont="1" applyFill="1" applyBorder="1" applyProtection="1">
      <protection locked="0"/>
    </xf>
    <xf numFmtId="164" fontId="7" fillId="0" borderId="11" xfId="1" applyFont="1" applyFill="1" applyBorder="1" applyProtection="1">
      <protection locked="0"/>
    </xf>
    <xf numFmtId="164" fontId="7" fillId="0" borderId="29" xfId="1" applyFont="1" applyFill="1" applyBorder="1" applyProtection="1">
      <protection locked="0"/>
    </xf>
    <xf numFmtId="164" fontId="7" fillId="0" borderId="13" xfId="1" applyFont="1" applyFill="1" applyBorder="1" applyProtection="1">
      <protection locked="0"/>
    </xf>
    <xf numFmtId="164" fontId="7" fillId="0" borderId="29" xfId="1" applyFont="1" applyFill="1" applyBorder="1" applyProtection="1"/>
    <xf numFmtId="164" fontId="7" fillId="0" borderId="13" xfId="1" applyFont="1" applyFill="1" applyBorder="1" applyProtection="1"/>
    <xf numFmtId="164" fontId="7" fillId="0" borderId="54" xfId="1" applyFont="1" applyFill="1" applyBorder="1" applyProtection="1"/>
    <xf numFmtId="164" fontId="7" fillId="0" borderId="51" xfId="1" applyFont="1" applyFill="1" applyBorder="1" applyProtection="1">
      <protection locked="0"/>
    </xf>
    <xf numFmtId="164" fontId="6" fillId="0" borderId="29" xfId="1" applyFont="1" applyFill="1" applyBorder="1" applyProtection="1"/>
    <xf numFmtId="164" fontId="6" fillId="0" borderId="13" xfId="1" applyFont="1" applyFill="1" applyBorder="1" applyProtection="1"/>
    <xf numFmtId="164" fontId="7" fillId="0" borderId="46" xfId="1" applyFont="1" applyFill="1" applyBorder="1" applyProtection="1">
      <protection locked="0"/>
    </xf>
    <xf numFmtId="164" fontId="7" fillId="0" borderId="52" xfId="1" applyFont="1" applyFill="1" applyBorder="1" applyProtection="1">
      <protection locked="0"/>
    </xf>
    <xf numFmtId="165" fontId="7" fillId="4" borderId="44" xfId="1" applyNumberFormat="1" applyFont="1" applyFill="1" applyBorder="1" applyProtection="1"/>
    <xf numFmtId="164" fontId="11" fillId="0" borderId="0" xfId="0" applyNumberFormat="1" applyFont="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6" fillId="4" borderId="37" xfId="0" applyFont="1" applyFill="1" applyBorder="1" applyAlignment="1" applyProtection="1">
      <alignment horizontal="center" vertical="center" wrapText="1"/>
      <protection locked="0"/>
    </xf>
    <xf numFmtId="0" fontId="7" fillId="0" borderId="12" xfId="0" applyFont="1" applyBorder="1" applyAlignment="1" applyProtection="1">
      <alignment horizontal="center" vertical="center" wrapText="1"/>
      <protection locked="0"/>
    </xf>
    <xf numFmtId="0" fontId="7" fillId="0" borderId="29" xfId="0" applyFont="1" applyBorder="1" applyAlignment="1" applyProtection="1">
      <alignment horizontal="center" vertical="center" wrapText="1"/>
      <protection locked="0"/>
    </xf>
    <xf numFmtId="0" fontId="6" fillId="0" borderId="29" xfId="0" applyFont="1" applyBorder="1" applyAlignment="1" applyProtection="1">
      <alignment horizontal="center" vertical="center" wrapText="1"/>
      <protection locked="0"/>
    </xf>
    <xf numFmtId="164" fontId="7" fillId="0" borderId="29" xfId="1" applyFont="1" applyFill="1" applyBorder="1" applyAlignment="1" applyProtection="1">
      <alignment horizontal="center" vertical="center" wrapText="1"/>
      <protection locked="0"/>
    </xf>
    <xf numFmtId="0" fontId="7" fillId="0" borderId="13" xfId="0" applyFont="1" applyBorder="1" applyAlignment="1" applyProtection="1">
      <alignment horizontal="center" vertical="center" wrapText="1"/>
      <protection locked="0"/>
    </xf>
    <xf numFmtId="0" fontId="6" fillId="0" borderId="37" xfId="0" applyFont="1" applyBorder="1" applyAlignment="1" applyProtection="1">
      <alignment horizontal="center" vertical="center" wrapText="1"/>
      <protection locked="0"/>
    </xf>
    <xf numFmtId="164" fontId="7" fillId="0" borderId="41" xfId="1" applyFont="1" applyBorder="1" applyAlignment="1" applyProtection="1">
      <alignment horizontal="center" vertical="center" wrapText="1"/>
    </xf>
    <xf numFmtId="0" fontId="0" fillId="0" borderId="16" xfId="0" applyBorder="1" applyProtection="1">
      <protection locked="0"/>
    </xf>
    <xf numFmtId="0" fontId="8" fillId="4" borderId="16" xfId="0" applyFont="1" applyFill="1" applyBorder="1" applyAlignment="1" applyProtection="1">
      <alignment vertical="top"/>
      <protection locked="0"/>
    </xf>
    <xf numFmtId="0" fontId="7" fillId="0" borderId="46" xfId="0" applyFont="1" applyBorder="1" applyAlignment="1" applyProtection="1">
      <alignment horizontal="center" vertical="top"/>
      <protection locked="0"/>
    </xf>
    <xf numFmtId="164" fontId="8" fillId="4" borderId="32" xfId="1" applyFont="1" applyFill="1" applyBorder="1" applyAlignment="1" applyProtection="1">
      <alignment vertical="top"/>
      <protection locked="0"/>
    </xf>
    <xf numFmtId="0" fontId="7" fillId="0" borderId="29" xfId="0" applyFont="1" applyBorder="1" applyAlignment="1" applyProtection="1">
      <alignment horizontal="center" vertical="top"/>
      <protection locked="0"/>
    </xf>
    <xf numFmtId="0" fontId="7" fillId="0" borderId="29" xfId="0" applyFont="1" applyBorder="1" applyAlignment="1" applyProtection="1">
      <alignment horizontal="center" vertical="top" wrapText="1"/>
      <protection locked="0"/>
    </xf>
    <xf numFmtId="0" fontId="7" fillId="0" borderId="13" xfId="0" applyFont="1" applyBorder="1" applyProtection="1">
      <protection locked="0"/>
    </xf>
    <xf numFmtId="10" fontId="7" fillId="8" borderId="25" xfId="2" applyNumberFormat="1" applyFont="1" applyFill="1" applyBorder="1" applyAlignment="1" applyProtection="1">
      <alignment horizontal="right" vertical="top"/>
    </xf>
    <xf numFmtId="10" fontId="6" fillId="8" borderId="18" xfId="2" applyNumberFormat="1" applyFont="1" applyFill="1" applyBorder="1" applyAlignment="1" applyProtection="1">
      <alignment horizontal="right" vertical="top"/>
    </xf>
    <xf numFmtId="10" fontId="7" fillId="8" borderId="32" xfId="2" applyNumberFormat="1" applyFont="1" applyFill="1" applyBorder="1" applyAlignment="1" applyProtection="1">
      <alignment horizontal="right" vertical="top"/>
    </xf>
    <xf numFmtId="10" fontId="7" fillId="4" borderId="25" xfId="2" applyNumberFormat="1" applyFont="1" applyFill="1" applyBorder="1" applyAlignment="1" applyProtection="1">
      <alignment horizontal="right" vertical="top"/>
    </xf>
    <xf numFmtId="10" fontId="6" fillId="4" borderId="18" xfId="2" applyNumberFormat="1" applyFont="1" applyFill="1" applyBorder="1" applyAlignment="1" applyProtection="1">
      <alignment horizontal="right" vertical="top"/>
    </xf>
    <xf numFmtId="164" fontId="7" fillId="0" borderId="42" xfId="1" applyFont="1" applyBorder="1" applyAlignment="1" applyProtection="1">
      <alignment horizontal="center" vertical="center"/>
      <protection locked="0"/>
    </xf>
    <xf numFmtId="0" fontId="48" fillId="0" borderId="0" xfId="0" applyFont="1" applyAlignment="1" applyProtection="1">
      <alignment horizontal="left" indent="2"/>
      <protection locked="0"/>
    </xf>
    <xf numFmtId="164" fontId="8" fillId="4" borderId="32" xfId="1" applyFont="1" applyFill="1" applyBorder="1" applyAlignment="1" applyProtection="1">
      <alignment vertical="top"/>
    </xf>
    <xf numFmtId="164" fontId="8" fillId="0" borderId="25" xfId="1" applyFont="1" applyFill="1" applyBorder="1" applyAlignment="1" applyProtection="1">
      <alignment vertical="top"/>
    </xf>
    <xf numFmtId="164" fontId="0" fillId="0" borderId="42" xfId="1" applyFont="1" applyFill="1" applyBorder="1" applyProtection="1"/>
    <xf numFmtId="164" fontId="0" fillId="0" borderId="40" xfId="1" applyFont="1" applyFill="1" applyBorder="1" applyProtection="1"/>
    <xf numFmtId="164" fontId="8" fillId="0" borderId="44" xfId="1" applyFont="1" applyFill="1" applyBorder="1" applyAlignment="1" applyProtection="1">
      <alignment vertical="top"/>
    </xf>
    <xf numFmtId="10" fontId="7" fillId="0" borderId="25" xfId="2" applyNumberFormat="1" applyFont="1" applyFill="1" applyBorder="1" applyAlignment="1" applyProtection="1">
      <alignment horizontal="right" vertical="top"/>
    </xf>
    <xf numFmtId="10" fontId="6" fillId="9" borderId="18" xfId="2" applyNumberFormat="1" applyFont="1" applyFill="1" applyBorder="1" applyAlignment="1" applyProtection="1">
      <alignment horizontal="right" vertical="top"/>
    </xf>
    <xf numFmtId="10" fontId="7" fillId="0" borderId="32" xfId="2" applyNumberFormat="1" applyFont="1" applyFill="1" applyBorder="1" applyAlignment="1" applyProtection="1">
      <alignment horizontal="right" vertical="top"/>
    </xf>
    <xf numFmtId="10" fontId="6" fillId="0" borderId="18" xfId="2" applyNumberFormat="1" applyFont="1" applyFill="1" applyBorder="1" applyAlignment="1" applyProtection="1">
      <alignment horizontal="right" vertical="top"/>
    </xf>
    <xf numFmtId="0" fontId="6" fillId="8" borderId="24" xfId="1" applyNumberFormat="1" applyFont="1" applyFill="1" applyBorder="1" applyAlignment="1" applyProtection="1">
      <alignment horizontal="right" vertical="top" wrapText="1"/>
    </xf>
    <xf numFmtId="0" fontId="0" fillId="0" borderId="5" xfId="0" applyBorder="1"/>
    <xf numFmtId="0" fontId="7" fillId="0" borderId="11" xfId="0" applyFont="1" applyBorder="1" applyAlignment="1">
      <alignment horizontal="left"/>
    </xf>
    <xf numFmtId="0" fontId="0" fillId="0" borderId="13" xfId="0" applyBorder="1" applyAlignment="1">
      <alignment horizontal="left"/>
    </xf>
    <xf numFmtId="0" fontId="7" fillId="0" borderId="13" xfId="0" applyFont="1" applyBorder="1" applyAlignment="1">
      <alignment horizontal="left"/>
    </xf>
    <xf numFmtId="0" fontId="7" fillId="0" borderId="13" xfId="0" applyFont="1" applyBorder="1" applyAlignment="1">
      <alignment horizontal="left" wrapText="1"/>
    </xf>
    <xf numFmtId="0" fontId="0" fillId="3" borderId="13" xfId="0" applyFill="1" applyBorder="1" applyAlignment="1">
      <alignment horizontal="left"/>
    </xf>
    <xf numFmtId="0" fontId="7" fillId="3" borderId="13" xfId="0" applyFont="1" applyFill="1" applyBorder="1" applyAlignment="1">
      <alignment horizontal="left"/>
    </xf>
    <xf numFmtId="0" fontId="0" fillId="13" borderId="13" xfId="0" applyFill="1" applyBorder="1" applyAlignment="1">
      <alignment horizontal="left"/>
    </xf>
    <xf numFmtId="0" fontId="7" fillId="0" borderId="54" xfId="0" applyFont="1" applyBorder="1" applyAlignment="1">
      <alignment horizontal="left"/>
    </xf>
    <xf numFmtId="0" fontId="7" fillId="0" borderId="21" xfId="0" applyFont="1" applyBorder="1" applyAlignment="1">
      <alignment horizontal="left"/>
    </xf>
    <xf numFmtId="0" fontId="7" fillId="0" borderId="26" xfId="0" applyFont="1" applyBorder="1" applyAlignment="1">
      <alignment horizontal="left"/>
    </xf>
    <xf numFmtId="0" fontId="7" fillId="0" borderId="0" xfId="0" applyFont="1" applyAlignment="1">
      <alignment horizontal="left" vertical="top"/>
    </xf>
    <xf numFmtId="0" fontId="7" fillId="0" borderId="0" xfId="0" applyFont="1" applyAlignment="1">
      <alignment horizontal="left"/>
    </xf>
    <xf numFmtId="0" fontId="7" fillId="0" borderId="0" xfId="0" applyFont="1"/>
    <xf numFmtId="0" fontId="0" fillId="0" borderId="0" xfId="0" applyAlignment="1">
      <alignment horizontal="center" vertical="top"/>
    </xf>
    <xf numFmtId="0" fontId="0" fillId="0" borderId="12" xfId="0" applyBorder="1"/>
    <xf numFmtId="0" fontId="0" fillId="0" borderId="14" xfId="0" applyBorder="1"/>
    <xf numFmtId="0" fontId="0" fillId="0" borderId="29" xfId="0" applyBorder="1" applyAlignment="1">
      <alignment wrapText="1"/>
    </xf>
    <xf numFmtId="0" fontId="7" fillId="0" borderId="29" xfId="0" applyFont="1" applyBorder="1" applyAlignment="1">
      <alignment wrapText="1"/>
    </xf>
    <xf numFmtId="0" fontId="0" fillId="0" borderId="29" xfId="0" applyBorder="1" applyAlignment="1">
      <alignment horizontal="center"/>
    </xf>
    <xf numFmtId="0" fontId="52" fillId="0" borderId="0" xfId="0" applyFont="1" applyAlignment="1">
      <alignment horizontal="center" vertical="center"/>
    </xf>
    <xf numFmtId="0" fontId="8" fillId="0" borderId="0" xfId="0" applyFont="1" applyAlignment="1">
      <alignment vertical="top"/>
    </xf>
    <xf numFmtId="0" fontId="7" fillId="0" borderId="0" xfId="0" applyFont="1" applyAlignment="1">
      <alignment vertical="top"/>
    </xf>
    <xf numFmtId="0" fontId="15" fillId="0" borderId="0" xfId="0" applyFont="1" applyAlignment="1">
      <alignment vertical="top"/>
    </xf>
    <xf numFmtId="164" fontId="11" fillId="0" borderId="0" xfId="0" applyNumberFormat="1" applyFont="1" applyAlignment="1">
      <alignment vertical="top"/>
    </xf>
    <xf numFmtId="0" fontId="13" fillId="0" borderId="0" xfId="0" applyFont="1" applyAlignment="1">
      <alignment horizontal="left" vertical="top"/>
    </xf>
    <xf numFmtId="0" fontId="5" fillId="0" borderId="0" xfId="0" applyFont="1" applyAlignment="1">
      <alignment horizontal="left" vertical="top"/>
    </xf>
    <xf numFmtId="0" fontId="7" fillId="0" borderId="0" xfId="0" quotePrefix="1" applyFont="1" applyAlignment="1">
      <alignment horizontal="right" vertical="top"/>
    </xf>
    <xf numFmtId="0" fontId="6" fillId="6" borderId="18" xfId="0" applyFont="1" applyFill="1" applyBorder="1" applyAlignment="1">
      <alignment horizontal="center" vertical="center" wrapText="1"/>
    </xf>
    <xf numFmtId="0" fontId="6" fillId="7" borderId="18" xfId="0" applyFont="1" applyFill="1" applyBorder="1" applyAlignment="1">
      <alignment horizontal="center" vertical="center" wrapText="1"/>
    </xf>
    <xf numFmtId="0" fontId="6" fillId="6" borderId="18" xfId="0" applyFont="1" applyFill="1" applyBorder="1" applyAlignment="1">
      <alignment horizontal="right" vertical="top" wrapText="1"/>
    </xf>
    <xf numFmtId="0" fontId="6" fillId="0" borderId="25" xfId="0" applyFont="1" applyBorder="1" applyAlignment="1">
      <alignment horizontal="center" vertical="top"/>
    </xf>
    <xf numFmtId="0" fontId="6" fillId="0" borderId="0" xfId="0" applyFont="1" applyAlignment="1">
      <alignment vertical="top"/>
    </xf>
    <xf numFmtId="0" fontId="6" fillId="0" borderId="25" xfId="0" applyFont="1" applyBorder="1" applyAlignment="1">
      <alignment horizontal="left" vertical="top" indent="1"/>
    </xf>
    <xf numFmtId="0" fontId="0" fillId="0" borderId="25" xfId="0" applyBorder="1" applyAlignment="1">
      <alignment horizontal="left" vertical="top" indent="2"/>
    </xf>
    <xf numFmtId="0" fontId="7" fillId="0" borderId="25" xfId="0" quotePrefix="1" applyFont="1" applyBorder="1" applyAlignment="1">
      <alignment horizontal="left" vertical="top" indent="2"/>
    </xf>
    <xf numFmtId="0" fontId="0" fillId="0" borderId="25" xfId="0" applyBorder="1" applyAlignment="1">
      <alignment horizontal="left" vertical="top" indent="4"/>
    </xf>
    <xf numFmtId="0" fontId="7" fillId="0" borderId="25" xfId="0" applyFont="1" applyBorder="1" applyAlignment="1">
      <alignment horizontal="left" vertical="top" indent="4"/>
    </xf>
    <xf numFmtId="0" fontId="7" fillId="0" borderId="25" xfId="0" applyFont="1" applyBorder="1" applyAlignment="1">
      <alignment horizontal="left" vertical="top" indent="2"/>
    </xf>
    <xf numFmtId="0" fontId="6" fillId="0" borderId="25" xfId="0" applyFont="1" applyBorder="1" applyAlignment="1">
      <alignment horizontal="left" vertical="top"/>
    </xf>
    <xf numFmtId="0" fontId="6" fillId="0" borderId="25" xfId="0" applyFont="1" applyBorder="1" applyAlignment="1">
      <alignment vertical="top"/>
    </xf>
    <xf numFmtId="0" fontId="6" fillId="0" borderId="25" xfId="0" applyFont="1" applyBorder="1" applyAlignment="1">
      <alignment horizontal="left" vertical="top" indent="2"/>
    </xf>
    <xf numFmtId="0" fontId="0" fillId="0" borderId="25" xfId="0" applyBorder="1" applyAlignment="1">
      <alignment horizontal="left" vertical="top" indent="3"/>
    </xf>
    <xf numFmtId="0" fontId="0" fillId="0" borderId="25" xfId="0" applyBorder="1" applyAlignment="1">
      <alignment horizontal="left" vertical="top" indent="5"/>
    </xf>
    <xf numFmtId="0" fontId="0" fillId="0" borderId="25" xfId="0" applyBorder="1" applyAlignment="1">
      <alignment horizontal="left" vertical="top" indent="7"/>
    </xf>
    <xf numFmtId="0" fontId="13" fillId="0" borderId="0" xfId="0" applyFont="1"/>
    <xf numFmtId="0" fontId="5" fillId="0" borderId="0" xfId="0" applyFont="1"/>
    <xf numFmtId="0" fontId="14" fillId="0" borderId="0" xfId="0" applyFont="1" applyAlignment="1">
      <alignment vertical="top"/>
    </xf>
    <xf numFmtId="0" fontId="14" fillId="0" borderId="0" xfId="0" applyFont="1" applyAlignment="1">
      <alignment horizontal="left" vertical="top" wrapText="1"/>
    </xf>
    <xf numFmtId="0" fontId="15" fillId="0" borderId="0" xfId="0" applyFont="1" applyAlignment="1">
      <alignment horizontal="left" vertical="top"/>
    </xf>
    <xf numFmtId="0" fontId="14" fillId="0" borderId="0" xfId="0" applyFont="1" applyAlignment="1">
      <alignment vertical="top" wrapText="1"/>
    </xf>
    <xf numFmtId="0" fontId="7" fillId="0" borderId="0" xfId="0" quotePrefix="1" applyFont="1" applyAlignment="1">
      <alignment vertical="top"/>
    </xf>
    <xf numFmtId="164" fontId="0" fillId="0" borderId="0" xfId="0" applyNumberFormat="1"/>
    <xf numFmtId="0" fontId="13" fillId="0" borderId="0" xfId="0" applyFont="1" applyAlignment="1">
      <alignment vertical="top"/>
    </xf>
    <xf numFmtId="0" fontId="5" fillId="0" borderId="0" xfId="0" applyFont="1" applyAlignment="1">
      <alignment vertical="top"/>
    </xf>
    <xf numFmtId="0" fontId="7" fillId="0" borderId="0" xfId="0" applyFont="1" applyAlignment="1">
      <alignment horizontal="right" vertical="top"/>
    </xf>
    <xf numFmtId="0" fontId="6" fillId="10" borderId="18" xfId="0" applyFont="1" applyFill="1" applyBorder="1" applyAlignment="1">
      <alignment horizontal="center" vertical="center" wrapText="1"/>
    </xf>
    <xf numFmtId="0" fontId="6" fillId="8" borderId="18" xfId="0" applyFont="1" applyFill="1" applyBorder="1" applyAlignment="1">
      <alignment horizontal="center" vertical="center" wrapText="1"/>
    </xf>
    <xf numFmtId="0" fontId="6" fillId="10" borderId="27" xfId="0" applyFont="1" applyFill="1" applyBorder="1" applyAlignment="1">
      <alignment horizontal="right" vertical="top" wrapText="1"/>
    </xf>
    <xf numFmtId="0" fontId="6" fillId="8" borderId="27" xfId="0" applyFont="1" applyFill="1" applyBorder="1" applyAlignment="1">
      <alignment horizontal="right" vertical="top"/>
    </xf>
    <xf numFmtId="0" fontId="6" fillId="10" borderId="18" xfId="0" applyFont="1" applyFill="1" applyBorder="1" applyAlignment="1">
      <alignment horizontal="right" vertical="top" wrapText="1"/>
    </xf>
    <xf numFmtId="0" fontId="6" fillId="8" borderId="24" xfId="0" applyFont="1" applyFill="1" applyBorder="1" applyAlignment="1">
      <alignment horizontal="right" vertical="top"/>
    </xf>
    <xf numFmtId="0" fontId="6" fillId="0" borderId="0" xfId="0" applyFont="1" applyAlignment="1">
      <alignment horizontal="center" vertical="top"/>
    </xf>
    <xf numFmtId="0" fontId="0" fillId="0" borderId="25" xfId="0" applyBorder="1" applyAlignment="1">
      <alignment horizontal="left" vertical="top" indent="1"/>
    </xf>
    <xf numFmtId="0" fontId="0" fillId="0" borderId="25" xfId="0" applyBorder="1" applyAlignment="1">
      <alignment horizontal="left" vertical="top" wrapText="1" indent="1"/>
    </xf>
    <xf numFmtId="0" fontId="7" fillId="0" borderId="25" xfId="0" applyFont="1" applyBorder="1" applyAlignment="1">
      <alignment horizontal="left" vertical="top" indent="1"/>
    </xf>
    <xf numFmtId="0" fontId="6" fillId="0" borderId="32" xfId="0" applyFont="1" applyBorder="1" applyAlignment="1">
      <alignment horizontal="left" vertical="top"/>
    </xf>
    <xf numFmtId="0" fontId="7" fillId="0" borderId="32" xfId="0" applyFont="1" applyBorder="1" applyAlignment="1">
      <alignment horizontal="left" vertical="top" indent="1"/>
    </xf>
    <xf numFmtId="0" fontId="6" fillId="9" borderId="25" xfId="0" applyFont="1" applyFill="1" applyBorder="1" applyAlignment="1">
      <alignment vertical="top" wrapText="1"/>
    </xf>
    <xf numFmtId="0" fontId="6" fillId="0" borderId="0" xfId="5" applyFont="1" applyAlignment="1">
      <alignment vertical="top"/>
    </xf>
    <xf numFmtId="0" fontId="6" fillId="0" borderId="0" xfId="0" applyFont="1" applyAlignment="1">
      <alignment vertical="top" wrapText="1"/>
    </xf>
    <xf numFmtId="0" fontId="6" fillId="0" borderId="0" xfId="0" applyFont="1" applyAlignment="1">
      <alignment horizontal="left" vertical="center" wrapText="1"/>
    </xf>
    <xf numFmtId="0" fontId="7" fillId="0" borderId="0" xfId="0" applyFont="1" applyAlignment="1">
      <alignment horizontal="left" vertical="center"/>
    </xf>
    <xf numFmtId="0" fontId="7" fillId="0" borderId="0" xfId="0" applyFont="1" applyAlignment="1">
      <alignment horizontal="left" vertical="center" wrapText="1"/>
    </xf>
    <xf numFmtId="0" fontId="13" fillId="9" borderId="0" xfId="0" applyFont="1" applyFill="1" applyAlignment="1">
      <alignment vertical="top"/>
    </xf>
    <xf numFmtId="0" fontId="5" fillId="9" borderId="0" xfId="0" applyFont="1" applyFill="1" applyAlignment="1">
      <alignment vertical="top"/>
    </xf>
    <xf numFmtId="39" fontId="8" fillId="9" borderId="0" xfId="0" applyNumberFormat="1" applyFont="1" applyFill="1" applyAlignment="1">
      <alignment horizontal="right" vertical="top"/>
    </xf>
    <xf numFmtId="39" fontId="6" fillId="10" borderId="24" xfId="0" applyNumberFormat="1" applyFont="1" applyFill="1" applyBorder="1" applyAlignment="1">
      <alignment horizontal="right" vertical="top" wrapText="1"/>
    </xf>
    <xf numFmtId="39" fontId="6" fillId="0" borderId="49" xfId="0" applyNumberFormat="1" applyFont="1" applyBorder="1" applyAlignment="1">
      <alignment vertical="center" wrapText="1"/>
    </xf>
    <xf numFmtId="39" fontId="6" fillId="4" borderId="60" xfId="0" applyNumberFormat="1" applyFont="1" applyFill="1" applyBorder="1" applyAlignment="1">
      <alignment vertical="center" wrapText="1"/>
    </xf>
    <xf numFmtId="164" fontId="7" fillId="0" borderId="0" xfId="0" applyNumberFormat="1" applyFont="1" applyAlignment="1">
      <alignment horizontal="right" vertical="top"/>
    </xf>
    <xf numFmtId="164" fontId="7" fillId="0" borderId="0" xfId="0" applyNumberFormat="1" applyFont="1" applyAlignment="1">
      <alignment vertical="top"/>
    </xf>
    <xf numFmtId="0" fontId="7" fillId="9" borderId="0" xfId="0" applyFont="1" applyFill="1" applyAlignment="1">
      <alignment horizontal="right" vertical="top"/>
    </xf>
    <xf numFmtId="0" fontId="6" fillId="5" borderId="18" xfId="0" applyFont="1" applyFill="1" applyBorder="1" applyAlignment="1">
      <alignment horizontal="center" vertical="center"/>
    </xf>
    <xf numFmtId="0" fontId="6" fillId="8" borderId="24" xfId="0" applyFont="1" applyFill="1" applyBorder="1" applyAlignment="1">
      <alignment horizontal="center" vertical="center"/>
    </xf>
    <xf numFmtId="0" fontId="0" fillId="0" borderId="0" xfId="0" applyAlignment="1">
      <alignment horizontal="left"/>
    </xf>
    <xf numFmtId="0" fontId="0" fillId="0" borderId="0" xfId="0" applyAlignment="1">
      <alignment vertical="top"/>
    </xf>
    <xf numFmtId="0" fontId="6" fillId="9" borderId="33" xfId="0" applyFont="1" applyFill="1" applyBorder="1" applyAlignment="1">
      <alignment vertical="top"/>
    </xf>
    <xf numFmtId="0" fontId="6" fillId="9" borderId="25" xfId="0" applyFont="1" applyFill="1" applyBorder="1" applyAlignment="1">
      <alignment horizontal="left" vertical="top"/>
    </xf>
    <xf numFmtId="0" fontId="6" fillId="9" borderId="33" xfId="0" applyFont="1" applyFill="1" applyBorder="1" applyAlignment="1">
      <alignment horizontal="left" vertical="top"/>
    </xf>
    <xf numFmtId="0" fontId="6" fillId="0" borderId="0" xfId="0" applyFont="1" applyAlignment="1">
      <alignment horizontal="center"/>
    </xf>
    <xf numFmtId="0" fontId="6" fillId="0" borderId="0" xfId="0" applyFont="1" applyAlignment="1">
      <alignment horizontal="left"/>
    </xf>
    <xf numFmtId="0" fontId="0" fillId="0" borderId="0" xfId="0" applyAlignment="1">
      <alignment horizontal="right"/>
    </xf>
    <xf numFmtId="164" fontId="32" fillId="0" borderId="0" xfId="0" applyNumberFormat="1" applyFont="1"/>
    <xf numFmtId="164" fontId="11" fillId="0" borderId="0" xfId="0" applyNumberFormat="1" applyFont="1"/>
    <xf numFmtId="0" fontId="6" fillId="0" borderId="49" xfId="0" applyFont="1" applyBorder="1"/>
    <xf numFmtId="0" fontId="23" fillId="0" borderId="49" xfId="0" applyFont="1" applyBorder="1"/>
    <xf numFmtId="0" fontId="6" fillId="0" borderId="41" xfId="0" applyFont="1" applyBorder="1"/>
    <xf numFmtId="164" fontId="0" fillId="0" borderId="0" xfId="0" applyNumberFormat="1" applyAlignment="1">
      <alignment horizontal="center" wrapText="1"/>
    </xf>
    <xf numFmtId="0" fontId="6" fillId="9" borderId="0" xfId="0" applyFont="1" applyFill="1" applyAlignment="1">
      <alignment horizontal="center" vertical="top"/>
    </xf>
    <xf numFmtId="0" fontId="6" fillId="9" borderId="0" xfId="0" applyFont="1" applyFill="1" applyAlignment="1">
      <alignment horizontal="left" vertical="top"/>
    </xf>
    <xf numFmtId="0" fontId="6" fillId="0" borderId="0" xfId="0" applyFont="1" applyAlignment="1">
      <alignment horizontal="right" vertical="top"/>
    </xf>
    <xf numFmtId="0" fontId="6" fillId="0" borderId="0" xfId="0" applyFont="1"/>
    <xf numFmtId="0" fontId="7" fillId="0" borderId="0" xfId="0" applyFont="1" applyAlignment="1">
      <alignment horizontal="right" wrapText="1"/>
    </xf>
    <xf numFmtId="0" fontId="6" fillId="10" borderId="16" xfId="0" applyFont="1" applyFill="1" applyBorder="1" applyAlignment="1">
      <alignment horizontal="center" vertical="center" wrapText="1"/>
    </xf>
    <xf numFmtId="164" fontId="11" fillId="0" borderId="0" xfId="0" applyNumberFormat="1" applyFont="1" applyAlignment="1">
      <alignment wrapText="1"/>
    </xf>
    <xf numFmtId="0" fontId="14" fillId="0" borderId="0" xfId="0" applyFont="1" applyAlignment="1">
      <alignment horizontal="center"/>
    </xf>
    <xf numFmtId="0" fontId="23" fillId="0" borderId="12" xfId="0" applyFont="1" applyBorder="1"/>
    <xf numFmtId="164" fontId="32" fillId="0" borderId="0" xfId="0" applyNumberFormat="1" applyFont="1" applyAlignment="1">
      <alignment horizontal="left" vertical="top"/>
    </xf>
    <xf numFmtId="0" fontId="7" fillId="0" borderId="12" xfId="0" applyFont="1" applyBorder="1"/>
    <xf numFmtId="0" fontId="23" fillId="0" borderId="14" xfId="0" applyFont="1" applyBorder="1"/>
    <xf numFmtId="0" fontId="6" fillId="0" borderId="0" xfId="0" applyFont="1" applyAlignment="1">
      <alignment horizontal="right"/>
    </xf>
    <xf numFmtId="0" fontId="0" fillId="0" borderId="0" xfId="0" applyAlignment="1">
      <alignment horizontal="right" wrapText="1"/>
    </xf>
    <xf numFmtId="164" fontId="7" fillId="4" borderId="18" xfId="0" applyNumberFormat="1" applyFont="1" applyFill="1" applyBorder="1"/>
    <xf numFmtId="164" fontId="7" fillId="0" borderId="18" xfId="0" applyNumberFormat="1" applyFont="1" applyBorder="1"/>
    <xf numFmtId="164" fontId="0" fillId="4" borderId="18" xfId="0" applyNumberFormat="1" applyFill="1" applyBorder="1"/>
    <xf numFmtId="0" fontId="6" fillId="0" borderId="0" xfId="0" quotePrefix="1" applyFont="1" applyAlignment="1">
      <alignment horizontal="center" vertical="top"/>
    </xf>
    <xf numFmtId="0" fontId="6" fillId="0" borderId="0" xfId="0" applyFont="1" applyAlignment="1">
      <alignment horizontal="left" vertical="top"/>
    </xf>
    <xf numFmtId="0" fontId="6" fillId="10" borderId="18" xfId="0" applyFont="1" applyFill="1" applyBorder="1" applyAlignment="1">
      <alignment horizontal="right" vertical="top"/>
    </xf>
    <xf numFmtId="0" fontId="6" fillId="8" borderId="18" xfId="0" applyFont="1" applyFill="1" applyBorder="1" applyAlignment="1">
      <alignment horizontal="right" vertical="top"/>
    </xf>
    <xf numFmtId="17" fontId="7" fillId="0" borderId="0" xfId="0" applyNumberFormat="1" applyFont="1" applyAlignment="1">
      <alignment horizontal="center" vertical="center"/>
    </xf>
    <xf numFmtId="0" fontId="6" fillId="5" borderId="18" xfId="0" applyFont="1" applyFill="1" applyBorder="1" applyAlignment="1">
      <alignment horizontal="right" vertical="top"/>
    </xf>
    <xf numFmtId="164" fontId="6" fillId="0" borderId="0" xfId="0" applyNumberFormat="1" applyFont="1" applyAlignment="1">
      <alignment horizontal="left" vertical="center"/>
    </xf>
    <xf numFmtId="164" fontId="6" fillId="0" borderId="0" xfId="0" applyNumberFormat="1" applyFont="1" applyAlignment="1">
      <alignment horizontal="left" vertical="top"/>
    </xf>
    <xf numFmtId="0" fontId="7" fillId="0" borderId="0" xfId="0" applyFont="1" applyAlignment="1">
      <alignment horizontal="center" vertical="center"/>
    </xf>
    <xf numFmtId="164" fontId="6" fillId="0" borderId="31" xfId="0" applyNumberFormat="1" applyFont="1" applyBorder="1" applyAlignment="1">
      <alignment horizontal="right" vertical="top"/>
    </xf>
    <xf numFmtId="164" fontId="7" fillId="9" borderId="16" xfId="0" applyNumberFormat="1" applyFont="1" applyFill="1" applyBorder="1" applyAlignment="1">
      <alignment horizontal="right" vertical="top"/>
    </xf>
    <xf numFmtId="0" fontId="6" fillId="10" borderId="18" xfId="0" applyFont="1" applyFill="1" applyBorder="1" applyAlignment="1">
      <alignment horizontal="right"/>
    </xf>
    <xf numFmtId="0" fontId="6" fillId="8" borderId="27" xfId="0" applyFont="1" applyFill="1" applyBorder="1" applyAlignment="1">
      <alignment horizontal="right"/>
    </xf>
    <xf numFmtId="0" fontId="6" fillId="4" borderId="18" xfId="0" applyFont="1" applyFill="1" applyBorder="1" applyAlignment="1">
      <alignment horizontal="right" vertical="top"/>
    </xf>
    <xf numFmtId="0" fontId="0" fillId="9" borderId="0" xfId="0" applyFill="1" applyAlignment="1">
      <alignment horizontal="right" vertical="top"/>
    </xf>
    <xf numFmtId="0" fontId="23" fillId="0" borderId="0" xfId="0" applyFont="1" applyAlignment="1">
      <alignment horizontal="left" vertical="top"/>
    </xf>
    <xf numFmtId="0" fontId="7" fillId="0" borderId="0" xfId="0" applyFont="1" applyAlignment="1">
      <alignment vertical="top" wrapText="1"/>
    </xf>
    <xf numFmtId="0" fontId="13" fillId="9" borderId="0" xfId="0" applyFont="1" applyFill="1" applyAlignment="1">
      <alignment horizontal="left" vertical="top"/>
    </xf>
    <xf numFmtId="0" fontId="5" fillId="9" borderId="0" xfId="0" applyFont="1" applyFill="1" applyAlignment="1">
      <alignment horizontal="left" vertical="top"/>
    </xf>
    <xf numFmtId="0" fontId="6" fillId="10" borderId="33" xfId="0" applyFont="1" applyFill="1" applyBorder="1" applyAlignment="1">
      <alignment horizontal="center" vertical="center" wrapText="1"/>
    </xf>
    <xf numFmtId="0" fontId="6" fillId="8" borderId="33" xfId="0" applyFont="1" applyFill="1" applyBorder="1" applyAlignment="1">
      <alignment horizontal="center" vertical="center" wrapText="1"/>
    </xf>
    <xf numFmtId="0" fontId="7" fillId="0" borderId="25" xfId="0" applyFont="1" applyBorder="1" applyAlignment="1">
      <alignment horizontal="left" vertical="top"/>
    </xf>
    <xf numFmtId="0" fontId="7" fillId="0" borderId="25" xfId="0" applyFont="1" applyBorder="1" applyAlignment="1">
      <alignment vertical="top"/>
    </xf>
    <xf numFmtId="0" fontId="0" fillId="0" borderId="25" xfId="0" applyBorder="1" applyAlignment="1">
      <alignment horizontal="left" vertical="top" wrapText="1"/>
    </xf>
    <xf numFmtId="0" fontId="17" fillId="9" borderId="0" xfId="0" applyFont="1" applyFill="1" applyAlignment="1">
      <alignment horizontal="right" vertical="top"/>
    </xf>
    <xf numFmtId="164" fontId="6" fillId="5" borderId="45" xfId="5" applyNumberFormat="1" applyFont="1" applyFill="1" applyBorder="1" applyAlignment="1">
      <alignment horizontal="center" vertical="center" wrapText="1"/>
    </xf>
    <xf numFmtId="164" fontId="6" fillId="4" borderId="18" xfId="5" applyNumberFormat="1" applyFont="1" applyFill="1" applyBorder="1" applyAlignment="1">
      <alignment horizontal="center" vertical="center" wrapText="1"/>
    </xf>
    <xf numFmtId="164" fontId="7" fillId="0" borderId="30" xfId="12" applyNumberFormat="1" applyBorder="1" applyAlignment="1">
      <alignment horizontal="center" vertical="top"/>
    </xf>
    <xf numFmtId="164" fontId="7" fillId="0" borderId="32" xfId="12" applyNumberFormat="1" applyBorder="1" applyAlignment="1">
      <alignment horizontal="center" vertical="top"/>
    </xf>
    <xf numFmtId="164" fontId="7" fillId="0" borderId="29" xfId="12" applyNumberFormat="1" applyBorder="1" applyAlignment="1">
      <alignment horizontal="center" vertical="top"/>
    </xf>
    <xf numFmtId="0" fontId="7" fillId="0" borderId="30" xfId="12" applyBorder="1" applyAlignment="1">
      <alignment horizontal="center" vertical="top"/>
    </xf>
    <xf numFmtId="0" fontId="7" fillId="0" borderId="29" xfId="12" applyBorder="1" applyAlignment="1">
      <alignment horizontal="center" vertical="top"/>
    </xf>
    <xf numFmtId="166" fontId="7" fillId="0" borderId="29" xfId="12" applyNumberFormat="1" applyBorder="1" applyAlignment="1">
      <alignment horizontal="center" vertical="top"/>
    </xf>
    <xf numFmtId="0" fontId="6" fillId="5" borderId="24" xfId="0" applyFont="1" applyFill="1" applyBorder="1" applyAlignment="1">
      <alignment horizontal="center" vertical="center" wrapText="1"/>
    </xf>
    <xf numFmtId="0" fontId="6" fillId="4" borderId="24" xfId="0" applyFont="1" applyFill="1" applyBorder="1" applyAlignment="1">
      <alignment horizontal="center" vertical="center" wrapText="1"/>
    </xf>
    <xf numFmtId="164" fontId="7" fillId="0" borderId="0" xfId="0" applyNumberFormat="1" applyFont="1"/>
    <xf numFmtId="164" fontId="6" fillId="4" borderId="18" xfId="0" applyNumberFormat="1" applyFont="1" applyFill="1" applyBorder="1" applyAlignment="1">
      <alignment horizontal="right" vertical="top"/>
    </xf>
    <xf numFmtId="164" fontId="6" fillId="0" borderId="18" xfId="0" applyNumberFormat="1" applyFont="1" applyBorder="1" applyAlignment="1">
      <alignment horizontal="right" vertical="top"/>
    </xf>
    <xf numFmtId="0" fontId="6" fillId="5" borderId="22" xfId="4" applyFont="1" applyFill="1" applyBorder="1" applyAlignment="1">
      <alignment horizontal="center" vertical="center" wrapText="1"/>
    </xf>
    <xf numFmtId="0" fontId="7" fillId="0" borderId="29" xfId="0" applyFont="1" applyBorder="1" applyAlignment="1">
      <alignment horizontal="center" vertical="center"/>
    </xf>
    <xf numFmtId="164" fontId="17" fillId="9" borderId="0" xfId="0" applyNumberFormat="1" applyFont="1" applyFill="1" applyAlignment="1">
      <alignment horizontal="right" vertical="top"/>
    </xf>
    <xf numFmtId="0" fontId="6" fillId="5" borderId="60" xfId="0" applyFont="1" applyFill="1" applyBorder="1" applyAlignment="1">
      <alignment horizontal="right" vertical="top"/>
    </xf>
    <xf numFmtId="0" fontId="17" fillId="0" borderId="0" xfId="0" applyFont="1" applyAlignment="1">
      <alignment horizontal="right" vertical="top"/>
    </xf>
    <xf numFmtId="0" fontId="7" fillId="9" borderId="0" xfId="0" quotePrefix="1" applyFont="1" applyFill="1" applyAlignment="1">
      <alignment horizontal="right" vertical="top"/>
    </xf>
    <xf numFmtId="0" fontId="6" fillId="8" borderId="18" xfId="0" applyFont="1" applyFill="1" applyBorder="1" applyAlignment="1">
      <alignment horizontal="center" vertical="top" wrapText="1"/>
    </xf>
    <xf numFmtId="0" fontId="7" fillId="0" borderId="0" xfId="0" applyFont="1" applyAlignment="1">
      <alignment horizontal="right"/>
    </xf>
    <xf numFmtId="0" fontId="7" fillId="0" borderId="32" xfId="0" applyFont="1" applyBorder="1"/>
    <xf numFmtId="0" fontId="17" fillId="9" borderId="0" xfId="0" quotePrefix="1" applyFont="1" applyFill="1" applyAlignment="1">
      <alignment horizontal="right" vertical="top"/>
    </xf>
    <xf numFmtId="0" fontId="6" fillId="10" borderId="18" xfId="0" applyFont="1" applyFill="1" applyBorder="1" applyAlignment="1">
      <alignment horizontal="center" vertical="top" wrapText="1"/>
    </xf>
    <xf numFmtId="0" fontId="6" fillId="8" borderId="24" xfId="0" applyFont="1" applyFill="1" applyBorder="1" applyAlignment="1">
      <alignment horizontal="center" vertical="top" wrapText="1"/>
    </xf>
    <xf numFmtId="0" fontId="8" fillId="9" borderId="0" xfId="0" quotePrefix="1" applyFont="1" applyFill="1" applyAlignment="1">
      <alignment horizontal="right" vertical="top"/>
    </xf>
    <xf numFmtId="0" fontId="0" fillId="0" borderId="0" xfId="0" applyAlignment="1">
      <alignment horizontal="center" vertical="center"/>
    </xf>
    <xf numFmtId="0" fontId="7" fillId="0" borderId="0" xfId="0" applyFont="1" applyAlignment="1">
      <alignment horizontal="left" vertical="top" indent="1"/>
    </xf>
    <xf numFmtId="0" fontId="7" fillId="0" borderId="33" xfId="0" applyFont="1" applyBorder="1" applyAlignment="1">
      <alignment horizontal="left" vertical="top" indent="1"/>
    </xf>
    <xf numFmtId="0" fontId="0" fillId="0" borderId="0" xfId="0" applyAlignment="1">
      <alignment horizontal="right" indent="1"/>
    </xf>
    <xf numFmtId="0" fontId="0" fillId="0" borderId="0" xfId="0" applyAlignment="1">
      <alignment horizontal="right" vertical="top" wrapText="1"/>
    </xf>
    <xf numFmtId="164" fontId="0" fillId="0" borderId="37" xfId="0" applyNumberFormat="1" applyBorder="1"/>
    <xf numFmtId="0" fontId="0" fillId="0" borderId="37" xfId="0" applyBorder="1"/>
    <xf numFmtId="0" fontId="0" fillId="0" borderId="35" xfId="0" applyBorder="1"/>
    <xf numFmtId="164" fontId="0" fillId="0" borderId="29" xfId="0" applyNumberFormat="1" applyBorder="1"/>
    <xf numFmtId="0" fontId="0" fillId="0" borderId="29" xfId="0" applyBorder="1"/>
    <xf numFmtId="0" fontId="0" fillId="0" borderId="31" xfId="0" applyBorder="1"/>
    <xf numFmtId="164" fontId="0" fillId="0" borderId="31" xfId="0" applyNumberFormat="1" applyBorder="1"/>
    <xf numFmtId="0" fontId="6" fillId="5" borderId="42" xfId="0" applyFont="1" applyFill="1" applyBorder="1" applyAlignment="1">
      <alignment horizontal="center" vertical="top"/>
    </xf>
    <xf numFmtId="0" fontId="7" fillId="4" borderId="30" xfId="0" applyFont="1" applyFill="1" applyBorder="1" applyAlignment="1">
      <alignment vertical="top"/>
    </xf>
    <xf numFmtId="0" fontId="7" fillId="4" borderId="29" xfId="0" applyFont="1" applyFill="1" applyBorder="1" applyAlignment="1">
      <alignment vertical="top"/>
    </xf>
    <xf numFmtId="0" fontId="7" fillId="4" borderId="28" xfId="0" applyFont="1" applyFill="1" applyBorder="1" applyAlignment="1">
      <alignment vertical="top"/>
    </xf>
    <xf numFmtId="0" fontId="7" fillId="4" borderId="24" xfId="0" applyFont="1" applyFill="1" applyBorder="1" applyAlignment="1">
      <alignment horizontal="center" vertical="center" wrapText="1"/>
    </xf>
    <xf numFmtId="1" fontId="7" fillId="4" borderId="27" xfId="0" applyNumberFormat="1" applyFont="1" applyFill="1" applyBorder="1" applyAlignment="1">
      <alignment horizontal="center" vertical="center" wrapText="1"/>
    </xf>
    <xf numFmtId="1" fontId="7" fillId="4" borderId="25" xfId="0" applyNumberFormat="1" applyFont="1" applyFill="1" applyBorder="1" applyAlignment="1">
      <alignment horizontal="center" vertical="center" wrapText="1"/>
    </xf>
    <xf numFmtId="1" fontId="7" fillId="4" borderId="33" xfId="0" applyNumberFormat="1" applyFont="1" applyFill="1" applyBorder="1" applyAlignment="1">
      <alignment horizontal="center" vertical="center" wrapText="1"/>
    </xf>
    <xf numFmtId="2" fontId="7" fillId="4" borderId="27" xfId="0" applyNumberFormat="1" applyFont="1" applyFill="1" applyBorder="1" applyAlignment="1">
      <alignment horizontal="center" vertical="center" wrapText="1"/>
    </xf>
    <xf numFmtId="2" fontId="7" fillId="4" borderId="44" xfId="0" applyNumberFormat="1" applyFont="1" applyFill="1" applyBorder="1" applyAlignment="1">
      <alignment horizontal="center" vertical="center" wrapText="1"/>
    </xf>
    <xf numFmtId="2" fontId="6" fillId="4" borderId="18" xfId="0" applyNumberFormat="1" applyFont="1" applyFill="1" applyBorder="1" applyAlignment="1">
      <alignment horizontal="center" vertical="center" wrapText="1"/>
    </xf>
    <xf numFmtId="15" fontId="6" fillId="0" borderId="24" xfId="11" quotePrefix="1" applyNumberFormat="1" applyFont="1" applyBorder="1" applyAlignment="1">
      <alignment horizontal="left" vertical="top"/>
    </xf>
    <xf numFmtId="164" fontId="7" fillId="0" borderId="29" xfId="11" applyNumberFormat="1" applyFont="1" applyBorder="1" applyAlignment="1">
      <alignment horizontal="center" vertical="center" wrapText="1"/>
    </xf>
    <xf numFmtId="164" fontId="7" fillId="0" borderId="28" xfId="11" applyNumberFormat="1" applyFont="1" applyBorder="1" applyAlignment="1">
      <alignment horizontal="center" vertical="center" wrapText="1"/>
    </xf>
    <xf numFmtId="15" fontId="6" fillId="0" borderId="25" xfId="11" quotePrefix="1" applyNumberFormat="1" applyFont="1" applyBorder="1" applyAlignment="1">
      <alignment horizontal="left" vertical="top"/>
    </xf>
    <xf numFmtId="0" fontId="6" fillId="4" borderId="18" xfId="0" applyFont="1" applyFill="1" applyBorder="1" applyAlignment="1">
      <alignment horizontal="center" vertical="top" wrapText="1"/>
    </xf>
    <xf numFmtId="164" fontId="7" fillId="0" borderId="37" xfId="11" applyNumberFormat="1" applyFont="1" applyBorder="1" applyAlignment="1">
      <alignment horizontal="center" vertical="center" wrapText="1"/>
    </xf>
    <xf numFmtId="164" fontId="7" fillId="0" borderId="35" xfId="11" applyNumberFormat="1" applyFont="1" applyBorder="1" applyAlignment="1">
      <alignment horizontal="center" vertical="center" wrapText="1"/>
    </xf>
    <xf numFmtId="164" fontId="7" fillId="0" borderId="30" xfId="11" applyNumberFormat="1" applyFont="1" applyBorder="1" applyAlignment="1">
      <alignment horizontal="center" vertical="center" wrapText="1"/>
    </xf>
    <xf numFmtId="164" fontId="7" fillId="0" borderId="48" xfId="11" applyNumberFormat="1" applyFont="1" applyBorder="1" applyAlignment="1">
      <alignment horizontal="center" vertical="center" wrapText="1"/>
    </xf>
    <xf numFmtId="164" fontId="7" fillId="0" borderId="42" xfId="11" applyNumberFormat="1" applyFont="1" applyBorder="1" applyAlignment="1">
      <alignment horizontal="center" vertical="center" wrapText="1"/>
    </xf>
    <xf numFmtId="164" fontId="7" fillId="0" borderId="40" xfId="11" applyNumberFormat="1" applyFont="1" applyBorder="1" applyAlignment="1">
      <alignment horizontal="center" vertical="center" wrapText="1"/>
    </xf>
    <xf numFmtId="0" fontId="8" fillId="9" borderId="0" xfId="0" quotePrefix="1" applyFont="1" applyFill="1" applyAlignment="1">
      <alignment vertical="top"/>
    </xf>
    <xf numFmtId="0" fontId="6" fillId="5" borderId="18" xfId="0" applyFont="1" applyFill="1" applyBorder="1" applyAlignment="1">
      <alignment horizontal="right" vertical="top" wrapText="1"/>
    </xf>
    <xf numFmtId="0" fontId="6" fillId="4" borderId="24" xfId="0" applyFont="1" applyFill="1" applyBorder="1" applyAlignment="1">
      <alignment horizontal="right" vertical="top" wrapText="1"/>
    </xf>
    <xf numFmtId="0" fontId="6" fillId="4" borderId="18" xfId="0" applyFont="1" applyFill="1" applyBorder="1" applyAlignment="1">
      <alignment horizontal="right" vertical="top" wrapText="1"/>
    </xf>
    <xf numFmtId="10" fontId="7" fillId="0" borderId="0" xfId="0" applyNumberFormat="1" applyFont="1" applyAlignment="1">
      <alignment horizontal="right" vertical="top"/>
    </xf>
    <xf numFmtId="0" fontId="3" fillId="0" borderId="28" xfId="0" applyFont="1" applyBorder="1" applyAlignment="1" applyProtection="1">
      <alignment horizontal="center"/>
      <protection locked="0"/>
    </xf>
    <xf numFmtId="0" fontId="3" fillId="0" borderId="30" xfId="0" applyFont="1" applyBorder="1" applyAlignment="1" applyProtection="1">
      <alignment horizontal="center"/>
      <protection locked="0"/>
    </xf>
    <xf numFmtId="0" fontId="0" fillId="0" borderId="0" xfId="0" applyAlignment="1" applyProtection="1">
      <alignment horizontal="justify" vertical="top" wrapText="1"/>
      <protection locked="0"/>
    </xf>
    <xf numFmtId="0" fontId="6" fillId="0" borderId="0" xfId="0" applyFont="1" applyAlignment="1" applyProtection="1">
      <alignment horizontal="left" vertical="top" wrapText="1"/>
      <protection locked="0"/>
    </xf>
    <xf numFmtId="0" fontId="7" fillId="0" borderId="0" xfId="0" applyFont="1" applyAlignment="1" applyProtection="1">
      <alignment horizontal="justify" vertical="top" wrapText="1"/>
      <protection locked="0"/>
    </xf>
    <xf numFmtId="0" fontId="6" fillId="0" borderId="0" xfId="0" applyFont="1" applyAlignment="1" applyProtection="1">
      <alignment horizontal="justify" vertical="top" wrapText="1"/>
      <protection locked="0"/>
    </xf>
    <xf numFmtId="0" fontId="7" fillId="0" borderId="0" xfId="0" applyFont="1"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pplyProtection="1">
      <alignment horizontal="justify" vertical="top"/>
      <protection locked="0"/>
    </xf>
    <xf numFmtId="0" fontId="6" fillId="4" borderId="24" xfId="0" applyFont="1" applyFill="1" applyBorder="1" applyAlignment="1" applyProtection="1">
      <alignment horizontal="center" vertical="center"/>
      <protection locked="0"/>
    </xf>
    <xf numFmtId="0" fontId="6" fillId="0" borderId="0" xfId="0" applyFont="1" applyAlignment="1">
      <alignment horizontal="left" vertical="top" wrapText="1"/>
    </xf>
    <xf numFmtId="0" fontId="6" fillId="0" borderId="33" xfId="0" applyFont="1" applyBorder="1" applyAlignment="1" applyProtection="1">
      <alignment horizontal="left" vertical="top"/>
      <protection locked="0"/>
    </xf>
    <xf numFmtId="0" fontId="7" fillId="0" borderId="25" xfId="0" applyFont="1" applyBorder="1" applyAlignment="1" applyProtection="1">
      <alignment horizontal="left" vertical="top" wrapText="1"/>
      <protection locked="0"/>
    </xf>
    <xf numFmtId="16" fontId="7" fillId="0" borderId="0" xfId="0" applyNumberFormat="1" applyFont="1" applyAlignment="1" applyProtection="1">
      <alignment horizontal="left"/>
      <protection locked="0"/>
    </xf>
    <xf numFmtId="0" fontId="7" fillId="0" borderId="25" xfId="0" applyFont="1" applyBorder="1" applyAlignment="1" applyProtection="1">
      <alignment vertical="top" wrapText="1"/>
      <protection locked="0"/>
    </xf>
    <xf numFmtId="0" fontId="14" fillId="4" borderId="24" xfId="0" applyFont="1" applyFill="1" applyBorder="1" applyAlignment="1" applyProtection="1">
      <alignment horizontal="center" vertical="center"/>
      <protection locked="0"/>
    </xf>
    <xf numFmtId="0" fontId="7" fillId="0" borderId="33" xfId="0" applyFont="1" applyBorder="1" applyAlignment="1" applyProtection="1">
      <alignment horizontal="left" vertical="top" wrapText="1"/>
      <protection locked="0"/>
    </xf>
    <xf numFmtId="0" fontId="6" fillId="4" borderId="33" xfId="0" applyFont="1" applyFill="1" applyBorder="1" applyAlignment="1">
      <alignment horizontal="center" vertical="center"/>
    </xf>
    <xf numFmtId="0" fontId="6" fillId="0" borderId="33" xfId="0" applyFont="1" applyBorder="1" applyAlignment="1" applyProtection="1">
      <alignment horizontal="left"/>
      <protection locked="0"/>
    </xf>
    <xf numFmtId="0" fontId="7" fillId="0" borderId="0" xfId="0" applyFont="1" applyAlignment="1" applyProtection="1">
      <alignment horizontal="justify" vertical="top"/>
      <protection locked="0"/>
    </xf>
    <xf numFmtId="0" fontId="7" fillId="0" borderId="0" xfId="0" applyFont="1" applyAlignment="1" applyProtection="1">
      <alignment horizontal="left"/>
      <protection locked="0"/>
    </xf>
    <xf numFmtId="0" fontId="0" fillId="0" borderId="0" xfId="0" applyAlignment="1" applyProtection="1">
      <alignment horizontal="left"/>
      <protection locked="0"/>
    </xf>
    <xf numFmtId="0" fontId="7" fillId="0" borderId="49" xfId="0" applyFont="1" applyBorder="1" applyAlignment="1" applyProtection="1">
      <alignment horizontal="center" vertical="center"/>
      <protection locked="0"/>
    </xf>
    <xf numFmtId="0" fontId="7" fillId="0" borderId="49" xfId="0" applyFont="1" applyBorder="1" applyAlignment="1" applyProtection="1">
      <alignment horizontal="center" vertical="top" wrapText="1"/>
      <protection locked="0"/>
    </xf>
    <xf numFmtId="0" fontId="6" fillId="5" borderId="22" xfId="0" applyFont="1" applyFill="1" applyBorder="1" applyAlignment="1" applyProtection="1">
      <alignment horizontal="center" vertical="center"/>
      <protection locked="0"/>
    </xf>
    <xf numFmtId="0" fontId="7" fillId="0" borderId="0" xfId="0" applyFont="1" applyAlignment="1" applyProtection="1">
      <alignment horizontal="left" vertical="top"/>
      <protection locked="0"/>
    </xf>
    <xf numFmtId="164" fontId="7" fillId="0" borderId="14" xfId="1" applyFont="1" applyBorder="1" applyAlignment="1" applyProtection="1">
      <alignment horizontal="center" vertical="center" wrapText="1"/>
    </xf>
    <xf numFmtId="164" fontId="7" fillId="0" borderId="42" xfId="1" applyFont="1" applyBorder="1" applyAlignment="1" applyProtection="1">
      <alignment horizontal="center" vertical="center" wrapText="1"/>
    </xf>
    <xf numFmtId="164" fontId="7" fillId="0" borderId="14" xfId="1" applyFont="1" applyBorder="1" applyAlignment="1" applyProtection="1">
      <alignment horizontal="center" vertical="center"/>
    </xf>
    <xf numFmtId="164" fontId="7" fillId="0" borderId="42" xfId="1" applyFont="1" applyBorder="1" applyAlignment="1" applyProtection="1">
      <alignment horizontal="center" vertical="center"/>
    </xf>
    <xf numFmtId="0" fontId="14" fillId="0" borderId="0" xfId="0" applyFont="1" applyAlignment="1" applyProtection="1">
      <alignment horizontal="center" vertical="top"/>
      <protection locked="0"/>
    </xf>
    <xf numFmtId="164" fontId="6" fillId="0" borderId="37" xfId="1" applyFont="1" applyFill="1" applyBorder="1" applyAlignment="1" applyProtection="1">
      <alignment horizontal="center" vertical="center" wrapText="1"/>
      <protection locked="0"/>
    </xf>
    <xf numFmtId="164" fontId="6" fillId="4" borderId="37" xfId="1" applyFont="1" applyFill="1" applyBorder="1" applyAlignment="1" applyProtection="1">
      <alignment horizontal="center" vertical="center" wrapText="1"/>
      <protection locked="0"/>
    </xf>
    <xf numFmtId="0" fontId="6" fillId="5" borderId="18" xfId="0" applyFont="1" applyFill="1" applyBorder="1" applyAlignment="1">
      <alignment horizontal="center" vertical="center" wrapText="1"/>
    </xf>
    <xf numFmtId="0" fontId="6" fillId="4" borderId="42" xfId="0" applyFont="1" applyFill="1" applyBorder="1" applyAlignment="1" applyProtection="1">
      <alignment horizontal="center" vertical="center"/>
      <protection locked="0"/>
    </xf>
    <xf numFmtId="0" fontId="6" fillId="5" borderId="37" xfId="0" applyFont="1" applyFill="1" applyBorder="1" applyAlignment="1" applyProtection="1">
      <alignment horizontal="center" vertical="center" wrapText="1"/>
      <protection locked="0"/>
    </xf>
    <xf numFmtId="0" fontId="7" fillId="0" borderId="0" xfId="0" quotePrefix="1" applyFont="1" applyAlignment="1" applyProtection="1">
      <alignment horizontal="left" vertical="top" wrapText="1"/>
      <protection locked="0"/>
    </xf>
    <xf numFmtId="0" fontId="7" fillId="0" borderId="0" xfId="0" applyFont="1" applyAlignment="1">
      <alignment horizontal="left" vertical="top" wrapText="1"/>
    </xf>
    <xf numFmtId="0" fontId="6" fillId="0" borderId="25" xfId="0" applyFont="1" applyBorder="1" applyAlignment="1" applyProtection="1">
      <alignment horizontal="left" vertical="top" wrapText="1"/>
      <protection locked="0"/>
    </xf>
    <xf numFmtId="0" fontId="7" fillId="0" borderId="0" xfId="0" applyFont="1" applyAlignment="1" applyProtection="1">
      <alignment horizontal="center" vertical="top" wrapText="1"/>
      <protection locked="0"/>
    </xf>
    <xf numFmtId="0" fontId="0" fillId="0" borderId="0" xfId="0" applyAlignment="1" applyProtection="1">
      <alignment horizontal="center" vertical="top" wrapText="1"/>
      <protection locked="0"/>
    </xf>
    <xf numFmtId="0" fontId="7" fillId="0" borderId="16" xfId="0" applyFont="1" applyBorder="1" applyAlignment="1" applyProtection="1">
      <alignment horizontal="left" vertical="top" wrapText="1"/>
      <protection locked="0"/>
    </xf>
    <xf numFmtId="0" fontId="8"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55" fillId="0" borderId="0" xfId="0" applyNumberFormat="1" applyFont="1" applyFill="1" applyBorder="1" applyAlignment="1" applyProtection="1"/>
    <xf numFmtId="0" fontId="3" fillId="0" borderId="28" xfId="0" applyFont="1" applyBorder="1" applyAlignment="1" applyProtection="1">
      <alignment horizontal="center"/>
      <protection locked="0"/>
    </xf>
    <xf numFmtId="0" fontId="3" fillId="0" borderId="30" xfId="0" applyFont="1" applyBorder="1" applyAlignment="1" applyProtection="1">
      <alignment horizontal="center"/>
      <protection locked="0"/>
    </xf>
    <xf numFmtId="0" fontId="3" fillId="0" borderId="28" xfId="0" applyFont="1" applyBorder="1" applyAlignment="1" applyProtection="1">
      <alignment horizontal="center" wrapText="1"/>
      <protection locked="0"/>
    </xf>
    <xf numFmtId="0" fontId="3" fillId="0" borderId="30" xfId="0" applyFont="1" applyBorder="1" applyAlignment="1" applyProtection="1">
      <alignment horizontal="center" wrapText="1"/>
      <protection locked="0"/>
    </xf>
    <xf numFmtId="0" fontId="3" fillId="0" borderId="29" xfId="0" applyFont="1" applyBorder="1" applyAlignment="1" applyProtection="1">
      <alignment horizontal="center"/>
      <protection locked="0"/>
    </xf>
    <xf numFmtId="0" fontId="6" fillId="0" borderId="17" xfId="1" applyNumberFormat="1" applyFont="1" applyFill="1" applyBorder="1" applyAlignment="1" applyProtection="1">
      <alignment horizontal="center" vertical="top"/>
      <protection locked="0"/>
    </xf>
    <xf numFmtId="0" fontId="6" fillId="0" borderId="19" xfId="1" applyNumberFormat="1" applyFont="1" applyFill="1" applyBorder="1" applyAlignment="1" applyProtection="1">
      <alignment horizontal="center" vertical="top"/>
      <protection locked="0"/>
    </xf>
    <xf numFmtId="0" fontId="6" fillId="0" borderId="17" xfId="0" applyFont="1" applyBorder="1" applyAlignment="1" applyProtection="1">
      <alignment horizontal="center" vertical="top"/>
      <protection locked="0"/>
    </xf>
    <xf numFmtId="0" fontId="6" fillId="0" borderId="19" xfId="0" applyFont="1" applyBorder="1" applyAlignment="1" applyProtection="1">
      <alignment horizontal="center" vertical="top"/>
      <protection locked="0"/>
    </xf>
    <xf numFmtId="0" fontId="7" fillId="0" borderId="17" xfId="0" applyFont="1" applyBorder="1" applyAlignment="1" applyProtection="1">
      <alignment horizontal="center" vertical="top"/>
      <protection locked="0"/>
    </xf>
    <xf numFmtId="0" fontId="7" fillId="0" borderId="19" xfId="0" applyFont="1" applyBorder="1" applyAlignment="1" applyProtection="1">
      <alignment horizontal="center" vertical="top"/>
      <protection locked="0"/>
    </xf>
    <xf numFmtId="39" fontId="23" fillId="4" borderId="35" xfId="0" applyNumberFormat="1" applyFont="1" applyFill="1" applyBorder="1" applyAlignment="1" applyProtection="1">
      <alignment horizontal="center" vertical="center" wrapText="1"/>
      <protection locked="0"/>
    </xf>
    <xf numFmtId="39" fontId="23" fillId="4" borderId="31" xfId="0" applyNumberFormat="1" applyFont="1" applyFill="1" applyBorder="1" applyAlignment="1" applyProtection="1">
      <alignment horizontal="center" vertical="center" wrapText="1"/>
      <protection locked="0"/>
    </xf>
    <xf numFmtId="39" fontId="30" fillId="4" borderId="36" xfId="0" applyNumberFormat="1" applyFont="1" applyFill="1" applyBorder="1" applyAlignment="1" applyProtection="1">
      <alignment horizontal="center" vertical="center"/>
      <protection locked="0"/>
    </xf>
    <xf numFmtId="39" fontId="30" fillId="4" borderId="49" xfId="0" applyNumberFormat="1" applyFont="1" applyFill="1" applyBorder="1" applyAlignment="1" applyProtection="1">
      <alignment horizontal="center" vertical="center"/>
      <protection locked="0"/>
    </xf>
    <xf numFmtId="39" fontId="23" fillId="4" borderId="35" xfId="0" applyNumberFormat="1" applyFont="1" applyFill="1" applyBorder="1" applyAlignment="1" applyProtection="1">
      <alignment horizontal="center" vertical="center"/>
      <protection locked="0"/>
    </xf>
    <xf numFmtId="39" fontId="23" fillId="4" borderId="24" xfId="0" applyNumberFormat="1" applyFont="1" applyFill="1" applyBorder="1" applyAlignment="1" applyProtection="1">
      <alignment horizontal="center" vertical="center"/>
      <protection locked="0"/>
    </xf>
    <xf numFmtId="39" fontId="23" fillId="4" borderId="36" xfId="0" applyNumberFormat="1" applyFont="1" applyFill="1" applyBorder="1" applyAlignment="1" applyProtection="1">
      <alignment horizontal="center" vertical="center"/>
      <protection locked="0"/>
    </xf>
    <xf numFmtId="39" fontId="23" fillId="4" borderId="53" xfId="0" applyNumberFormat="1" applyFont="1" applyFill="1" applyBorder="1" applyAlignment="1" applyProtection="1">
      <alignment vertical="center" wrapText="1"/>
      <protection locked="0"/>
    </xf>
    <xf numFmtId="39" fontId="23" fillId="4" borderId="30" xfId="0" applyNumberFormat="1" applyFont="1" applyFill="1" applyBorder="1" applyAlignment="1" applyProtection="1">
      <alignment vertical="center" wrapText="1"/>
      <protection locked="0"/>
    </xf>
    <xf numFmtId="0" fontId="0" fillId="0" borderId="0" xfId="0" applyAlignment="1" applyProtection="1">
      <alignment horizontal="justify" vertical="top" wrapText="1"/>
      <protection locked="0"/>
    </xf>
    <xf numFmtId="0" fontId="7" fillId="0" borderId="0" xfId="0" applyFont="1" applyAlignment="1" applyProtection="1">
      <alignment horizontal="justify" vertical="top" wrapText="1"/>
      <protection locked="0"/>
    </xf>
    <xf numFmtId="0" fontId="0" fillId="0" borderId="0" xfId="0" applyAlignment="1" applyProtection="1">
      <alignment horizontal="left" vertical="top"/>
      <protection locked="0"/>
    </xf>
    <xf numFmtId="0" fontId="0" fillId="0" borderId="0" xfId="0" applyAlignment="1" applyProtection="1">
      <alignment horizontal="justify" vertical="top"/>
      <protection locked="0"/>
    </xf>
    <xf numFmtId="0" fontId="6" fillId="0" borderId="0" xfId="0" applyFont="1" applyAlignment="1" applyProtection="1">
      <alignment horizontal="justify" vertical="top" wrapText="1"/>
      <protection locked="0"/>
    </xf>
    <xf numFmtId="0" fontId="6"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7" fillId="0" borderId="0" xfId="0" applyFont="1" applyAlignment="1" applyProtection="1">
      <alignment horizontal="left" vertical="top" wrapText="1"/>
      <protection locked="0"/>
    </xf>
    <xf numFmtId="0" fontId="29" fillId="0" borderId="0" xfId="0" applyFont="1" applyAlignment="1" applyProtection="1">
      <alignment horizontal="justify" vertical="top" wrapText="1"/>
      <protection locked="0"/>
    </xf>
    <xf numFmtId="0" fontId="6" fillId="4" borderId="24" xfId="0" applyFont="1" applyFill="1" applyBorder="1" applyAlignment="1" applyProtection="1">
      <alignment horizontal="center" vertical="center"/>
      <protection locked="0"/>
    </xf>
    <xf numFmtId="0" fontId="6" fillId="4" borderId="27" xfId="0" applyFont="1" applyFill="1" applyBorder="1" applyAlignment="1" applyProtection="1">
      <alignment horizontal="center" vertical="center"/>
      <protection locked="0"/>
    </xf>
    <xf numFmtId="0" fontId="6" fillId="4" borderId="32" xfId="0" applyFont="1" applyFill="1" applyBorder="1" applyAlignment="1" applyProtection="1">
      <alignment horizontal="center" vertical="center"/>
      <protection locked="0"/>
    </xf>
    <xf numFmtId="0" fontId="6" fillId="4" borderId="18" xfId="0" applyFont="1" applyFill="1" applyBorder="1" applyAlignment="1" applyProtection="1">
      <alignment horizontal="center" vertical="center" wrapText="1"/>
      <protection locked="0"/>
    </xf>
    <xf numFmtId="0" fontId="6" fillId="0" borderId="0" xfId="0" applyFont="1" applyAlignment="1">
      <alignment horizontal="left" vertical="top" wrapText="1"/>
    </xf>
    <xf numFmtId="0" fontId="6" fillId="4" borderId="18" xfId="0" applyFont="1" applyFill="1" applyBorder="1" applyAlignment="1" applyProtection="1">
      <alignment horizontal="center" wrapText="1"/>
      <protection locked="0"/>
    </xf>
    <xf numFmtId="0" fontId="6" fillId="5" borderId="38" xfId="0" applyFont="1" applyFill="1" applyBorder="1" applyAlignment="1">
      <alignment horizontal="center" vertical="center" wrapText="1"/>
    </xf>
    <xf numFmtId="0" fontId="6" fillId="5" borderId="43" xfId="0" applyFont="1" applyFill="1" applyBorder="1" applyAlignment="1">
      <alignment horizontal="center" vertical="center" wrapText="1"/>
    </xf>
    <xf numFmtId="0" fontId="14" fillId="4" borderId="24" xfId="0" applyFont="1" applyFill="1" applyBorder="1" applyAlignment="1" applyProtection="1">
      <alignment horizontal="center" vertical="top"/>
      <protection locked="0"/>
    </xf>
    <xf numFmtId="0" fontId="7" fillId="0" borderId="0" xfId="0" applyFont="1" applyAlignment="1">
      <alignment horizontal="justify" vertical="top" wrapText="1"/>
    </xf>
    <xf numFmtId="0" fontId="6" fillId="4" borderId="24" xfId="0" applyFont="1" applyFill="1" applyBorder="1" applyAlignment="1" applyProtection="1">
      <alignment horizontal="center" vertical="top"/>
      <protection locked="0"/>
    </xf>
    <xf numFmtId="0" fontId="14" fillId="4" borderId="24" xfId="0" applyFont="1" applyFill="1" applyBorder="1" applyAlignment="1" applyProtection="1">
      <alignment horizontal="center" vertical="center"/>
      <protection locked="0"/>
    </xf>
    <xf numFmtId="0" fontId="14" fillId="4" borderId="27" xfId="0" applyFont="1" applyFill="1" applyBorder="1" applyAlignment="1" applyProtection="1">
      <alignment horizontal="center" vertical="center"/>
      <protection locked="0"/>
    </xf>
    <xf numFmtId="0" fontId="14" fillId="4" borderId="32" xfId="0" applyFont="1" applyFill="1" applyBorder="1" applyAlignment="1" applyProtection="1">
      <alignment horizontal="center" vertical="center"/>
      <protection locked="0"/>
    </xf>
    <xf numFmtId="0" fontId="6" fillId="8" borderId="53" xfId="0" applyFont="1" applyFill="1" applyBorder="1" applyAlignment="1">
      <alignment horizontal="center" vertical="center" wrapText="1"/>
    </xf>
    <xf numFmtId="0" fontId="6" fillId="8" borderId="56" xfId="0" applyFont="1" applyFill="1" applyBorder="1" applyAlignment="1">
      <alignment horizontal="center" vertical="center" wrapText="1"/>
    </xf>
    <xf numFmtId="0" fontId="6" fillId="4" borderId="37" xfId="0" applyFont="1" applyFill="1" applyBorder="1" applyAlignment="1" applyProtection="1">
      <alignment horizontal="center" vertical="top"/>
      <protection locked="0"/>
    </xf>
    <xf numFmtId="0" fontId="6" fillId="0" borderId="25" xfId="0" applyFont="1" applyBorder="1" applyAlignment="1">
      <alignment horizontal="left" vertical="top" wrapText="1"/>
    </xf>
    <xf numFmtId="0" fontId="6" fillId="0" borderId="32" xfId="0" applyFont="1" applyBorder="1" applyAlignment="1" applyProtection="1">
      <alignment horizontal="left" vertical="top" wrapText="1"/>
      <protection locked="0"/>
    </xf>
    <xf numFmtId="0" fontId="6" fillId="8" borderId="38" xfId="0" applyFont="1" applyFill="1" applyBorder="1" applyAlignment="1">
      <alignment horizontal="center" vertical="center" wrapText="1"/>
    </xf>
    <xf numFmtId="0" fontId="6" fillId="8" borderId="43" xfId="0" applyFont="1" applyFill="1" applyBorder="1" applyAlignment="1">
      <alignment horizontal="center" vertical="center" wrapText="1"/>
    </xf>
    <xf numFmtId="0" fontId="7" fillId="0" borderId="44" xfId="0" applyFont="1" applyBorder="1" applyAlignment="1" applyProtection="1">
      <alignment horizontal="left" vertical="top" wrapText="1"/>
      <protection locked="0"/>
    </xf>
    <xf numFmtId="0" fontId="7" fillId="0" borderId="33" xfId="0" applyFont="1" applyBorder="1" applyAlignment="1" applyProtection="1">
      <alignment horizontal="left" vertical="top" wrapText="1"/>
      <protection locked="0"/>
    </xf>
    <xf numFmtId="0" fontId="14" fillId="4" borderId="34" xfId="0" applyFont="1" applyFill="1" applyBorder="1" applyAlignment="1" applyProtection="1">
      <alignment horizontal="center" vertical="center"/>
      <protection locked="0"/>
    </xf>
    <xf numFmtId="0" fontId="14" fillId="4" borderId="0" xfId="0" applyFont="1" applyFill="1" applyAlignment="1" applyProtection="1">
      <alignment horizontal="center" vertical="center"/>
      <protection locked="0"/>
    </xf>
    <xf numFmtId="0" fontId="14" fillId="4" borderId="55" xfId="0" applyFont="1" applyFill="1" applyBorder="1" applyAlignment="1" applyProtection="1">
      <alignment horizontal="center" vertical="center"/>
      <protection locked="0"/>
    </xf>
    <xf numFmtId="0" fontId="6" fillId="5" borderId="24" xfId="0" applyFont="1" applyFill="1" applyBorder="1" applyAlignment="1">
      <alignment horizontal="center" vertical="top"/>
    </xf>
    <xf numFmtId="0" fontId="6" fillId="5" borderId="25" xfId="0" applyFont="1" applyFill="1" applyBorder="1" applyAlignment="1" applyProtection="1">
      <alignment horizontal="center" vertical="top" wrapText="1"/>
      <protection locked="0"/>
    </xf>
    <xf numFmtId="0" fontId="6" fillId="5" borderId="49" xfId="0" applyFont="1" applyFill="1" applyBorder="1" applyAlignment="1" applyProtection="1">
      <alignment horizontal="center" vertical="top" wrapText="1"/>
      <protection locked="0"/>
    </xf>
    <xf numFmtId="0" fontId="7" fillId="9" borderId="16" xfId="0" applyFont="1" applyFill="1" applyBorder="1" applyAlignment="1">
      <alignment horizontal="right" vertical="top"/>
    </xf>
    <xf numFmtId="0" fontId="6" fillId="5" borderId="31" xfId="0" applyFont="1" applyFill="1" applyBorder="1" applyAlignment="1" applyProtection="1">
      <alignment horizontal="center" vertical="center" wrapText="1"/>
      <protection locked="0"/>
    </xf>
    <xf numFmtId="0" fontId="6" fillId="5" borderId="40" xfId="0" applyFont="1" applyFill="1" applyBorder="1" applyAlignment="1" applyProtection="1">
      <alignment horizontal="center" vertical="center" wrapText="1"/>
      <protection locked="0"/>
    </xf>
    <xf numFmtId="16" fontId="7" fillId="0" borderId="0" xfId="0" applyNumberFormat="1" applyFont="1" applyAlignment="1" applyProtection="1">
      <alignment horizontal="justify" wrapText="1"/>
      <protection locked="0"/>
    </xf>
    <xf numFmtId="16" fontId="0" fillId="0" borderId="0" xfId="0" applyNumberFormat="1" applyAlignment="1" applyProtection="1">
      <alignment horizontal="justify" wrapText="1"/>
      <protection locked="0"/>
    </xf>
    <xf numFmtId="0" fontId="7" fillId="0" borderId="25" xfId="0" applyFont="1" applyBorder="1" applyAlignment="1" applyProtection="1">
      <alignment horizontal="left" vertical="top" wrapText="1"/>
      <protection locked="0"/>
    </xf>
    <xf numFmtId="0" fontId="7" fillId="0" borderId="25" xfId="0" applyFont="1" applyBorder="1" applyAlignment="1" applyProtection="1">
      <alignment vertical="top" wrapText="1"/>
      <protection locked="0"/>
    </xf>
    <xf numFmtId="0" fontId="7" fillId="0" borderId="49" xfId="0" applyFont="1" applyBorder="1" applyAlignment="1" applyProtection="1">
      <alignment vertical="top" wrapText="1"/>
      <protection locked="0"/>
    </xf>
    <xf numFmtId="0" fontId="6" fillId="4" borderId="35" xfId="0" applyFont="1" applyFill="1" applyBorder="1" applyAlignment="1">
      <alignment horizontal="center" vertical="top"/>
    </xf>
    <xf numFmtId="0" fontId="6" fillId="4" borderId="24" xfId="0" applyFont="1" applyFill="1" applyBorder="1" applyAlignment="1">
      <alignment horizontal="center" vertical="top"/>
    </xf>
    <xf numFmtId="0" fontId="6" fillId="4" borderId="31" xfId="0" applyFont="1" applyFill="1" applyBorder="1" applyAlignment="1" applyProtection="1">
      <alignment horizontal="center" vertical="center" wrapText="1"/>
      <protection locked="0"/>
    </xf>
    <xf numFmtId="0" fontId="6" fillId="4" borderId="25" xfId="0" applyFont="1" applyFill="1" applyBorder="1" applyAlignment="1" applyProtection="1">
      <alignment horizontal="center" vertical="center" wrapText="1"/>
      <protection locked="0"/>
    </xf>
    <xf numFmtId="0" fontId="6" fillId="4" borderId="49" xfId="0" applyFont="1" applyFill="1" applyBorder="1" applyAlignment="1" applyProtection="1">
      <alignment horizontal="center" vertical="center" wrapText="1"/>
      <protection locked="0"/>
    </xf>
    <xf numFmtId="0" fontId="7" fillId="0" borderId="49" xfId="0" applyFont="1" applyBorder="1" applyAlignment="1" applyProtection="1">
      <alignment horizontal="left" vertical="top" wrapText="1"/>
      <protection locked="0"/>
    </xf>
    <xf numFmtId="16" fontId="7" fillId="0" borderId="0" xfId="0" applyNumberFormat="1" applyFont="1" applyAlignment="1" applyProtection="1">
      <alignment horizontal="left"/>
      <protection locked="0"/>
    </xf>
    <xf numFmtId="0" fontId="7" fillId="0" borderId="59" xfId="0" applyFont="1" applyBorder="1" applyAlignment="1" applyProtection="1">
      <alignment horizontal="left" vertical="top" wrapText="1"/>
      <protection locked="0"/>
    </xf>
    <xf numFmtId="0" fontId="6" fillId="0" borderId="33" xfId="0" applyFont="1" applyBorder="1" applyAlignment="1" applyProtection="1">
      <alignment horizontal="left" vertical="top"/>
      <protection locked="0"/>
    </xf>
    <xf numFmtId="0" fontId="6" fillId="4" borderId="18" xfId="0" applyFont="1" applyFill="1" applyBorder="1" applyAlignment="1" applyProtection="1">
      <alignment horizontal="center" vertical="center"/>
      <protection locked="0"/>
    </xf>
    <xf numFmtId="16" fontId="6" fillId="0" borderId="32" xfId="0" applyNumberFormat="1" applyFont="1" applyBorder="1" applyAlignment="1" applyProtection="1">
      <alignment horizontal="left" vertical="top" wrapText="1"/>
      <protection locked="0"/>
    </xf>
    <xf numFmtId="0" fontId="6" fillId="10" borderId="18" xfId="0" applyFont="1" applyFill="1" applyBorder="1" applyAlignment="1">
      <alignment horizontal="center" vertical="top"/>
    </xf>
    <xf numFmtId="0" fontId="6" fillId="8" borderId="27" xfId="0" applyFont="1" applyFill="1" applyBorder="1" applyAlignment="1">
      <alignment horizontal="center" vertical="top"/>
    </xf>
    <xf numFmtId="0" fontId="6" fillId="10" borderId="27" xfId="0" applyFont="1" applyFill="1" applyBorder="1" applyAlignment="1">
      <alignment horizontal="center" vertical="center"/>
    </xf>
    <xf numFmtId="0" fontId="6" fillId="8" borderId="27" xfId="0" applyFont="1" applyFill="1" applyBorder="1" applyAlignment="1">
      <alignment horizontal="center" vertical="center"/>
    </xf>
    <xf numFmtId="0" fontId="6" fillId="4" borderId="0" xfId="0" applyFont="1" applyFill="1" applyAlignment="1" applyProtection="1">
      <alignment horizontal="center" vertical="center"/>
      <protection locked="0"/>
    </xf>
    <xf numFmtId="0" fontId="6" fillId="9" borderId="16" xfId="0" applyFont="1" applyFill="1" applyBorder="1" applyAlignment="1">
      <alignment horizontal="left" vertical="top" wrapText="1"/>
    </xf>
    <xf numFmtId="0" fontId="6" fillId="10" borderId="27" xfId="0" applyFont="1" applyFill="1" applyBorder="1" applyAlignment="1" applyProtection="1">
      <alignment horizontal="center" vertical="top"/>
      <protection locked="0"/>
    </xf>
    <xf numFmtId="0" fontId="6" fillId="8" borderId="27" xfId="0" applyFont="1" applyFill="1" applyBorder="1" applyAlignment="1" applyProtection="1">
      <alignment horizontal="center" vertical="top"/>
      <protection locked="0"/>
    </xf>
    <xf numFmtId="0" fontId="6" fillId="5" borderId="33" xfId="0" applyFont="1" applyFill="1" applyBorder="1" applyAlignment="1">
      <alignment horizontal="center" vertical="center"/>
    </xf>
    <xf numFmtId="0" fontId="6" fillId="4" borderId="33" xfId="0" applyFont="1" applyFill="1" applyBorder="1" applyAlignment="1">
      <alignment horizontal="center" vertical="center"/>
    </xf>
    <xf numFmtId="0" fontId="6" fillId="10" borderId="24" xfId="0" applyFont="1" applyFill="1" applyBorder="1" applyAlignment="1">
      <alignment horizontal="center" vertical="top"/>
    </xf>
    <xf numFmtId="0" fontId="6" fillId="8" borderId="38" xfId="0" applyFont="1" applyFill="1" applyBorder="1" applyAlignment="1" applyProtection="1">
      <alignment horizontal="center" vertical="center" wrapText="1"/>
      <protection locked="0"/>
    </xf>
    <xf numFmtId="0" fontId="6" fillId="8" borderId="43" xfId="0" applyFont="1" applyFill="1" applyBorder="1" applyAlignment="1" applyProtection="1">
      <alignment horizontal="center" vertical="center" wrapText="1"/>
      <protection locked="0"/>
    </xf>
    <xf numFmtId="0" fontId="6" fillId="4" borderId="24" xfId="12" applyFont="1" applyFill="1" applyBorder="1" applyAlignment="1" applyProtection="1">
      <alignment horizontal="center" vertical="center"/>
      <protection locked="0"/>
    </xf>
    <xf numFmtId="0" fontId="6" fillId="4" borderId="36" xfId="12" applyFont="1" applyFill="1" applyBorder="1" applyAlignment="1" applyProtection="1">
      <alignment horizontal="center" vertical="center"/>
      <protection locked="0"/>
    </xf>
    <xf numFmtId="0" fontId="6" fillId="0" borderId="33" xfId="0" applyFont="1" applyBorder="1" applyAlignment="1" applyProtection="1">
      <alignment horizontal="left"/>
      <protection locked="0"/>
    </xf>
    <xf numFmtId="0" fontId="6" fillId="0" borderId="41" xfId="0" applyFont="1" applyBorder="1" applyAlignment="1" applyProtection="1">
      <alignment horizontal="left"/>
      <protection locked="0"/>
    </xf>
    <xf numFmtId="0" fontId="7" fillId="0" borderId="0" xfId="0" applyFont="1" applyAlignment="1" applyProtection="1">
      <alignment horizontal="justify" vertical="top"/>
      <protection locked="0"/>
    </xf>
    <xf numFmtId="164" fontId="6" fillId="5" borderId="22" xfId="5" applyNumberFormat="1" applyFont="1" applyFill="1" applyBorder="1" applyAlignment="1">
      <alignment horizontal="center" vertical="center" wrapText="1"/>
    </xf>
    <xf numFmtId="0" fontId="6" fillId="5" borderId="19" xfId="4" applyFont="1" applyFill="1" applyBorder="1" applyAlignment="1" applyProtection="1">
      <alignment horizontal="center" vertical="center" wrapText="1"/>
      <protection locked="0"/>
    </xf>
    <xf numFmtId="0" fontId="6" fillId="5" borderId="22" xfId="4" applyFont="1" applyFill="1" applyBorder="1" applyAlignment="1" applyProtection="1">
      <alignment horizontal="center" vertical="center" wrapText="1"/>
      <protection locked="0"/>
    </xf>
    <xf numFmtId="0" fontId="6" fillId="5" borderId="22" xfId="0" applyFont="1" applyFill="1" applyBorder="1" applyAlignment="1" applyProtection="1">
      <alignment horizontal="center" vertical="center"/>
      <protection locked="0"/>
    </xf>
    <xf numFmtId="0" fontId="6" fillId="0" borderId="31" xfId="0" applyFont="1" applyBorder="1" applyAlignment="1" applyProtection="1">
      <alignment horizontal="center" vertical="top" wrapText="1"/>
      <protection locked="0"/>
    </xf>
    <xf numFmtId="0" fontId="6" fillId="0" borderId="49" xfId="0" applyFont="1" applyBorder="1" applyAlignment="1" applyProtection="1">
      <alignment horizontal="center" vertical="top" wrapText="1"/>
      <protection locked="0"/>
    </xf>
    <xf numFmtId="0" fontId="7" fillId="0" borderId="0" xfId="0" applyFont="1" applyAlignment="1" applyProtection="1">
      <alignment horizontal="left"/>
      <protection locked="0"/>
    </xf>
    <xf numFmtId="0" fontId="0" fillId="0" borderId="0" xfId="0" applyAlignment="1" applyProtection="1">
      <alignment horizontal="left"/>
      <protection locked="0"/>
    </xf>
    <xf numFmtId="0" fontId="7" fillId="0" borderId="31" xfId="0" applyFont="1" applyBorder="1" applyAlignment="1" applyProtection="1">
      <alignment horizontal="center" vertical="center"/>
      <protection locked="0"/>
    </xf>
    <xf numFmtId="0" fontId="7" fillId="0" borderId="49" xfId="0" applyFont="1" applyBorder="1" applyAlignment="1" applyProtection="1">
      <alignment horizontal="center" vertical="center"/>
      <protection locked="0"/>
    </xf>
    <xf numFmtId="0" fontId="7" fillId="0" borderId="31" xfId="0" applyFont="1" applyBorder="1" applyAlignment="1" applyProtection="1">
      <alignment horizontal="center" vertical="top" wrapText="1"/>
      <protection locked="0"/>
    </xf>
    <xf numFmtId="0" fontId="7" fillId="0" borderId="49" xfId="0" applyFont="1" applyBorder="1" applyAlignment="1" applyProtection="1">
      <alignment horizontal="center" vertical="top" wrapText="1"/>
      <protection locked="0"/>
    </xf>
    <xf numFmtId="0" fontId="6" fillId="5" borderId="31" xfId="0" applyFont="1" applyFill="1" applyBorder="1" applyAlignment="1" applyProtection="1">
      <alignment horizontal="center" vertical="center"/>
      <protection locked="0"/>
    </xf>
    <xf numFmtId="0" fontId="6" fillId="5" borderId="25" xfId="0" applyFont="1" applyFill="1" applyBorder="1" applyAlignment="1" applyProtection="1">
      <alignment horizontal="center" vertical="center"/>
      <protection locked="0"/>
    </xf>
    <xf numFmtId="0" fontId="6" fillId="5" borderId="49" xfId="0" applyFont="1" applyFill="1" applyBorder="1" applyAlignment="1" applyProtection="1">
      <alignment horizontal="center" vertical="center"/>
      <protection locked="0"/>
    </xf>
    <xf numFmtId="0" fontId="6" fillId="4" borderId="31" xfId="0" applyFont="1" applyFill="1" applyBorder="1" applyAlignment="1" applyProtection="1">
      <alignment horizontal="center" vertical="center"/>
      <protection locked="0"/>
    </xf>
    <xf numFmtId="0" fontId="6" fillId="4" borderId="25" xfId="0" applyFont="1" applyFill="1" applyBorder="1" applyAlignment="1" applyProtection="1">
      <alignment horizontal="center" vertical="center"/>
      <protection locked="0"/>
    </xf>
    <xf numFmtId="0" fontId="6" fillId="4" borderId="49" xfId="0" applyFont="1" applyFill="1" applyBorder="1" applyAlignment="1" applyProtection="1">
      <alignment horizontal="center" vertical="center"/>
      <protection locked="0"/>
    </xf>
    <xf numFmtId="0" fontId="6" fillId="5" borderId="35" xfId="0" applyFont="1" applyFill="1" applyBorder="1" applyAlignment="1" applyProtection="1">
      <alignment horizontal="center" vertical="center"/>
      <protection locked="0"/>
    </xf>
    <xf numFmtId="0" fontId="6" fillId="5" borderId="40" xfId="0" applyFont="1" applyFill="1" applyBorder="1" applyAlignment="1" applyProtection="1">
      <alignment horizontal="center" vertical="center"/>
      <protection locked="0"/>
    </xf>
    <xf numFmtId="0" fontId="6" fillId="4" borderId="35" xfId="0" applyFont="1" applyFill="1" applyBorder="1" applyAlignment="1" applyProtection="1">
      <alignment horizontal="center" vertical="center"/>
      <protection locked="0"/>
    </xf>
    <xf numFmtId="0" fontId="6" fillId="4" borderId="40" xfId="0" applyFont="1" applyFill="1" applyBorder="1" applyAlignment="1" applyProtection="1">
      <alignment horizontal="center" vertical="center"/>
      <protection locked="0"/>
    </xf>
    <xf numFmtId="0" fontId="6" fillId="5" borderId="35" xfId="0" applyFont="1" applyFill="1" applyBorder="1" applyAlignment="1">
      <alignment horizontal="center" vertical="top"/>
    </xf>
    <xf numFmtId="0" fontId="6" fillId="5" borderId="36" xfId="0" applyFont="1" applyFill="1" applyBorder="1" applyAlignment="1">
      <alignment horizontal="center" vertical="top"/>
    </xf>
    <xf numFmtId="0" fontId="6" fillId="4" borderId="36" xfId="0" applyFont="1" applyFill="1" applyBorder="1" applyAlignment="1">
      <alignment horizontal="center" vertical="top"/>
    </xf>
    <xf numFmtId="0" fontId="6" fillId="4" borderId="34" xfId="0" applyFont="1" applyFill="1" applyBorder="1" applyAlignment="1" applyProtection="1">
      <alignment horizontal="center" vertical="center"/>
      <protection locked="0"/>
    </xf>
    <xf numFmtId="0" fontId="6" fillId="4" borderId="55" xfId="0" applyFont="1" applyFill="1" applyBorder="1" applyAlignment="1" applyProtection="1">
      <alignment horizontal="center" vertical="center"/>
      <protection locked="0"/>
    </xf>
    <xf numFmtId="0" fontId="6" fillId="4" borderId="16" xfId="0" applyFont="1" applyFill="1" applyBorder="1" applyAlignment="1" applyProtection="1">
      <alignment horizontal="center" vertical="center"/>
      <protection locked="0"/>
    </xf>
    <xf numFmtId="0" fontId="6" fillId="4" borderId="39" xfId="0" applyFont="1" applyFill="1" applyBorder="1" applyAlignment="1" applyProtection="1">
      <alignment horizontal="center" vertical="center"/>
      <protection locked="0"/>
    </xf>
    <xf numFmtId="0" fontId="23" fillId="4" borderId="18" xfId="0" applyFont="1" applyFill="1" applyBorder="1" applyAlignment="1" applyProtection="1">
      <alignment horizontal="center" vertical="top" wrapText="1"/>
      <protection locked="0"/>
    </xf>
    <xf numFmtId="0" fontId="23" fillId="4" borderId="57" xfId="0" applyFont="1" applyFill="1" applyBorder="1" applyAlignment="1" applyProtection="1">
      <alignment horizontal="center" vertical="top" wrapText="1"/>
      <protection locked="0"/>
    </xf>
    <xf numFmtId="0" fontId="23" fillId="4" borderId="60" xfId="0" applyFont="1" applyFill="1" applyBorder="1" applyAlignment="1" applyProtection="1">
      <alignment horizontal="center" vertical="top" wrapText="1"/>
      <protection locked="0"/>
    </xf>
    <xf numFmtId="0" fontId="8" fillId="0" borderId="35" xfId="0" applyFont="1" applyBorder="1" applyAlignment="1" applyProtection="1">
      <alignment horizontal="center" vertical="top" wrapText="1"/>
      <protection locked="0"/>
    </xf>
    <xf numFmtId="0" fontId="8" fillId="0" borderId="36" xfId="0" applyFont="1" applyBorder="1" applyAlignment="1" applyProtection="1">
      <alignment horizontal="center" vertical="top" wrapText="1"/>
      <protection locked="0"/>
    </xf>
    <xf numFmtId="0" fontId="7" fillId="0" borderId="0" xfId="0" applyFont="1" applyAlignment="1" applyProtection="1">
      <alignment horizontal="left" vertical="top"/>
      <protection locked="0"/>
    </xf>
    <xf numFmtId="164" fontId="8" fillId="4" borderId="33" xfId="1" applyFont="1" applyFill="1" applyBorder="1" applyAlignment="1" applyProtection="1">
      <alignment horizontal="center" vertical="top" wrapText="1"/>
      <protection locked="0"/>
    </xf>
    <xf numFmtId="164" fontId="7" fillId="0" borderId="33" xfId="1" applyFont="1" applyBorder="1" applyAlignment="1" applyProtection="1">
      <alignment horizontal="center" vertical="top" wrapText="1"/>
      <protection locked="0"/>
    </xf>
    <xf numFmtId="0" fontId="7" fillId="0" borderId="0" xfId="0" applyFont="1" applyAlignment="1" applyProtection="1">
      <alignment horizontal="justify" wrapText="1"/>
      <protection locked="0"/>
    </xf>
    <xf numFmtId="0" fontId="6" fillId="5" borderId="18"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7" fillId="0" borderId="0" xfId="0" quotePrefix="1" applyFont="1" applyAlignment="1" applyProtection="1">
      <alignment horizontal="justify" wrapText="1"/>
      <protection locked="0"/>
    </xf>
    <xf numFmtId="0" fontId="0" fillId="0" borderId="0" xfId="0" applyAlignment="1" applyProtection="1">
      <alignment horizontal="justify" wrapText="1"/>
      <protection locked="0"/>
    </xf>
    <xf numFmtId="0" fontId="6" fillId="5" borderId="18" xfId="0" applyFont="1" applyFill="1" applyBorder="1" applyAlignment="1" applyProtection="1">
      <alignment horizontal="center" vertical="center"/>
      <protection locked="0"/>
    </xf>
    <xf numFmtId="0" fontId="6" fillId="5" borderId="19" xfId="0" applyFont="1" applyFill="1" applyBorder="1" applyAlignment="1" applyProtection="1">
      <alignment horizontal="center" vertical="center"/>
      <protection locked="0"/>
    </xf>
    <xf numFmtId="0" fontId="6" fillId="0" borderId="25" xfId="0" applyFont="1" applyBorder="1" applyAlignment="1" applyProtection="1">
      <alignment horizontal="left" vertical="top" wrapText="1"/>
      <protection locked="0"/>
    </xf>
    <xf numFmtId="0" fontId="6" fillId="0" borderId="33" xfId="9" applyFont="1" applyBorder="1" applyAlignment="1" applyProtection="1">
      <alignment horizontal="left" vertical="top" wrapText="1"/>
      <protection locked="0"/>
    </xf>
    <xf numFmtId="0" fontId="7" fillId="0" borderId="0" xfId="0" applyFont="1" applyAlignment="1">
      <alignment horizontal="justify" wrapText="1"/>
    </xf>
    <xf numFmtId="0" fontId="0" fillId="0" borderId="0" xfId="0" applyAlignment="1">
      <alignment horizontal="justify" wrapText="1"/>
    </xf>
    <xf numFmtId="0" fontId="7" fillId="0" borderId="0" xfId="0" applyFont="1" applyAlignment="1">
      <alignment horizontal="left" vertical="top" wrapText="1"/>
    </xf>
    <xf numFmtId="0" fontId="0" fillId="0" borderId="0" xfId="0" applyAlignment="1">
      <alignment horizontal="left" vertical="top" wrapText="1"/>
    </xf>
    <xf numFmtId="0" fontId="6" fillId="4" borderId="24" xfId="0" applyFont="1" applyFill="1" applyBorder="1" applyAlignment="1" applyProtection="1">
      <alignment horizontal="left" vertical="center"/>
      <protection locked="0"/>
    </xf>
    <xf numFmtId="0" fontId="6" fillId="0" borderId="44" xfId="0" applyFont="1" applyBorder="1" applyAlignment="1" applyProtection="1">
      <alignment horizontal="left" vertical="top" wrapText="1"/>
      <protection locked="0"/>
    </xf>
    <xf numFmtId="0" fontId="7" fillId="0" borderId="25" xfId="0" applyFont="1" applyBorder="1" applyAlignment="1" applyProtection="1">
      <alignment horizontal="left" vertical="top" wrapText="1" indent="2"/>
      <protection locked="0"/>
    </xf>
    <xf numFmtId="0" fontId="6" fillId="0" borderId="16" xfId="0" applyFont="1" applyBorder="1" applyAlignment="1" applyProtection="1">
      <alignment vertical="top" wrapText="1"/>
      <protection locked="0"/>
    </xf>
    <xf numFmtId="0" fontId="6" fillId="5" borderId="36" xfId="0" applyFont="1" applyFill="1" applyBorder="1" applyAlignment="1" applyProtection="1">
      <alignment horizontal="center" vertical="center" wrapText="1"/>
      <protection locked="0"/>
    </xf>
    <xf numFmtId="0" fontId="6" fillId="5" borderId="37" xfId="0" applyFont="1" applyFill="1" applyBorder="1" applyAlignment="1" applyProtection="1">
      <alignment horizontal="center" vertical="center" wrapText="1"/>
      <protection locked="0"/>
    </xf>
    <xf numFmtId="0" fontId="6" fillId="5" borderId="35" xfId="0" applyFont="1" applyFill="1" applyBorder="1" applyAlignment="1" applyProtection="1">
      <alignment horizontal="center" vertical="center" wrapText="1"/>
      <protection locked="0"/>
    </xf>
    <xf numFmtId="0" fontId="7" fillId="0" borderId="0" xfId="0" quotePrefix="1" applyFont="1" applyAlignment="1" applyProtection="1">
      <alignment horizontal="left" vertical="top" wrapText="1"/>
      <protection locked="0"/>
    </xf>
    <xf numFmtId="0" fontId="7" fillId="0" borderId="0" xfId="0" quotePrefix="1" applyFont="1" applyAlignment="1" applyProtection="1">
      <alignment horizontal="justify" vertical="top" wrapText="1"/>
      <protection locked="0"/>
    </xf>
    <xf numFmtId="164" fontId="6" fillId="4" borderId="41" xfId="1" applyFont="1" applyFill="1" applyBorder="1" applyAlignment="1" applyProtection="1">
      <alignment horizontal="center" vertical="top"/>
    </xf>
    <xf numFmtId="164" fontId="6" fillId="4" borderId="40" xfId="1" applyFont="1" applyFill="1" applyBorder="1" applyAlignment="1" applyProtection="1">
      <alignment horizontal="center" vertical="top"/>
    </xf>
    <xf numFmtId="164" fontId="6" fillId="0" borderId="41" xfId="1" applyFont="1" applyFill="1" applyBorder="1" applyAlignment="1" applyProtection="1">
      <alignment horizontal="center" vertical="top"/>
    </xf>
    <xf numFmtId="164" fontId="6" fillId="0" borderId="40" xfId="1" applyFont="1" applyFill="1" applyBorder="1" applyAlignment="1" applyProtection="1">
      <alignment horizontal="center" vertical="top"/>
    </xf>
    <xf numFmtId="164" fontId="7" fillId="0" borderId="30" xfId="1" applyFont="1" applyFill="1" applyBorder="1" applyAlignment="1" applyProtection="1">
      <alignment horizontal="center" vertical="top"/>
    </xf>
    <xf numFmtId="164" fontId="6" fillId="0" borderId="33" xfId="1" applyFont="1" applyFill="1" applyBorder="1" applyAlignment="1" applyProtection="1">
      <alignment horizontal="center" vertical="top"/>
    </xf>
    <xf numFmtId="164" fontId="7" fillId="0" borderId="37" xfId="1" applyFont="1" applyFill="1" applyBorder="1" applyAlignment="1" applyProtection="1">
      <alignment horizontal="center" vertical="top"/>
    </xf>
    <xf numFmtId="164" fontId="7" fillId="0" borderId="35" xfId="1" applyFont="1" applyFill="1" applyBorder="1" applyAlignment="1" applyProtection="1">
      <alignment horizontal="center" vertical="top"/>
    </xf>
    <xf numFmtId="164" fontId="8" fillId="0" borderId="42" xfId="1" applyFont="1" applyFill="1" applyBorder="1" applyAlignment="1" applyProtection="1">
      <alignment horizontal="center" vertical="top"/>
      <protection locked="0"/>
    </xf>
    <xf numFmtId="164" fontId="7" fillId="0" borderId="31" xfId="1" applyFont="1" applyFill="1" applyBorder="1" applyAlignment="1" applyProtection="1">
      <alignment horizontal="center" vertical="top"/>
    </xf>
    <xf numFmtId="164" fontId="7" fillId="0" borderId="49" xfId="1" applyFont="1" applyFill="1" applyBorder="1" applyAlignment="1" applyProtection="1">
      <alignment horizontal="center" vertical="top"/>
    </xf>
    <xf numFmtId="164" fontId="7" fillId="0" borderId="29" xfId="1" applyFont="1" applyFill="1" applyBorder="1" applyAlignment="1" applyProtection="1">
      <alignment horizontal="center" vertical="top"/>
    </xf>
    <xf numFmtId="164" fontId="7" fillId="0" borderId="25" xfId="1" applyFont="1" applyFill="1" applyBorder="1" applyAlignment="1" applyProtection="1">
      <alignment horizontal="center" vertical="top"/>
    </xf>
    <xf numFmtId="164" fontId="8" fillId="0" borderId="40" xfId="1" applyFont="1" applyFill="1" applyBorder="1" applyAlignment="1" applyProtection="1">
      <alignment horizontal="center" vertical="top"/>
      <protection locked="0"/>
    </xf>
    <xf numFmtId="0" fontId="6" fillId="4" borderId="35" xfId="0" applyFont="1" applyFill="1" applyBorder="1" applyAlignment="1" applyProtection="1">
      <alignment horizontal="center" vertical="center" wrapText="1"/>
      <protection locked="0"/>
    </xf>
    <xf numFmtId="0" fontId="6" fillId="4" borderId="24" xfId="0" applyFont="1" applyFill="1" applyBorder="1" applyAlignment="1" applyProtection="1">
      <alignment horizontal="center" vertical="center" wrapText="1"/>
      <protection locked="0"/>
    </xf>
    <xf numFmtId="0" fontId="6" fillId="4" borderId="36" xfId="0" applyFont="1" applyFill="1" applyBorder="1" applyAlignment="1" applyProtection="1">
      <alignment horizontal="center" vertical="center"/>
      <protection locked="0"/>
    </xf>
    <xf numFmtId="0" fontId="6" fillId="4" borderId="37" xfId="0" applyFont="1" applyFill="1" applyBorder="1" applyAlignment="1" applyProtection="1">
      <alignment horizontal="center" vertical="center"/>
      <protection locked="0"/>
    </xf>
    <xf numFmtId="0" fontId="6" fillId="4" borderId="41" xfId="0" applyFont="1" applyFill="1" applyBorder="1" applyAlignment="1" applyProtection="1">
      <alignment horizontal="center" vertical="center"/>
      <protection locked="0"/>
    </xf>
    <xf numFmtId="0" fontId="6" fillId="4" borderId="42" xfId="0" applyFont="1" applyFill="1" applyBorder="1" applyAlignment="1" applyProtection="1">
      <alignment horizontal="center" vertical="center"/>
      <protection locked="0"/>
    </xf>
    <xf numFmtId="164" fontId="6" fillId="4" borderId="42" xfId="1" applyFont="1" applyFill="1" applyBorder="1" applyAlignment="1" applyProtection="1">
      <alignment horizontal="center" vertical="top"/>
    </xf>
    <xf numFmtId="0" fontId="6" fillId="5" borderId="18" xfId="0" applyFont="1" applyFill="1" applyBorder="1" applyAlignment="1">
      <alignment horizontal="right" vertical="center" wrapText="1"/>
    </xf>
    <xf numFmtId="0" fontId="6" fillId="4" borderId="18" xfId="0" applyFont="1" applyFill="1" applyBorder="1" applyAlignment="1">
      <alignment horizontal="right" vertical="center" wrapText="1"/>
    </xf>
    <xf numFmtId="0" fontId="14" fillId="0" borderId="0" xfId="0" applyFont="1" applyAlignment="1" applyProtection="1">
      <alignment horizontal="center" vertical="top"/>
      <protection locked="0"/>
    </xf>
    <xf numFmtId="0" fontId="6" fillId="4" borderId="10" xfId="0" applyFont="1" applyFill="1" applyBorder="1" applyAlignment="1">
      <alignment horizontal="center" vertical="center" wrapText="1"/>
    </xf>
    <xf numFmtId="0" fontId="6" fillId="4" borderId="37" xfId="0" applyFont="1" applyFill="1" applyBorder="1" applyAlignment="1">
      <alignment horizontal="center" vertical="center" wrapText="1"/>
    </xf>
    <xf numFmtId="164" fontId="6" fillId="4" borderId="37" xfId="1" applyFont="1" applyFill="1" applyBorder="1" applyAlignment="1" applyProtection="1">
      <alignment horizontal="center" vertical="center" wrapText="1"/>
      <protection locked="0"/>
    </xf>
    <xf numFmtId="164" fontId="6" fillId="4" borderId="37" xfId="1" applyFont="1" applyFill="1" applyBorder="1" applyAlignment="1" applyProtection="1">
      <alignment horizontal="center" vertical="center"/>
    </xf>
    <xf numFmtId="164" fontId="6" fillId="4" borderId="11" xfId="1" applyFont="1" applyFill="1" applyBorder="1" applyAlignment="1" applyProtection="1">
      <alignment horizontal="center" vertical="center"/>
    </xf>
    <xf numFmtId="164" fontId="7" fillId="0" borderId="14" xfId="1" applyFont="1" applyBorder="1" applyAlignment="1" applyProtection="1">
      <alignment horizontal="center" vertical="center"/>
    </xf>
    <xf numFmtId="164" fontId="7" fillId="0" borderId="42" xfId="1" applyFont="1" applyBorder="1" applyAlignment="1" applyProtection="1">
      <alignment horizontal="center" vertical="center"/>
    </xf>
    <xf numFmtId="164" fontId="7" fillId="0" borderId="40" xfId="1" applyFont="1" applyBorder="1" applyAlignment="1" applyProtection="1">
      <alignment horizontal="center" vertical="center"/>
    </xf>
    <xf numFmtId="164" fontId="7" fillId="0" borderId="26" xfId="1" applyFont="1" applyBorder="1" applyAlignment="1" applyProtection="1">
      <alignment horizontal="center" vertical="center"/>
    </xf>
    <xf numFmtId="0" fontId="6" fillId="0" borderId="10" xfId="0" applyFont="1" applyBorder="1" applyAlignment="1">
      <alignment horizontal="center" vertical="center" wrapText="1"/>
    </xf>
    <xf numFmtId="0" fontId="6" fillId="0" borderId="37" xfId="0" applyFont="1" applyBorder="1" applyAlignment="1">
      <alignment horizontal="center" vertical="center" wrapText="1"/>
    </xf>
    <xf numFmtId="164" fontId="6" fillId="0" borderId="37" xfId="1" applyFont="1" applyFill="1" applyBorder="1" applyAlignment="1" applyProtection="1">
      <alignment horizontal="center" vertical="center" wrapText="1"/>
      <protection locked="0"/>
    </xf>
    <xf numFmtId="164" fontId="6" fillId="0" borderId="37" xfId="1" applyFont="1" applyFill="1" applyBorder="1" applyAlignment="1" applyProtection="1">
      <alignment horizontal="center" vertical="center"/>
    </xf>
    <xf numFmtId="164" fontId="6" fillId="0" borderId="11" xfId="1" applyFont="1" applyFill="1" applyBorder="1" applyAlignment="1" applyProtection="1">
      <alignment horizontal="center" vertical="center"/>
    </xf>
    <xf numFmtId="0" fontId="6" fillId="5" borderId="68" xfId="0" applyFont="1" applyFill="1" applyBorder="1" applyAlignment="1" applyProtection="1">
      <alignment horizontal="center" vertical="center" wrapText="1"/>
      <protection locked="0"/>
    </xf>
    <xf numFmtId="0" fontId="6" fillId="5" borderId="35" xfId="0" applyFont="1" applyFill="1" applyBorder="1" applyAlignment="1">
      <alignment horizontal="center" vertical="center" wrapText="1"/>
    </xf>
    <xf numFmtId="0" fontId="6" fillId="5" borderId="36" xfId="0" applyFont="1" applyFill="1" applyBorder="1" applyAlignment="1">
      <alignment horizontal="center" vertical="center" wrapText="1"/>
    </xf>
    <xf numFmtId="0" fontId="6" fillId="5" borderId="69" xfId="0" applyFont="1" applyFill="1" applyBorder="1" applyAlignment="1">
      <alignment horizontal="center" vertical="center" wrapText="1"/>
    </xf>
    <xf numFmtId="0" fontId="7" fillId="0" borderId="70"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7" fillId="0" borderId="70" xfId="0" applyFont="1" applyBorder="1" applyAlignment="1" applyProtection="1">
      <alignment horizontal="left" vertical="top" wrapText="1"/>
      <protection locked="0"/>
    </xf>
    <xf numFmtId="164" fontId="7" fillId="0" borderId="14" xfId="1" applyFont="1" applyBorder="1" applyAlignment="1" applyProtection="1">
      <alignment horizontal="center" vertical="center" wrapText="1"/>
    </xf>
    <xf numFmtId="164" fontId="7" fillId="0" borderId="42" xfId="1" applyFont="1" applyBorder="1" applyAlignment="1" applyProtection="1">
      <alignment horizontal="center" vertical="center" wrapText="1"/>
    </xf>
    <xf numFmtId="164" fontId="7" fillId="0" borderId="40" xfId="1" applyFont="1" applyBorder="1" applyAlignment="1" applyProtection="1">
      <alignment horizontal="center" vertical="center" wrapText="1"/>
    </xf>
    <xf numFmtId="164" fontId="7" fillId="0" borderId="26" xfId="1" applyFont="1" applyBorder="1" applyAlignment="1" applyProtection="1">
      <alignment horizontal="center" vertical="center" wrapText="1"/>
    </xf>
    <xf numFmtId="0" fontId="7" fillId="0" borderId="27" xfId="0" applyFont="1" applyBorder="1" applyAlignment="1" applyProtection="1">
      <alignment horizontal="left" vertical="top" wrapText="1"/>
      <protection locked="0"/>
    </xf>
    <xf numFmtId="0" fontId="6" fillId="5" borderId="18" xfId="11" applyFont="1" applyFill="1" applyBorder="1" applyAlignment="1" applyProtection="1">
      <alignment horizontal="center" vertical="center" wrapText="1"/>
      <protection locked="0"/>
    </xf>
    <xf numFmtId="0" fontId="6" fillId="5" borderId="19" xfId="11" applyFont="1" applyFill="1" applyBorder="1" applyAlignment="1" applyProtection="1">
      <alignment horizontal="center" vertical="center" wrapText="1"/>
      <protection locked="0"/>
    </xf>
    <xf numFmtId="0" fontId="23" fillId="4" borderId="27" xfId="11" applyFont="1" applyFill="1" applyBorder="1" applyAlignment="1" applyProtection="1">
      <alignment horizontal="center" vertical="center" wrapText="1"/>
      <protection locked="0"/>
    </xf>
    <xf numFmtId="0" fontId="23" fillId="4" borderId="20" xfId="11" applyFont="1" applyFill="1" applyBorder="1" applyAlignment="1" applyProtection="1">
      <alignment horizontal="center" vertical="center" wrapText="1"/>
      <protection locked="0"/>
    </xf>
    <xf numFmtId="0" fontId="23" fillId="4" borderId="16" xfId="11" applyFont="1" applyFill="1" applyBorder="1" applyAlignment="1" applyProtection="1">
      <alignment horizontal="center" vertical="center" wrapText="1"/>
      <protection locked="0"/>
    </xf>
    <xf numFmtId="0" fontId="23" fillId="4" borderId="23" xfId="11" applyFont="1" applyFill="1" applyBorder="1" applyAlignment="1" applyProtection="1">
      <alignment horizontal="center" vertical="center" wrapText="1"/>
      <protection locked="0"/>
    </xf>
    <xf numFmtId="164" fontId="23" fillId="5" borderId="17" xfId="11" applyNumberFormat="1" applyFont="1" applyFill="1" applyBorder="1" applyAlignment="1">
      <alignment horizontal="center" vertical="center"/>
    </xf>
    <xf numFmtId="164" fontId="23" fillId="5" borderId="19" xfId="11" applyNumberFormat="1" applyFont="1" applyFill="1" applyBorder="1" applyAlignment="1">
      <alignment horizontal="center" vertical="center"/>
    </xf>
    <xf numFmtId="164" fontId="23" fillId="4" borderId="17" xfId="11" applyNumberFormat="1" applyFont="1" applyFill="1" applyBorder="1" applyAlignment="1">
      <alignment horizontal="center" vertical="center"/>
    </xf>
    <xf numFmtId="164" fontId="23" fillId="4" borderId="18" xfId="11" applyNumberFormat="1" applyFont="1" applyFill="1" applyBorder="1" applyAlignment="1">
      <alignment horizontal="center" vertical="center"/>
    </xf>
    <xf numFmtId="0" fontId="7" fillId="0" borderId="24" xfId="0" applyFont="1" applyBorder="1" applyAlignment="1" applyProtection="1">
      <alignment horizontal="left" vertical="top" wrapText="1"/>
      <protection locked="0"/>
    </xf>
    <xf numFmtId="0" fontId="7" fillId="0" borderId="36" xfId="0" applyFont="1" applyBorder="1" applyAlignment="1" applyProtection="1">
      <alignment horizontal="left" vertical="top" wrapText="1"/>
      <protection locked="0"/>
    </xf>
    <xf numFmtId="164" fontId="7" fillId="0" borderId="35" xfId="1" applyFont="1" applyFill="1" applyBorder="1" applyAlignment="1" applyProtection="1">
      <alignment horizontal="center" vertical="center"/>
    </xf>
    <xf numFmtId="164" fontId="7" fillId="0" borderId="36" xfId="1" applyFont="1" applyFill="1" applyBorder="1" applyAlignment="1" applyProtection="1">
      <alignment horizontal="center" vertical="center"/>
    </xf>
    <xf numFmtId="0" fontId="6" fillId="5" borderId="37" xfId="0" applyFont="1" applyFill="1" applyBorder="1" applyAlignment="1" applyProtection="1">
      <alignment horizontal="center" vertical="center"/>
      <protection locked="0"/>
    </xf>
    <xf numFmtId="0" fontId="6" fillId="4" borderId="53" xfId="0" applyFont="1" applyFill="1" applyBorder="1" applyAlignment="1" applyProtection="1">
      <alignment horizontal="center" vertical="center" wrapText="1"/>
      <protection locked="0"/>
    </xf>
    <xf numFmtId="0" fontId="6" fillId="4" borderId="56" xfId="0" applyFont="1" applyFill="1" applyBorder="1" applyAlignment="1" applyProtection="1">
      <alignment horizontal="center" vertical="center" wrapText="1"/>
      <protection locked="0"/>
    </xf>
    <xf numFmtId="0" fontId="6" fillId="4" borderId="27" xfId="0" applyFont="1" applyFill="1" applyBorder="1" applyAlignment="1" applyProtection="1">
      <alignment horizontal="center" vertical="center" wrapText="1"/>
      <protection locked="0"/>
    </xf>
    <xf numFmtId="0" fontId="6" fillId="4" borderId="16" xfId="0" applyFont="1" applyFill="1" applyBorder="1" applyAlignment="1" applyProtection="1">
      <alignment horizontal="center" vertical="center" wrapText="1"/>
      <protection locked="0"/>
    </xf>
    <xf numFmtId="164" fontId="6" fillId="5" borderId="42" xfId="1" applyFont="1" applyFill="1" applyBorder="1" applyAlignment="1" applyProtection="1">
      <alignment horizontal="center" vertical="top"/>
    </xf>
    <xf numFmtId="164" fontId="6" fillId="0" borderId="17" xfId="1" applyFont="1" applyFill="1" applyBorder="1" applyAlignment="1" applyProtection="1">
      <alignment horizontal="center" vertical="top"/>
      <protection locked="0"/>
    </xf>
    <xf numFmtId="164" fontId="6" fillId="0" borderId="19" xfId="1" applyFont="1" applyFill="1" applyBorder="1" applyAlignment="1" applyProtection="1">
      <alignment horizontal="center" vertical="top"/>
      <protection locked="0"/>
    </xf>
    <xf numFmtId="0" fontId="8"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8" fillId="0" borderId="16" xfId="0" applyFont="1" applyBorder="1" applyAlignment="1" applyProtection="1">
      <alignment horizontal="left"/>
      <protection locked="0"/>
    </xf>
    <xf numFmtId="0" fontId="8" fillId="0" borderId="16" xfId="0" applyFont="1" applyBorder="1" applyAlignment="1" applyProtection="1">
      <alignment horizontal="left" wrapText="1"/>
      <protection locked="0"/>
    </xf>
    <xf numFmtId="0" fontId="8" fillId="0" borderId="27" xfId="0" applyFont="1" applyBorder="1" applyAlignment="1" applyProtection="1">
      <alignment horizontal="left" vertical="top" wrapText="1"/>
      <protection locked="0"/>
    </xf>
    <xf numFmtId="0" fontId="8" fillId="0" borderId="16" xfId="0" applyFont="1" applyBorder="1" applyAlignment="1" applyProtection="1">
      <alignment horizontal="left" vertical="top" wrapText="1"/>
      <protection locked="0"/>
    </xf>
    <xf numFmtId="0" fontId="8" fillId="0" borderId="27" xfId="0" applyFont="1" applyBorder="1" applyAlignment="1" applyProtection="1">
      <alignment horizontal="left" vertical="top"/>
      <protection locked="0"/>
    </xf>
    <xf numFmtId="0" fontId="8" fillId="0" borderId="0" xfId="0" applyFont="1" applyAlignment="1" applyProtection="1">
      <alignment horizontal="center" vertical="top" wrapText="1"/>
      <protection locked="0"/>
    </xf>
    <xf numFmtId="0" fontId="0" fillId="0" borderId="0" xfId="0" applyAlignment="1" applyProtection="1">
      <alignment horizontal="center" vertical="top" wrapText="1"/>
      <protection locked="0"/>
    </xf>
    <xf numFmtId="0" fontId="8" fillId="0" borderId="16" xfId="0" applyFont="1" applyBorder="1" applyAlignment="1" applyProtection="1">
      <alignment horizontal="left" vertical="top"/>
      <protection locked="0"/>
    </xf>
    <xf numFmtId="0" fontId="7" fillId="0" borderId="27" xfId="0" applyFont="1" applyBorder="1" applyAlignment="1" applyProtection="1">
      <alignment horizontal="left" vertical="top"/>
      <protection locked="0"/>
    </xf>
    <xf numFmtId="0" fontId="7" fillId="0" borderId="0" xfId="0" applyFont="1" applyAlignment="1" applyProtection="1">
      <alignment horizontal="center" vertical="top" wrapText="1"/>
      <protection locked="0"/>
    </xf>
    <xf numFmtId="0" fontId="7" fillId="0" borderId="16" xfId="0" applyFont="1" applyBorder="1" applyAlignment="1" applyProtection="1">
      <alignment horizontal="left" vertical="top" wrapText="1"/>
      <protection locked="0"/>
    </xf>
    <xf numFmtId="0" fontId="0" fillId="0" borderId="16" xfId="0" applyBorder="1" applyAlignment="1" applyProtection="1">
      <alignment horizontal="left" vertical="top"/>
      <protection locked="0"/>
    </xf>
    <xf numFmtId="0" fontId="0" fillId="0" borderId="27" xfId="0" applyBorder="1" applyAlignment="1" applyProtection="1">
      <alignment horizontal="left" vertical="top"/>
      <protection locked="0"/>
    </xf>
    <xf numFmtId="0" fontId="7" fillId="0" borderId="16" xfId="0" applyFont="1" applyBorder="1" applyAlignment="1" applyProtection="1">
      <alignment horizontal="left" vertical="top"/>
      <protection locked="0"/>
    </xf>
    <xf numFmtId="0" fontId="0" fillId="0" borderId="16" xfId="0" quotePrefix="1" applyBorder="1" applyAlignment="1" applyProtection="1">
      <alignment horizontal="left"/>
      <protection locked="0"/>
    </xf>
    <xf numFmtId="0" fontId="0" fillId="0" borderId="27" xfId="0" quotePrefix="1" applyBorder="1" applyAlignment="1" applyProtection="1">
      <alignment horizontal="left" vertical="top" wrapText="1"/>
      <protection locked="0"/>
    </xf>
    <xf numFmtId="164" fontId="7" fillId="0" borderId="71" xfId="1" applyFont="1" applyFill="1" applyBorder="1" applyAlignment="1" applyProtection="1">
      <alignment vertical="top"/>
      <protection locked="0"/>
    </xf>
    <xf numFmtId="0" fontId="7" fillId="0" borderId="71" xfId="0" applyFont="1" applyBorder="1" applyProtection="1">
      <protection locked="0"/>
    </xf>
    <xf numFmtId="0" fontId="7" fillId="0" borderId="71" xfId="1" applyNumberFormat="1" applyFont="1" applyFill="1" applyBorder="1" applyAlignment="1" applyProtection="1">
      <alignment vertical="top"/>
      <protection locked="0"/>
    </xf>
    <xf numFmtId="0" fontId="6" fillId="0" borderId="71" xfId="1" applyNumberFormat="1" applyFont="1" applyFill="1" applyBorder="1" applyAlignment="1" applyProtection="1">
      <alignment vertical="top"/>
      <protection locked="0"/>
    </xf>
    <xf numFmtId="0" fontId="7" fillId="0" borderId="71" xfId="1" quotePrefix="1" applyNumberFormat="1" applyFont="1" applyFill="1" applyBorder="1" applyAlignment="1" applyProtection="1">
      <alignment horizontal="right" vertical="top"/>
      <protection locked="0"/>
    </xf>
    <xf numFmtId="0" fontId="6" fillId="4" borderId="71" xfId="1" applyNumberFormat="1" applyFont="1" applyFill="1" applyBorder="1" applyAlignment="1" applyProtection="1">
      <alignment vertical="top"/>
      <protection locked="0"/>
    </xf>
    <xf numFmtId="164" fontId="7" fillId="8" borderId="71" xfId="1" applyFont="1" applyFill="1" applyBorder="1" applyAlignment="1" applyProtection="1">
      <alignment vertical="top"/>
    </xf>
    <xf numFmtId="164" fontId="7" fillId="0" borderId="71" xfId="1" applyFont="1" applyFill="1" applyBorder="1" applyAlignment="1" applyProtection="1">
      <alignment vertical="top"/>
    </xf>
    <xf numFmtId="164" fontId="7" fillId="8" borderId="71" xfId="1" applyFont="1" applyFill="1" applyBorder="1" applyAlignment="1" applyProtection="1">
      <alignment vertical="top"/>
      <protection locked="0"/>
    </xf>
    <xf numFmtId="164" fontId="7" fillId="9" borderId="71" xfId="1" applyFont="1" applyFill="1" applyBorder="1" applyAlignment="1" applyProtection="1">
      <alignment vertical="top"/>
      <protection locked="0"/>
    </xf>
    <xf numFmtId="164" fontId="7" fillId="4" borderId="71" xfId="1" applyFont="1" applyFill="1" applyBorder="1" applyAlignment="1" applyProtection="1">
      <alignment vertical="top"/>
      <protection locked="0"/>
    </xf>
    <xf numFmtId="164" fontId="7" fillId="4" borderId="71" xfId="1" applyFont="1" applyFill="1" applyBorder="1" applyAlignment="1" applyProtection="1">
      <alignment horizontal="right" vertical="top" wrapText="1"/>
      <protection locked="0"/>
    </xf>
    <xf numFmtId="164" fontId="7" fillId="0" borderId="71" xfId="1" applyFont="1" applyFill="1" applyBorder="1" applyAlignment="1" applyProtection="1">
      <alignment horizontal="right" vertical="top" wrapText="1"/>
      <protection locked="0"/>
    </xf>
    <xf numFmtId="164" fontId="6" fillId="4" borderId="71" xfId="1" applyFont="1" applyFill="1" applyBorder="1" applyAlignment="1" applyProtection="1">
      <alignment horizontal="right" vertical="top" wrapText="1"/>
      <protection locked="0"/>
    </xf>
    <xf numFmtId="164" fontId="7" fillId="8" borderId="71" xfId="1" applyFont="1" applyFill="1" applyBorder="1" applyAlignment="1" applyProtection="1">
      <alignment horizontal="right" vertical="top"/>
    </xf>
    <xf numFmtId="164" fontId="7" fillId="0" borderId="71" xfId="1" applyFont="1" applyFill="1" applyBorder="1" applyAlignment="1" applyProtection="1">
      <alignment horizontal="right" vertical="top"/>
    </xf>
    <xf numFmtId="164" fontId="7" fillId="0" borderId="71" xfId="1" applyFont="1" applyBorder="1" applyAlignment="1" applyProtection="1">
      <alignment horizontal="right" vertical="top" wrapText="1"/>
      <protection locked="0"/>
    </xf>
    <xf numFmtId="164" fontId="7" fillId="0" borderId="71" xfId="1" applyFont="1" applyBorder="1" applyAlignment="1" applyProtection="1">
      <alignment vertical="top"/>
      <protection locked="0"/>
    </xf>
    <xf numFmtId="0" fontId="6" fillId="0" borderId="71" xfId="1" applyNumberFormat="1" applyFont="1" applyFill="1" applyBorder="1" applyAlignment="1" applyProtection="1">
      <alignment horizontal="right" vertical="top" wrapText="1"/>
      <protection locked="0"/>
    </xf>
    <xf numFmtId="0" fontId="7" fillId="0" borderId="71" xfId="1" applyNumberFormat="1" applyFont="1" applyFill="1" applyBorder="1" applyAlignment="1" applyProtection="1">
      <alignment horizontal="right" vertical="top" wrapText="1"/>
      <protection locked="0"/>
    </xf>
    <xf numFmtId="0" fontId="15" fillId="0" borderId="71" xfId="1" applyNumberFormat="1" applyFont="1" applyFill="1" applyBorder="1" applyAlignment="1" applyProtection="1">
      <alignment horizontal="right" vertical="top" wrapText="1"/>
      <protection locked="0"/>
    </xf>
    <xf numFmtId="0" fontId="19" fillId="0" borderId="71" xfId="1" applyNumberFormat="1" applyFont="1" applyFill="1" applyBorder="1" applyAlignment="1" applyProtection="1">
      <alignment horizontal="right" vertical="top" wrapText="1"/>
      <protection locked="0"/>
    </xf>
    <xf numFmtId="0" fontId="15" fillId="0" borderId="71" xfId="1" applyNumberFormat="1" applyFont="1" applyFill="1" applyBorder="1" applyAlignment="1" applyProtection="1">
      <alignment vertical="top"/>
      <protection locked="0"/>
    </xf>
    <xf numFmtId="164" fontId="15" fillId="0" borderId="71" xfId="1" applyFont="1" applyFill="1" applyBorder="1" applyAlignment="1" applyProtection="1">
      <alignment vertical="top"/>
      <protection locked="0"/>
    </xf>
    <xf numFmtId="164" fontId="6" fillId="8" borderId="71" xfId="1" applyFont="1" applyFill="1" applyBorder="1" applyAlignment="1" applyProtection="1">
      <alignment horizontal="right" vertical="top"/>
    </xf>
    <xf numFmtId="164" fontId="6" fillId="9" borderId="71" xfId="1" applyFont="1" applyFill="1" applyBorder="1" applyAlignment="1" applyProtection="1">
      <alignment horizontal="right" vertical="top"/>
    </xf>
    <xf numFmtId="164" fontId="6" fillId="8" borderId="71" xfId="1" applyFont="1" applyFill="1" applyBorder="1" applyAlignment="1" applyProtection="1">
      <alignment horizontal="right" vertical="top" wrapText="1"/>
    </xf>
    <xf numFmtId="164" fontId="6" fillId="9" borderId="71" xfId="1" applyFont="1" applyFill="1" applyBorder="1" applyAlignment="1" applyProtection="1">
      <alignment horizontal="right" vertical="top" wrapText="1"/>
    </xf>
    <xf numFmtId="164" fontId="7" fillId="8" borderId="71" xfId="1" applyFont="1" applyFill="1" applyBorder="1" applyAlignment="1" applyProtection="1">
      <alignment horizontal="right" vertical="top" wrapText="1"/>
      <protection locked="0"/>
    </xf>
    <xf numFmtId="164" fontId="7" fillId="9" borderId="71" xfId="1" applyFont="1" applyFill="1" applyBorder="1" applyAlignment="1" applyProtection="1">
      <alignment horizontal="right" vertical="top"/>
      <protection locked="0"/>
    </xf>
    <xf numFmtId="164" fontId="7" fillId="8" borderId="71" xfId="1" applyFont="1" applyFill="1" applyBorder="1" applyAlignment="1" applyProtection="1">
      <alignment horizontal="center" vertical="top"/>
      <protection locked="0"/>
    </xf>
    <xf numFmtId="164" fontId="6" fillId="8" borderId="71" xfId="1" applyFont="1" applyFill="1" applyBorder="1" applyAlignment="1" applyProtection="1">
      <alignment horizontal="right" vertical="top"/>
      <protection locked="0"/>
    </xf>
    <xf numFmtId="164" fontId="6" fillId="9" borderId="71" xfId="1" applyFont="1" applyFill="1" applyBorder="1" applyAlignment="1" applyProtection="1">
      <alignment horizontal="right" vertical="top"/>
      <protection locked="0"/>
    </xf>
    <xf numFmtId="164" fontId="6" fillId="8" borderId="71" xfId="1" applyFont="1" applyFill="1" applyBorder="1" applyAlignment="1" applyProtection="1">
      <alignment vertical="top"/>
      <protection locked="0"/>
    </xf>
    <xf numFmtId="164" fontId="6" fillId="8" borderId="71" xfId="1" applyFont="1" applyFill="1" applyBorder="1" applyAlignment="1" applyProtection="1">
      <alignment horizontal="right" vertical="top" wrapText="1"/>
      <protection locked="0"/>
    </xf>
    <xf numFmtId="164" fontId="6" fillId="9" borderId="71" xfId="1" applyFont="1" applyFill="1" applyBorder="1" applyAlignment="1" applyProtection="1">
      <alignment horizontal="right" vertical="top" wrapText="1"/>
      <protection locked="0"/>
    </xf>
    <xf numFmtId="164" fontId="23" fillId="0" borderId="71" xfId="1" applyFont="1" applyFill="1" applyBorder="1" applyAlignment="1" applyProtection="1">
      <alignment horizontal="right" vertical="top"/>
    </xf>
    <xf numFmtId="164" fontId="23" fillId="0" borderId="71" xfId="1" applyFont="1" applyFill="1" applyBorder="1" applyAlignment="1" applyProtection="1">
      <alignment horizontal="right" vertical="top"/>
      <protection locked="0"/>
    </xf>
    <xf numFmtId="164" fontId="11" fillId="0" borderId="71" xfId="1" applyFont="1" applyFill="1" applyBorder="1" applyAlignment="1" applyProtection="1">
      <alignment horizontal="right" vertical="top"/>
    </xf>
    <xf numFmtId="164" fontId="6" fillId="4" borderId="71" xfId="1" applyFont="1" applyFill="1" applyBorder="1" applyAlignment="1" applyProtection="1">
      <alignment horizontal="right" vertical="top"/>
      <protection locked="0"/>
    </xf>
    <xf numFmtId="164" fontId="6" fillId="0" borderId="71" xfId="1" applyFont="1" applyFill="1" applyBorder="1" applyAlignment="1" applyProtection="1">
      <alignment horizontal="right" vertical="top"/>
      <protection locked="0"/>
    </xf>
    <xf numFmtId="164" fontId="6" fillId="0" borderId="71" xfId="1" applyFont="1" applyFill="1" applyBorder="1" applyAlignment="1" applyProtection="1">
      <alignment vertical="top"/>
      <protection locked="0"/>
    </xf>
    <xf numFmtId="164" fontId="7" fillId="0" borderId="71" xfId="1" applyFont="1" applyFill="1" applyBorder="1" applyProtection="1">
      <protection locked="0"/>
    </xf>
    <xf numFmtId="164" fontId="0" fillId="0" borderId="71" xfId="1" applyFont="1" applyFill="1" applyBorder="1" applyProtection="1">
      <protection locked="0"/>
    </xf>
    <xf numFmtId="164" fontId="6" fillId="0" borderId="71" xfId="1" applyFont="1" applyFill="1" applyBorder="1" applyAlignment="1" applyProtection="1">
      <alignment horizontal="center" vertical="top" wrapText="1"/>
      <protection locked="0"/>
    </xf>
    <xf numFmtId="164" fontId="6" fillId="0" borderId="71" xfId="1" applyFont="1" applyFill="1" applyBorder="1" applyAlignment="1" applyProtection="1">
      <alignment horizontal="right" vertical="top" wrapText="1"/>
      <protection locked="0"/>
    </xf>
    <xf numFmtId="164" fontId="7" fillId="0" borderId="71" xfId="1" applyFont="1" applyFill="1" applyBorder="1" applyAlignment="1" applyProtection="1">
      <alignment horizontal="right" vertical="top"/>
      <protection locked="0"/>
    </xf>
    <xf numFmtId="164" fontId="7" fillId="0" borderId="71" xfId="1" applyFont="1" applyFill="1" applyBorder="1" applyAlignment="1" applyProtection="1">
      <alignment horizontal="center" vertical="top"/>
      <protection locked="0"/>
    </xf>
    <xf numFmtId="164" fontId="6" fillId="9" borderId="71" xfId="1" applyFont="1" applyFill="1" applyBorder="1" applyAlignment="1" applyProtection="1">
      <alignment horizontal="center" vertical="top" wrapText="1"/>
      <protection locked="0"/>
    </xf>
    <xf numFmtId="164" fontId="6" fillId="0" borderId="71" xfId="1" applyFont="1" applyFill="1" applyBorder="1" applyAlignment="1" applyProtection="1">
      <alignment horizontal="center" vertical="top"/>
      <protection locked="0"/>
    </xf>
    <xf numFmtId="164" fontId="7" fillId="4" borderId="71" xfId="1" applyFont="1" applyFill="1" applyBorder="1" applyAlignment="1" applyProtection="1">
      <alignment horizontal="right" vertical="top"/>
      <protection locked="0"/>
    </xf>
    <xf numFmtId="164" fontId="7" fillId="0" borderId="71" xfId="1" applyFont="1" applyFill="1" applyBorder="1" applyAlignment="1" applyProtection="1">
      <alignment horizontal="left" vertical="top"/>
      <protection locked="0"/>
    </xf>
    <xf numFmtId="164" fontId="12" fillId="9" borderId="71" xfId="1" applyFont="1" applyFill="1" applyBorder="1" applyAlignment="1" applyProtection="1">
      <alignment horizontal="center" vertical="center"/>
      <protection locked="0"/>
    </xf>
    <xf numFmtId="164" fontId="7" fillId="8" borderId="71" xfId="1" applyFont="1" applyFill="1" applyBorder="1" applyAlignment="1" applyProtection="1">
      <alignment horizontal="right" vertical="top"/>
      <protection locked="0"/>
    </xf>
    <xf numFmtId="164" fontId="7" fillId="14" borderId="71" xfId="1" applyFont="1" applyFill="1" applyBorder="1" applyProtection="1">
      <protection locked="0"/>
    </xf>
    <xf numFmtId="164" fontId="7" fillId="0" borderId="71" xfId="0" applyNumberFormat="1" applyFont="1" applyBorder="1" applyProtection="1">
      <protection locked="0"/>
    </xf>
    <xf numFmtId="0" fontId="6" fillId="0" borderId="71" xfId="0" applyFont="1" applyBorder="1" applyProtection="1">
      <protection locked="0"/>
    </xf>
    <xf numFmtId="164" fontId="7" fillId="4" borderId="71" xfId="1" applyFont="1" applyFill="1" applyBorder="1" applyAlignment="1" applyProtection="1">
      <alignment horizontal="center" vertical="top"/>
      <protection locked="0"/>
    </xf>
    <xf numFmtId="164" fontId="6" fillId="4" borderId="71" xfId="1" applyFont="1" applyFill="1" applyBorder="1" applyAlignment="1" applyProtection="1">
      <alignment horizontal="center" vertical="center"/>
      <protection locked="0"/>
    </xf>
    <xf numFmtId="164" fontId="6" fillId="0" borderId="71" xfId="1" applyFont="1" applyFill="1" applyBorder="1" applyAlignment="1" applyProtection="1">
      <alignment horizontal="center" vertical="center"/>
      <protection locked="0"/>
    </xf>
    <xf numFmtId="164" fontId="7" fillId="4" borderId="71" xfId="1" applyFont="1" applyFill="1" applyBorder="1" applyAlignment="1" applyProtection="1">
      <alignment horizontal="right" vertical="top"/>
    </xf>
    <xf numFmtId="0" fontId="23" fillId="0" borderId="71" xfId="0" applyFont="1" applyBorder="1" applyAlignment="1" applyProtection="1">
      <alignment vertical="top"/>
      <protection locked="0"/>
    </xf>
    <xf numFmtId="0" fontId="8" fillId="0" borderId="71" xfId="0" applyFont="1" applyBorder="1" applyAlignment="1" applyProtection="1">
      <alignment vertical="top"/>
      <protection locked="0"/>
    </xf>
    <xf numFmtId="164" fontId="8" fillId="9" borderId="71" xfId="1" quotePrefix="1" applyFont="1" applyFill="1" applyBorder="1" applyAlignment="1" applyProtection="1">
      <alignment horizontal="left" vertical="top"/>
    </xf>
    <xf numFmtId="164" fontId="8" fillId="9" borderId="71" xfId="1" quotePrefix="1" applyFont="1" applyFill="1" applyBorder="1" applyAlignment="1" applyProtection="1">
      <alignment horizontal="right" vertical="top"/>
      <protection locked="0"/>
    </xf>
    <xf numFmtId="164" fontId="6" fillId="0" borderId="71" xfId="1" applyFont="1" applyFill="1" applyBorder="1" applyAlignment="1" applyProtection="1">
      <protection locked="0"/>
    </xf>
    <xf numFmtId="164" fontId="6" fillId="0" borderId="71" xfId="1" applyFont="1" applyBorder="1" applyAlignment="1" applyProtection="1">
      <protection locked="0"/>
    </xf>
    <xf numFmtId="164" fontId="8" fillId="9" borderId="71" xfId="1" quotePrefix="1" applyFont="1" applyFill="1" applyBorder="1" applyAlignment="1" applyProtection="1">
      <alignment horizontal="right" vertical="top"/>
    </xf>
    <xf numFmtId="164" fontId="7" fillId="4" borderId="71" xfId="1" applyFont="1" applyFill="1" applyBorder="1" applyAlignment="1" applyProtection="1">
      <alignment vertical="top"/>
    </xf>
    <xf numFmtId="164" fontId="7" fillId="0" borderId="71" xfId="1" applyFont="1" applyBorder="1" applyAlignment="1" applyProtection="1">
      <alignment vertical="top"/>
    </xf>
    <xf numFmtId="164" fontId="8" fillId="0" borderId="71" xfId="1" applyFont="1" applyFill="1" applyBorder="1" applyAlignment="1" applyProtection="1">
      <alignment vertical="top"/>
      <protection locked="0"/>
    </xf>
    <xf numFmtId="164" fontId="8" fillId="0" borderId="71" xfId="1" applyFont="1" applyFill="1" applyBorder="1" applyAlignment="1" applyProtection="1">
      <alignment vertical="top"/>
    </xf>
    <xf numFmtId="164" fontId="8" fillId="4" borderId="71" xfId="1" applyFont="1" applyFill="1" applyBorder="1" applyAlignment="1" applyProtection="1">
      <alignment vertical="top"/>
      <protection locked="0"/>
    </xf>
    <xf numFmtId="164" fontId="8" fillId="4" borderId="71" xfId="1" applyFont="1" applyFill="1" applyBorder="1" applyAlignment="1" applyProtection="1">
      <alignment vertical="top"/>
    </xf>
    <xf numFmtId="0" fontId="0" fillId="0" borderId="71" xfId="0" applyBorder="1" applyProtection="1">
      <protection locked="0"/>
    </xf>
    <xf numFmtId="164" fontId="0" fillId="0" borderId="71" xfId="0" applyNumberFormat="1" applyBorder="1" applyProtection="1">
      <protection locked="0"/>
    </xf>
    <xf numFmtId="164" fontId="8" fillId="0" borderId="71" xfId="1" applyFont="1" applyFill="1" applyBorder="1" applyAlignment="1" applyProtection="1">
      <alignment horizontal="center" vertical="top"/>
      <protection locked="0"/>
    </xf>
    <xf numFmtId="164" fontId="8" fillId="9" borderId="71" xfId="1" quotePrefix="1" applyFont="1" applyFill="1" applyBorder="1" applyAlignment="1" applyProtection="1">
      <alignment vertical="top"/>
    </xf>
    <xf numFmtId="9" fontId="7" fillId="0" borderId="71" xfId="2" applyFont="1" applyFill="1" applyBorder="1" applyAlignment="1" applyProtection="1">
      <alignment horizontal="right" vertical="top" wrapText="1"/>
      <protection locked="0"/>
    </xf>
    <xf numFmtId="10" fontId="7" fillId="4" borderId="71" xfId="2" applyNumberFormat="1" applyFont="1" applyFill="1" applyBorder="1" applyAlignment="1" applyProtection="1">
      <alignment horizontal="right" vertical="top" wrapText="1"/>
      <protection locked="0"/>
    </xf>
    <xf numFmtId="10" fontId="7" fillId="0" borderId="71" xfId="2" applyNumberFormat="1" applyFont="1" applyFill="1" applyBorder="1" applyAlignment="1" applyProtection="1">
      <alignment horizontal="right" vertical="top" wrapText="1"/>
      <protection locked="0"/>
    </xf>
    <xf xmlns:main="http://schemas.openxmlformats.org/spreadsheetml/2006/main" numFmtId="0" fontId="56" fillId="16" borderId="72" xfId="0" applyAlignment="1" applyProtection="1" applyNumberFormat="true" applyFont="true" applyFill="true" applyBorder="true">
      <main:alignment wrapText="true" horizontal="left" vertical="center"/>
      <main:protection hidden="false" locked="true"/>
    </xf>
    <xf xmlns:main="http://schemas.openxmlformats.org/spreadsheetml/2006/main" numFmtId="0" fontId="57" fillId="17" borderId="73" xfId="0" applyAlignment="1" applyProtection="1" applyNumberFormat="true" applyFont="true" applyFill="true" applyBorder="true">
      <main:alignment wrapText="true" horizontal="center" vertical="center"/>
      <main:protection hidden="false" locked="true"/>
    </xf>
    <xf xmlns:main="http://schemas.openxmlformats.org/spreadsheetml/2006/main" numFmtId="0" fontId="58" fillId="17" borderId="73" xfId="0" applyAlignment="1" applyProtection="1" applyNumberFormat="true" applyFont="true" applyFill="true" applyBorder="true">
      <main:alignment wrapText="true" horizontal="left" vertical="top"/>
      <main:protection hidden="false" locked="true"/>
    </xf>
    <xf xmlns:main="http://schemas.openxmlformats.org/spreadsheetml/2006/main" numFmtId="4" fontId="59" fillId="17" borderId="73" xfId="0" applyAlignment="1" applyProtection="1" applyNumberFormat="true" applyFont="true" applyFill="true" applyBorder="true">
      <main:alignment wrapText="true" horizontal="right" vertical="top"/>
      <main:protection hidden="false" locked="true"/>
    </xf>
    <xf xmlns:main="http://schemas.openxmlformats.org/spreadsheetml/2006/main" numFmtId="0" fontId="60" fillId="17" borderId="74" xfId="0" applyAlignment="1" applyProtection="1" applyNumberFormat="true" applyFont="true" applyFill="true" applyBorder="true">
      <main:alignment wrapText="true"/>
      <main:protection hidden="false" locked="false"/>
    </xf>
    <xf xmlns:main="http://schemas.openxmlformats.org/spreadsheetml/2006/main" numFmtId="0" fontId="61" fillId="17" borderId="73" xfId="0" applyAlignment="1" applyProtection="1" applyNumberFormat="true" applyFont="true" applyFill="true" applyBorder="true">
      <main:alignment wrapText="true" horizontal="right" vertical="top"/>
      <main:protection hidden="false" locked="true"/>
    </xf>
    <xf xmlns:main="http://schemas.openxmlformats.org/spreadsheetml/2006/main" numFmtId="3" fontId="62" fillId="17" borderId="73" xfId="0" applyAlignment="1" applyProtection="1" applyNumberFormat="true" applyFont="true" applyFill="true" applyBorder="true">
      <main:alignment wrapText="true" horizontal="right" vertical="top"/>
      <main:protection hidden="false" locked="true"/>
    </xf>
    <xf xmlns:main="http://schemas.openxmlformats.org/spreadsheetml/2006/main" numFmtId="0" fontId="63" fillId="17" borderId="75" xfId="0" applyAlignment="1" applyProtection="1" applyNumberFormat="true" applyFont="true" applyFill="true" applyBorder="true">
      <main:alignment wrapText="true" horizontal="left" vertical="top"/>
      <main:protection hidden="false" locked="true"/>
    </xf>
    <xf xmlns:main="http://schemas.openxmlformats.org/spreadsheetml/2006/main" numFmtId="3" fontId="64" fillId="17" borderId="75" xfId="0" applyAlignment="1" applyProtection="1" applyNumberFormat="true" applyFont="true" applyFill="true" applyBorder="true">
      <main:alignment wrapText="true" horizontal="right" vertical="top"/>
      <main:protection hidden="false" locked="true"/>
    </xf>
    <xf xmlns:main="http://schemas.openxmlformats.org/spreadsheetml/2006/main" numFmtId="0" fontId="65" fillId="17" borderId="73" xfId="0" applyAlignment="1" applyProtection="1" applyNumberFormat="true" applyFont="true" applyFill="true" applyBorder="true">
      <main:alignment wrapText="true" horizontal="left" vertical="top"/>
      <main:protection hidden="false" locked="true"/>
    </xf>
    <xf xmlns:main="http://schemas.openxmlformats.org/spreadsheetml/2006/main" numFmtId="3" fontId="66" fillId="17" borderId="73" xfId="0" applyAlignment="1" applyProtection="1" applyNumberFormat="true" applyFont="true" applyFill="true" applyBorder="true">
      <main:alignment wrapText="true" horizontal="right" vertical="top"/>
      <main:protection hidden="false" locked="true"/>
    </xf>
    <xf xmlns:main="http://schemas.openxmlformats.org/spreadsheetml/2006/main" numFmtId="0" fontId="67" fillId="17" borderId="73" xfId="0" applyAlignment="1" applyProtection="1" applyNumberFormat="true" applyFont="true" applyFill="true" applyBorder="true">
      <main:alignment wrapText="true" horizontal="left" vertical="top"/>
      <main:protection hidden="false" locked="true"/>
    </xf>
    <xf xmlns:main="http://schemas.openxmlformats.org/spreadsheetml/2006/main" numFmtId="3" fontId="68" fillId="17" borderId="73" xfId="0" applyAlignment="1" applyProtection="1" applyNumberFormat="true" applyFont="true" applyFill="true" applyBorder="true">
      <main:alignment wrapText="true" horizontal="right" vertical="top"/>
      <main:protection hidden="false" locked="true"/>
    </xf>
    <xf xmlns:main="http://schemas.openxmlformats.org/spreadsheetml/2006/main" numFmtId="0" fontId="69" fillId="17" borderId="75" xfId="0" applyAlignment="1" applyProtection="1" applyNumberFormat="true" applyFont="true" applyFill="true" applyBorder="true">
      <main:alignment wrapText="true" horizontal="right" vertical="top"/>
      <main:protection hidden="false" locked="true"/>
    </xf>
    <xf xmlns:main="http://schemas.openxmlformats.org/spreadsheetml/2006/main" numFmtId="4" fontId="70" fillId="17" borderId="75" xfId="0" applyAlignment="1" applyProtection="1" applyNumberFormat="true" applyFont="true" applyFill="true" applyBorder="true">
      <main:alignment wrapText="true" horizontal="right" vertical="top"/>
      <main:protection hidden="false" locked="true"/>
    </xf>
  </cellXfs>
  <cellStyles count="18">
    <cellStyle name="Comma" xfId="1" builtinId="3"/>
    <cellStyle name="Comma 2 2 3" xfId="7" xr:uid="{3470F938-14E8-4AE7-987B-89A44BA612D4}"/>
    <cellStyle name="Comma 2 2 4" xfId="8" xr:uid="{2628E0A4-CD56-4FA9-BEAD-72F57D6A3ADE}"/>
    <cellStyle name="Comma 2 3 2" xfId="10" xr:uid="{F3587A06-8842-4B41-B640-B4700CF7A839}"/>
    <cellStyle name="Hyperlink" xfId="3" builtinId="8"/>
    <cellStyle name="Normal" xfId="0" builtinId="0"/>
    <cellStyle name="Normal 10 2" xfId="12" xr:uid="{FDB40334-4034-4968-9B08-C856D9278B3D}"/>
    <cellStyle name="Normal 100" xfId="11" xr:uid="{B040A83B-769B-48C7-9F5D-07037849543C}"/>
    <cellStyle name="Normal 2" xfId="15" xr:uid="{C72AA6A9-C529-46D5-BC73-FE2FBAD6E716}"/>
    <cellStyle name="Normal 2 10" xfId="9" xr:uid="{6342B6EA-FF5F-4987-851C-E49F1DF1DA39}"/>
    <cellStyle name="Normal 2 2" xfId="4" xr:uid="{D8986367-8453-4B80-8B71-A359F337CD80}"/>
    <cellStyle name="Normal 2 2 2" xfId="14" xr:uid="{E66E95B2-E0DA-48E3-88E8-8AF0E273823F}"/>
    <cellStyle name="Normal 2 2 4 2" xfId="13" xr:uid="{EF64A215-BA56-4386-9DF4-10EAF09B19BE}"/>
    <cellStyle name="Normal 3" xfId="5" xr:uid="{BCB4EC6F-8B66-4954-9077-F0C263737D28}"/>
    <cellStyle name="Normal 4" xfId="16" xr:uid="{FAFA5C53-C3E8-4905-BEBD-9823F312BA26}"/>
    <cellStyle name="Normal 5" xfId="17" xr:uid="{E845A55C-7047-4FF2-A628-9DA31712AF8B}"/>
    <cellStyle name="Per cent" xfId="2" builtinId="5"/>
    <cellStyle name="Percent 2 2" xfId="6" xr:uid="{FE4FFFD9-80E3-4EA6-9562-70CCA65F79E3}"/>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9" Target="theme/theme1.xml" Type="http://schemas.openxmlformats.org/officeDocument/2006/relationships/theme"/><Relationship Id="rId4" Target="worksheets/sheet4.xml" Type="http://schemas.openxmlformats.org/officeDocument/2006/relationships/worksheet"/><Relationship Id="rId40" Target="styles.xml" Type="http://schemas.openxmlformats.org/officeDocument/2006/relationships/styles"/><Relationship Id="rId41" Target="sharedStrings.xml" Type="http://schemas.openxmlformats.org/officeDocument/2006/relationships/sharedStrings"/><Relationship Id="rId42" Target="persons/person.xml" Type="http://schemas.microsoft.com/office/2017/10/relationships/person"/><Relationship Id="rId43" Target="worksheets/sheet97.xml" Type="http://schemas.openxmlformats.org/officeDocument/2006/relationships/worksheet"/><Relationship Id="rId44" Target="vbaProject.bin" Type="http://schemas.microsoft.com/office/2006/relationships/vbaProject"/><Relationship Id="rId45" Target="worksheets/sheet98.xml" Type="http://schemas.openxmlformats.org/officeDocument/2006/relationships/worksheet"/><Relationship Id="rId46" Target="worksheets/sheet99.xml" Type="http://schemas.openxmlformats.org/officeDocument/2006/relationships/worksheet"/><Relationship Id="rId47" Target="worksheets/sheet100.xml" Type="http://schemas.openxmlformats.org/officeDocument/2006/relationships/worksheet"/><Relationship Id="rId48" Target="worksheets/sheet101.xml" Type="http://schemas.openxmlformats.org/officeDocument/2006/relationships/worksheet"/><Relationship Id="rId49" Target="worksheets/sheet102.xml" Type="http://schemas.openxmlformats.org/officeDocument/2006/relationships/worksheet"/><Relationship Id="rId5" Target="worksheets/sheet5.xml" Type="http://schemas.openxmlformats.org/officeDocument/2006/relationships/worksheet"/><Relationship Id="rId50" Target="worksheets/sheet103.xml" Type="http://schemas.openxmlformats.org/officeDocument/2006/relationships/worksheet"/><Relationship Id="rId51" Target="worksheets/sheet104.xml" Type="http://schemas.openxmlformats.org/officeDocument/2006/relationships/worksheet"/><Relationship Id="rId52" Target="worksheets/sheet105.xml" Type="http://schemas.openxmlformats.org/officeDocument/2006/relationships/worksheet"/><Relationship Id="rId53" Target="worksheets/sheet106.xml" Type="http://schemas.openxmlformats.org/officeDocument/2006/relationships/worksheet"/><Relationship Id="rId54" Target="worksheets/sheet107.xml" Type="http://schemas.openxmlformats.org/officeDocument/2006/relationships/worksheet"/><Relationship Id="rId55" Target="worksheets/sheet108.xml" Type="http://schemas.openxmlformats.org/officeDocument/2006/relationships/worksheet"/><Relationship Id="rId56" Target="worksheets/sheet109.xml" Type="http://schemas.openxmlformats.org/officeDocument/2006/relationships/worksheet"/><Relationship Id="rId57" Target="worksheets/sheet110.xml" Type="http://schemas.openxmlformats.org/officeDocument/2006/relationships/worksheet"/><Relationship Id="rId58" Target="worksheets/sheet111.xml" Type="http://schemas.openxmlformats.org/officeDocument/2006/relationships/worksheet"/><Relationship Id="rId59" Target="worksheets/sheet112.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persons/person.xml><?xml version="1.0" encoding="utf-8"?>
<personList xmlns="http://schemas.microsoft.com/office/spreadsheetml/2018/threadedcomments" xmlns:x="http://schemas.openxmlformats.org/spreadsheetml/2006/main">
  <person displayName="Nitin Champawat" id="{64F6C0BB-CDB5-4039-BF5D-83E9617DF594}" userId="S::Nitin.Champawat@nw18.com::50bf759c-7085-47f3-9f7e-013410e9fa1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38" dT="2023-04-08T07:42:42.98" personId="{64F6C0BB-CDB5-4039-BF5D-83E9617DF594}" id="{0D60BC26-1A27-4271-B031-CD5141035334}">
    <text>Need to discuss:
net charges on foreign exchange contracts and
adjustments arising from exchange rate variations attributable to the assets. In case of land
the Company has availed fair value as deemed cost on the date of transition to Ind AS.</text>
  </threadedComment>
</ThreadedComments>
</file>

<file path=xl/webextensions/_rels/taskpanes.xml.rels><?xml version="1.0" encoding="UTF-8" standalone="yes"?><Relationships xmlns="http://schemas.openxmlformats.org/package/2006/relationships"><Relationship Id="rId1" Target="webextension1.xml" Type="http://schemas.microsoft.com/office/2011/relationships/webextension"/></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2F18C11-8FC2-4312-AEB6-136A1C7255B9}">
  <we:reference id="61e1ce0f-f6e2-4c9f-9682-8ca020ab29eb" version="1.0.0.0"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6.xml.rels><?xml version="1.0" encoding="UTF-8" standalone="yes"?><Relationships xmlns="http://schemas.openxmlformats.org/package/2006/relationships"><Relationship Id="rId1" Target="../printerSettings/printerSettings6.bin" Type="http://schemas.openxmlformats.org/officeDocument/2006/relationships/printerSettings"/></Relationships>
</file>

<file path=xl/worksheets/_rels/sheet7.xml.rels><?xml version="1.0" encoding="UTF-8" standalone="yes"?><Relationships xmlns="http://schemas.openxmlformats.org/package/2006/relationships"><Relationship Id="rId1" Target="../printerSettings/printerSettings7.bin" Type="http://schemas.openxmlformats.org/officeDocument/2006/relationships/printerSettings"/></Relationships>
</file>

<file path=xl/worksheets/_rels/sheet8.xml.rels><?xml version="1.0" encoding="UTF-8" standalone="yes"?><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yes"?><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yes"?><Relationships xmlns="http://schemas.openxmlformats.org/package/2006/relationships"><Relationship Id="rId1" Target="../printerSettings/printerSettings10.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yes"?><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yes"?><Relationships xmlns="http://schemas.openxmlformats.org/package/2006/relationships"><Relationship Id="rId1" Target="../printerSettings/printerSettings12.bin" Type="http://schemas.openxmlformats.org/officeDocument/2006/relationships/printerSettings"/></Relationships>
</file>

<file path=xl/worksheets/_rels/sheet13.xml.rels><?xml version="1.0" encoding="UTF-8" standalone="yes"?><Relationships xmlns="http://schemas.openxmlformats.org/package/2006/relationships"><Relationship Id="rId1" Target="../printerSettings/printerSettings13.bin" Type="http://schemas.openxmlformats.org/officeDocument/2006/relationships/printerSettings"/></Relationships>
</file>

<file path=xl/worksheets/_rels/sheet14.xml.rels><?xml version="1.0" encoding="UTF-8" standalone="yes"?><Relationships xmlns="http://schemas.openxmlformats.org/package/2006/relationships"><Relationship Id="rId1" Target="../printerSettings/printerSettings14.bin" Type="http://schemas.openxmlformats.org/officeDocument/2006/relationships/printerSettings"/></Relationships>
</file>

<file path=xl/worksheets/_rels/sheet15.xml.rels><?xml version="1.0" encoding="UTF-8" standalone="yes"?><Relationships xmlns="http://schemas.openxmlformats.org/package/2006/relationships"><Relationship Id="rId1" Target="../printerSettings/printerSettings15.bin" Type="http://schemas.openxmlformats.org/officeDocument/2006/relationships/printerSettings"/></Relationships>
</file>

<file path=xl/worksheets/_rels/sheet16.xml.rels><?xml version="1.0" encoding="UTF-8" standalone="yes"?><Relationships xmlns="http://schemas.openxmlformats.org/package/2006/relationships"><Relationship Id="rId1" Target="../printerSettings/printerSettings16.bin" Type="http://schemas.openxmlformats.org/officeDocument/2006/relationships/printerSettings"/></Relationships>
</file>

<file path=xl/worksheets/_rels/sheet17.xml.rels><?xml version="1.0" encoding="UTF-8" standalone="yes"?><Relationships xmlns="http://schemas.openxmlformats.org/package/2006/relationships"><Relationship Id="rId1" Target="../printerSettings/printerSettings17.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 Id="rId4" Target="../threadedComments/threadedComment1.xml" Type="http://schemas.microsoft.com/office/2017/10/relationships/threadedComment"/></Relationships>
</file>

<file path=xl/worksheets/_rels/sheet18.xml.rels><?xml version="1.0" encoding="UTF-8" standalone="yes"?><Relationships xmlns="http://schemas.openxmlformats.org/package/2006/relationships"><Relationship Id="rId1" Target="../printerSettings/printerSettings18.bin" Type="http://schemas.openxmlformats.org/officeDocument/2006/relationships/printerSettings"/></Relationships>
</file>

<file path=xl/worksheets/_rels/sheet19.xml.rels><?xml version="1.0" encoding="UTF-8" standalone="yes"?><Relationships xmlns="http://schemas.openxmlformats.org/package/2006/relationships"><Relationship Id="rId1" Target="../printerSettings/printerSettings19.bin" Type="http://schemas.openxmlformats.org/officeDocument/2006/relationships/printerSettings"/></Relationships>
</file>

<file path=xl/worksheets/_rels/sheet20.xml.rels><?xml version="1.0" encoding="UTF-8" standalone="yes"?><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yes"?><Relationships xmlns="http://schemas.openxmlformats.org/package/2006/relationships"><Relationship Id="rId1" Target="../printerSettings/printerSettings21.bin" Type="http://schemas.openxmlformats.org/officeDocument/2006/relationships/printerSettings"/></Relationships>
</file>

<file path=xl/worksheets/_rels/sheet22.xml.rels><?xml version="1.0" encoding="UTF-8" standalone="yes"?><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yes"?><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yes"?><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yes"?><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yes"?><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yes"?><Relationships xmlns="http://schemas.openxmlformats.org/package/2006/relationships"><Relationship Id="rId1" Target="../printerSettings/printerSettings27.bin" Type="http://schemas.openxmlformats.org/officeDocument/2006/relationships/printerSettings"/></Relationships>
</file>

<file path=xl/worksheets/_rels/sheet28.xml.rels><?xml version="1.0" encoding="UTF-8" standalone="yes"?><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yes"?><Relationships xmlns="http://schemas.openxmlformats.org/package/2006/relationships"><Relationship Id="rId1" Target="../printerSettings/printerSettings29.bin" Type="http://schemas.openxmlformats.org/officeDocument/2006/relationships/printerSettings"/></Relationships>
</file>

<file path=xl/worksheets/_rels/sheet30.xml.rels><?xml version="1.0" encoding="UTF-8" standalone="yes"?><Relationships xmlns="http://schemas.openxmlformats.org/package/2006/relationships"><Relationship Id="rId1" Target="../printerSettings/printerSettings30.bin" Type="http://schemas.openxmlformats.org/officeDocument/2006/relationships/printerSettings"/></Relationships>
</file>

<file path=xl/worksheets/_rels/sheet31.xml.rels><?xml version="1.0" encoding="UTF-8" standalone="yes"?><Relationships xmlns="http://schemas.openxmlformats.org/package/2006/relationships"><Relationship Id="rId1" Target="../printerSettings/printerSettings31.bin" Type="http://schemas.openxmlformats.org/officeDocument/2006/relationships/printerSettings"/></Relationships>
</file>

<file path=xl/worksheets/_rels/sheet32.xml.rels><?xml version="1.0" encoding="UTF-8" standalone="yes"?><Relationships xmlns="http://schemas.openxmlformats.org/package/2006/relationships"><Relationship Id="rId1" Target="../printerSettings/printerSettings32.bin" Type="http://schemas.openxmlformats.org/officeDocument/2006/relationships/printerSettings"/></Relationships>
</file>

<file path=xl/worksheets/_rels/sheet33.xml.rels><?xml version="1.0" encoding="UTF-8" standalone="yes"?><Relationships xmlns="http://schemas.openxmlformats.org/package/2006/relationships"><Relationship Id="rId1" Target="../printerSettings/printerSettings33.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3A369-6A66-4A0D-AF35-06C39D16EA68}">
  <sheetPr codeName="Sheet1">
    <tabColor theme="1"/>
  </sheetPr>
  <dimension ref="A1:E9"/>
  <sheetViews>
    <sheetView showGridLines="0" view="pageBreakPreview" zoomScaleNormal="100" zoomScaleSheetLayoutView="100" workbookViewId="0">
      <selection activeCell="B19" sqref="B19"/>
    </sheetView>
  </sheetViews>
  <sheetFormatPr defaultColWidth="9.42578125" defaultRowHeight="13.15"/>
  <cols>
    <col min="1" max="1" customWidth="true" style="2" width="26.42578125"/>
    <col min="2" max="2" customWidth="true" style="2" width="52.42578125"/>
    <col min="3" max="3" bestFit="true" customWidth="true" style="17" width="18.5703125"/>
    <col min="4" max="4" bestFit="true" customWidth="true" style="2" width="13.5703125"/>
    <col min="5" max="5" customWidth="true" style="18" width="42.5703125"/>
    <col min="6" max="6" style="2" width="9.42578125"/>
    <col min="7" max="7" bestFit="true" customWidth="true" style="2" width="16.42578125"/>
    <col min="8" max="16384" style="2" width="9.42578125"/>
  </cols>
  <sheetData>
    <row r="1" spans="1:5" s="3" customFormat="1" ht="16.149999999999999" thickBot="1">
      <c r="A1" s="1" t="s">
        <v>0</v>
      </c>
      <c r="B1" s="2"/>
      <c r="C1" s="1260"/>
      <c r="D1" s="1260"/>
      <c r="E1" s="1260"/>
    </row>
    <row r="2" spans="1:5" ht="13.9" thickBot="1">
      <c r="A2" s="4" t="s">
        <v>1</v>
      </c>
      <c r="B2" s="5" t="s">
        <v>2</v>
      </c>
      <c r="C2" s="5" t="s">
        <v>3</v>
      </c>
      <c r="D2" s="5" t="s">
        <v>4</v>
      </c>
      <c r="E2" s="6" t="s">
        <v>5</v>
      </c>
    </row>
    <row r="3" spans="1:5">
      <c r="A3" s="7" t="s">
        <v>6</v>
      </c>
      <c r="B3" s="8"/>
      <c r="C3" s="1032">
        <f>SOCE!Q2</f>
        <v>11</v>
      </c>
      <c r="D3" s="1032">
        <f>SOCE!R2</f>
        <v>11</v>
      </c>
      <c r="E3" s="9"/>
    </row>
    <row r="4" spans="1:5">
      <c r="A4" s="7" t="s">
        <v>7</v>
      </c>
      <c r="B4" s="8"/>
      <c r="C4" s="1032">
        <f ca="1">BS!M3</f>
        <v>0</v>
      </c>
      <c r="D4" s="1032">
        <f ca="1">BS!N3</f>
        <v>0</v>
      </c>
      <c r="E4" s="10"/>
    </row>
    <row r="5" spans="1:5">
      <c r="A5" s="7" t="s">
        <v>7</v>
      </c>
      <c r="B5" s="8"/>
      <c r="C5" s="1032">
        <f ca="1">BS!M4</f>
        <v>0</v>
      </c>
      <c r="D5" s="1032">
        <f ca="1">BS!N4</f>
        <v>0</v>
      </c>
      <c r="E5" s="10"/>
    </row>
    <row r="6" spans="1:5">
      <c r="A6" s="7" t="s">
        <v>8</v>
      </c>
      <c r="B6" s="11"/>
      <c r="C6" s="1032">
        <f>'P&amp;L'!M3</f>
        <v>0</v>
      </c>
      <c r="D6" s="1032">
        <f>'P&amp;L'!N3</f>
        <v>0</v>
      </c>
      <c r="E6" s="9"/>
    </row>
    <row r="7" spans="1:5">
      <c r="A7" s="7" t="s">
        <v>9</v>
      </c>
      <c r="B7" s="11"/>
      <c r="C7" s="1032">
        <f ca="1">CF!N3</f>
        <v>1</v>
      </c>
      <c r="D7" s="1032">
        <f ca="1">CF!O3</f>
        <v>1</v>
      </c>
      <c r="E7" s="9"/>
    </row>
    <row r="8" spans="1:5" ht="13.9" thickBot="1">
      <c r="A8" s="12" t="s">
        <v>10</v>
      </c>
      <c r="B8" s="13"/>
      <c r="C8" s="13"/>
      <c r="D8" s="13"/>
      <c r="E8" s="14"/>
    </row>
    <row r="9" spans="1:5">
      <c r="A9" s="15"/>
      <c r="C9" s="2"/>
      <c r="D9" s="1528"/>
      <c r="E9" s="1244"/>
    </row>
  </sheetData>
  <sheetProtection algorithmName="SHA-512" hashValue="mMDBTes+rb6cy6tsd4W7Wz+q1QCt/xafbnD5npZT0rbpUjAZoPWUTbB13quyY5le5P0X9mCV/ne/g22z5Hq4Ew==" saltValue="snA1o67Yr3bXm7QZKbuQjw=="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5D78D-A8C4-4269-AAD4-22276D1FFD33}">
  <sheetPr codeName="Sheet8"/>
  <dimension ref="C2:C8"/>
  <sheetViews>
    <sheetView view="pageBreakPreview" zoomScaleNormal="100" zoomScaleSheetLayoutView="100" workbookViewId="0">
      <selection activeCell="C8" sqref="C8"/>
    </sheetView>
  </sheetViews>
  <sheetFormatPr defaultColWidth="8.85546875" defaultRowHeight="13.15"/>
  <cols>
    <col min="1" max="2" style="2" width="8.85546875"/>
    <col min="3" max="3" bestFit="true" customWidth="true" style="2" width="24.28515625"/>
    <col min="4" max="16384" style="2" width="8.85546875"/>
  </cols>
  <sheetData>
    <row r="2" spans="3:3">
      <c r="C2" s="2" t="s">
        <v>11</v>
      </c>
    </row>
    <row r="3" spans="3:3">
      <c r="C3" s="2" t="s">
        <v>12</v>
      </c>
    </row>
    <row r="4" spans="3:3">
      <c r="C4" s="2" t="s">
        <v>13</v>
      </c>
    </row>
    <row r="5" spans="3:3">
      <c r="C5" s="2" t="s">
        <v>14</v>
      </c>
    </row>
    <row r="6" spans="3:3">
      <c r="C6" s="2" t="s">
        <v>15</v>
      </c>
    </row>
    <row r="7" spans="3:3">
      <c r="C7" s="2" t="s">
        <v>16</v>
      </c>
    </row>
    <row r="8" spans="3:3">
      <c r="C8" s="2" t="s">
        <v>17</v>
      </c>
    </row>
  </sheetData>
  <sheetProtection algorithmName="SHA-512" hashValue="MCg3F7h/RmMr5QEuGuVJeaTATh0pPKsSGvIlkMWPGmNeRaoDCtG7e9Mi1kW5oPihpeHX2f7Dx4LbdCJMcvTQGQ==" saltValue="dMHhdJbTvRYFSJWsvG91yQ=="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B277-A2C7-45DF-AEEF-01F62FB1E961}">
  <sheetPr codeName="Sheet2"/>
  <dimension ref="A3:Q70"/>
  <sheetViews>
    <sheetView showGridLines="0" view="pageBreakPreview" topLeftCell="A31" zoomScaleNormal="100" zoomScaleSheetLayoutView="100" workbookViewId="0">
      <selection activeCell="G52" sqref="G52"/>
    </sheetView>
  </sheetViews>
  <sheetFormatPr defaultColWidth="8.85546875" defaultRowHeight="13.15"/>
  <cols>
    <col min="1" max="1" customWidth="true" style="2" width="10.0"/>
    <col min="2" max="2" bestFit="true" customWidth="true" style="2" width="32.0"/>
    <col min="3" max="3" bestFit="true" customWidth="true" style="3" width="72.7109375"/>
    <col min="4" max="4" bestFit="true" customWidth="true" style="2" width="12.7109375"/>
    <col min="5" max="10" style="2" width="8.85546875"/>
    <col min="11" max="11" bestFit="true" customWidth="true" style="2" width="26.5703125"/>
    <col min="12" max="12" bestFit="true" customWidth="true" style="2" width="20.42578125"/>
    <col min="13" max="16384" style="2" width="8.85546875"/>
  </cols>
  <sheetData>
    <row r="3" spans="2:3">
      <c r="B3" s="673" t="s">
        <v>18</v>
      </c>
      <c r="C3" s="1033" t="str">
        <f>FZ_Reference_Master!C3</f>
        <v>Air India Express</v>
      </c>
    </row>
    <row r="4" spans="2:3">
      <c r="B4" s="674" t="s">
        <v>19</v>
      </c>
      <c r="C4" s="1034" t="e">
        <f ca="1">FZ_Reference_Master!B4&amp;" Statement of Profit and Loss for the period ended "&amp;Current_Date</f>
        <v>#NAME?</v>
      </c>
    </row>
    <row r="5" spans="2:3">
      <c r="B5" s="674" t="s">
        <v>20</v>
      </c>
      <c r="C5" s="1034" t="e">
        <f ca="1">FZ_Reference_Master!B4&amp;" Balance Sheet as at "&amp;Current_Date</f>
        <v>#NAME?</v>
      </c>
    </row>
    <row r="6" spans="2:3">
      <c r="B6" s="674" t="s">
        <v>21</v>
      </c>
      <c r="C6" s="1034" t="e">
        <f ca="1">FZ_Reference_Master!B4&amp;" Cash Flow Statement for the year ended "&amp;Current_Date</f>
        <v>#NAME?</v>
      </c>
    </row>
    <row r="7" spans="2:3">
      <c r="B7" s="674" t="s">
        <v>6</v>
      </c>
      <c r="C7" s="1035" t="e">
        <f ca="1">FZ_Reference_Master!B4&amp;" Statement of Changes in Equity for the period ended "&amp;Current_Date</f>
        <v>#NAME?</v>
      </c>
    </row>
    <row r="8" spans="2:3">
      <c r="B8" s="674" t="s">
        <v>22</v>
      </c>
      <c r="C8" s="1034" t="e">
        <f ca="1">"Notes to the "&amp;FZ_Reference_Master!B4&amp;" Financial Statements for the period ended "&amp;Current_Date</f>
        <v>#NAME?</v>
      </c>
    </row>
    <row r="9" spans="2:3">
      <c r="B9" s="674" t="s">
        <v>23</v>
      </c>
      <c r="C9" s="1035" t="str">
        <f>FZ_Reference_Master!D15</f>
        <v>31st March 2024</v>
      </c>
    </row>
    <row r="10" spans="2:3">
      <c r="B10" s="674" t="s">
        <v>24</v>
      </c>
      <c r="C10" s="1035" t="str">
        <f>FZ_Reference_Master!E15</f>
        <v>31st March 2023</v>
      </c>
    </row>
    <row r="11" spans="2:3">
      <c r="B11" s="674" t="s">
        <v>25</v>
      </c>
      <c r="C11" s="1036" t="e">
        <f ca="1">"As at "&amp;Current_Date</f>
        <v>#NAME?</v>
      </c>
    </row>
    <row r="12" spans="2:3">
      <c r="B12" s="674" t="s">
        <v>26</v>
      </c>
      <c r="C12" s="1036" t="e">
        <f ca="1">"As at "&amp;Previous_Date</f>
        <v>#NAME?</v>
      </c>
    </row>
    <row r="13" spans="2:3">
      <c r="B13" s="674" t="s">
        <v>27</v>
      </c>
      <c r="C13" s="1036" t="str">
        <f>"As at "&amp;FZ_Reference_Master!E16</f>
        <v xml:space="preserve">As at </v>
      </c>
    </row>
    <row r="14" spans="2:3">
      <c r="B14" s="674" t="s">
        <v>28</v>
      </c>
      <c r="C14" s="1036" t="e">
        <f ca="1">"Year ended "&amp;Current_Date</f>
        <v>#NAME?</v>
      </c>
    </row>
    <row r="15" spans="2:3">
      <c r="B15" s="674" t="s">
        <v>29</v>
      </c>
      <c r="C15" s="1036" t="e">
        <f ca="1">"Year ended "&amp;Previous_Date</f>
        <v>#NAME?</v>
      </c>
    </row>
    <row r="16" spans="2:3">
      <c r="B16" s="674" t="s">
        <v>30</v>
      </c>
      <c r="C16" s="1035" t="str">
        <f>LEFT(FZ_Reference_Master!B15,4)</f>
        <v>2024</v>
      </c>
    </row>
    <row r="17" spans="1:17">
      <c r="A17" s="25"/>
      <c r="B17" s="674" t="s">
        <v>31</v>
      </c>
      <c r="C17" s="1035" t="str">
        <f>LEFT(FZ_Reference_Master!B16,4)</f>
        <v/>
      </c>
    </row>
    <row r="18" spans="1:17">
      <c r="A18" s="25"/>
      <c r="B18" s="674" t="s">
        <v>32</v>
      </c>
      <c r="C18" s="1035" t="str">
        <f>LEFT(FZ_Reference_Master!B17,4)</f>
        <v>Actu</v>
      </c>
    </row>
    <row r="19" spans="1:17">
      <c r="A19" s="25"/>
      <c r="B19" s="674" t="s">
        <v>33</v>
      </c>
      <c r="C19" s="1035" t="str">
        <f>FZ_Reference_Master!G15</f>
        <v>2023-24</v>
      </c>
    </row>
    <row r="20" spans="1:17">
      <c r="A20" s="25"/>
      <c r="B20" s="674" t="s">
        <v>34</v>
      </c>
      <c r="C20" s="1035" t="str">
        <f>FZ_Reference_Master!H15</f>
        <v>2022-23</v>
      </c>
    </row>
    <row r="21" spans="1:17" s="675" customFormat="1">
      <c r="B21" s="676" t="s">
        <v>35</v>
      </c>
      <c r="C21" s="1037" t="e">
        <f ca="1">"For the period ended "&amp;Current_Date</f>
        <v>#NAME?</v>
      </c>
    </row>
    <row r="22" spans="1:17" s="675" customFormat="1">
      <c r="B22" s="676" t="s">
        <v>36</v>
      </c>
      <c r="C22" s="1038" t="e">
        <f ca="1">"For the period ended "&amp;Previous_Date</f>
        <v>#NAME?</v>
      </c>
    </row>
    <row r="23" spans="1:17">
      <c r="B23" s="677" t="s">
        <v>37</v>
      </c>
      <c r="C23" s="1039" t="e">
        <f>CONCATENATE("EARNINGS PER EQUITY SHARE OF FACE VALUE OF ₹ ", 'NT PL1'!#REF!, " EACH")</f>
        <v>#REF!</v>
      </c>
      <c r="D23" s="15"/>
      <c r="E23" s="15"/>
      <c r="F23" s="15"/>
      <c r="G23" s="15"/>
      <c r="H23" s="15"/>
      <c r="I23" s="15"/>
      <c r="J23" s="15"/>
      <c r="M23" s="15"/>
      <c r="N23" s="15"/>
      <c r="O23" s="15"/>
      <c r="P23" s="15"/>
      <c r="Q23" s="15"/>
    </row>
    <row r="24" spans="1:17">
      <c r="B24" s="678" t="s">
        <v>38</v>
      </c>
      <c r="C24" s="1034" t="e">
        <f ca="1">"As at 1st April, "&amp;Previous_year</f>
        <v>#NAME?</v>
      </c>
    </row>
    <row r="25" spans="1:17">
      <c r="B25" s="678" t="s">
        <v>39</v>
      </c>
      <c r="C25" s="1034" t="e">
        <f ca="1">"As at 31st March, "&amp;Current_year</f>
        <v>#NAME?</v>
      </c>
    </row>
    <row r="26" spans="1:17">
      <c r="B26" s="678" t="s">
        <v>40</v>
      </c>
      <c r="C26" s="1034" t="e">
        <f ca="1">"As at 1st April, "&amp;P_Previous_Year</f>
        <v>#NAME?</v>
      </c>
    </row>
    <row r="27" spans="1:17">
      <c r="B27" s="678" t="s">
        <v>41</v>
      </c>
      <c r="C27" s="1034" t="e">
        <f ca="1">"As at 31st March, "&amp;Previous_year</f>
        <v>#NAME?</v>
      </c>
    </row>
    <row r="28" spans="1:17">
      <c r="B28" s="678" t="s">
        <v>42</v>
      </c>
      <c r="C28" s="1035" t="e">
        <f ca="1">"Net carrying value as at "&amp;Current_Date</f>
        <v>#NAME?</v>
      </c>
    </row>
    <row r="29" spans="1:17">
      <c r="B29" s="679" t="s">
        <v>43</v>
      </c>
      <c r="C29" s="1040" t="e">
        <f ca="1">"Net carrying value as at "&amp;Previous_Date</f>
        <v>#NAME?</v>
      </c>
    </row>
    <row r="30" spans="1:17">
      <c r="B30" s="680" t="s">
        <v>44</v>
      </c>
      <c r="C30" s="681"/>
    </row>
    <row r="31" spans="1:17">
      <c r="B31" s="680" t="s">
        <v>45</v>
      </c>
      <c r="C31" s="1041" t="e">
        <f ca="1">"Balance as at 31st March "&amp;Previous_year</f>
        <v>#NAME?</v>
      </c>
    </row>
    <row r="32" spans="1:17">
      <c r="B32" s="680" t="s">
        <v>46</v>
      </c>
      <c r="C32" s="1041" t="e">
        <f ca="1">"Balance as at 31st March "&amp;Current_year</f>
        <v>#NAME?</v>
      </c>
    </row>
    <row r="33" spans="2:3">
      <c r="B33" s="682" t="s">
        <v>47</v>
      </c>
      <c r="C33" s="1042" t="e">
        <f ca="1">"Balance as at 31st March "&amp;P_Previous_Year</f>
        <v>#NAME?</v>
      </c>
    </row>
    <row r="34" spans="2:3">
      <c r="B34" s="683"/>
      <c r="C34" s="1259"/>
    </row>
    <row r="35" spans="2:3">
      <c r="B35" s="684" t="s">
        <v>48</v>
      </c>
      <c r="C35" s="1259"/>
    </row>
    <row r="36" spans="2:3">
      <c r="B36" s="684"/>
      <c r="C36" s="1259"/>
    </row>
    <row r="37" spans="2:3">
      <c r="B37" s="685" t="s">
        <v>49</v>
      </c>
      <c r="C37" s="1259" t="s">
        <v>50</v>
      </c>
    </row>
    <row r="38" spans="2:3">
      <c r="B38" s="683"/>
      <c r="C38" s="1259" t="s">
        <v>51</v>
      </c>
    </row>
    <row r="39" spans="2:3">
      <c r="B39" s="683"/>
      <c r="C39" s="1259" t="s">
        <v>6</v>
      </c>
    </row>
    <row r="40" spans="2:3">
      <c r="B40" s="683"/>
      <c r="C40" s="1259" t="s">
        <v>52</v>
      </c>
    </row>
    <row r="41" spans="2:3">
      <c r="B41" s="683"/>
      <c r="C41" s="1259" t="s">
        <v>53</v>
      </c>
    </row>
    <row r="42" spans="2:3">
      <c r="B42" s="683"/>
      <c r="C42" s="1259" t="s">
        <v>54</v>
      </c>
    </row>
    <row r="44" spans="2:3">
      <c r="B44" s="292" t="s">
        <v>55</v>
      </c>
      <c r="C44" s="1259" t="s">
        <v>56</v>
      </c>
    </row>
    <row r="45" spans="2:3">
      <c r="C45" s="1259" t="s">
        <v>57</v>
      </c>
    </row>
    <row r="46" spans="2:3" ht="26.45">
      <c r="C46" s="686" t="s">
        <v>58</v>
      </c>
    </row>
    <row r="47" spans="2:3">
      <c r="C47" s="1259" t="s">
        <v>59</v>
      </c>
    </row>
    <row r="48" spans="2:3">
      <c r="B48" s="25" t="s">
        <v>60</v>
      </c>
      <c r="C48" s="1259" t="s">
        <v>61</v>
      </c>
    </row>
    <row r="49" spans="2:7">
      <c r="C49" s="1259" t="s">
        <v>62</v>
      </c>
    </row>
    <row r="51" spans="2:7" ht="15.6">
      <c r="B51" s="646" t="s">
        <v>63</v>
      </c>
      <c r="C51" s="19"/>
    </row>
    <row r="52" spans="2:7">
      <c r="B52" s="20" t="s">
        <v>64</v>
      </c>
      <c r="C52" s="1264" t="s">
        <v>65</v>
      </c>
      <c r="G52" s="2" t="str">
        <f>CONCATENATE(FZ_Reference_Master!B3,"|001|",FZ_Reference_Master!B6,"|",FZ_Reference_Master!B5,"|",FZ_Reference_Master!B4)</f>
        <v>7756|001|INR|Actual|Standalone</v>
      </c>
    </row>
    <row r="53" spans="2:7">
      <c r="B53" s="20" t="s">
        <v>66</v>
      </c>
      <c r="C53" s="1264" t="s">
        <v>67</v>
      </c>
      <c r="G53" s="2" t="str">
        <f>CONCATENATE(FZ_Reference_Master!B3,"|002|",FZ_Reference_Master!B6,"|",FZ_Reference_Master!B5,"|",FZ_Reference_Master!B4)</f>
        <v>7756|002|INR|Actual|Standalone</v>
      </c>
    </row>
    <row r="54" spans="2:7">
      <c r="B54" s="20" t="s">
        <v>68</v>
      </c>
      <c r="C54" s="1264" t="s">
        <v>69</v>
      </c>
      <c r="G54" s="2" t="str">
        <f>CONCATENATE(FZ_Reference_Master!B3,"|003|",FZ_Reference_Master!B6,"|",FZ_Reference_Master!B5,"|",FZ_Reference_Master!B4)</f>
        <v>7756|003|INR|Actual|Standalone</v>
      </c>
    </row>
    <row r="55" spans="2:7">
      <c r="B55" s="20" t="s">
        <v>70</v>
      </c>
      <c r="C55" s="1043" t="str">
        <f>C52</f>
        <v>7755|001|INR|Actual|Consolidated</v>
      </c>
    </row>
    <row r="56" spans="2:7">
      <c r="B56" s="20" t="s">
        <v>71</v>
      </c>
      <c r="C56" s="1043" t="str">
        <f>C54</f>
        <v>7755|003|INR|Actual|Consolidated</v>
      </c>
    </row>
    <row r="57" spans="2:7">
      <c r="B57" s="385" t="s">
        <v>72</v>
      </c>
      <c r="C57" s="1264"/>
    </row>
    <row r="58" spans="2:7">
      <c r="B58" s="385" t="s">
        <v>73</v>
      </c>
      <c r="C58" s="1264"/>
    </row>
    <row r="59" spans="2:7">
      <c r="B59" s="385" t="s">
        <v>74</v>
      </c>
      <c r="C59" s="1264"/>
    </row>
    <row r="60" spans="2:7">
      <c r="B60" s="385" t="s">
        <v>75</v>
      </c>
      <c r="C60" s="1264"/>
    </row>
    <row r="61" spans="2:7">
      <c r="B61" s="385" t="s">
        <v>76</v>
      </c>
      <c r="C61" s="1043" t="str">
        <f>IF(C52="001|Actual",1,IF(C52="001|Casting",100000,"Error"))</f>
        <v>Error</v>
      </c>
    </row>
    <row r="62" spans="2:7">
      <c r="B62" s="385" t="s">
        <v>77</v>
      </c>
      <c r="C62" s="1264">
        <v>0</v>
      </c>
    </row>
    <row r="63" spans="2:7">
      <c r="B63" s="385" t="s">
        <v>78</v>
      </c>
      <c r="C63" s="1264" t="s">
        <v>62</v>
      </c>
    </row>
    <row r="64" spans="2:7">
      <c r="B64" s="385" t="s">
        <v>79</v>
      </c>
      <c r="C64" s="1264" t="s">
        <v>80</v>
      </c>
    </row>
    <row r="65" spans="2:4">
      <c r="B65" s="20" t="s">
        <v>81</v>
      </c>
      <c r="C65" s="1043" t="str">
        <f>IF(MID(C52,5,6)="Actual","(Amount in "&amp;FZ_Reference_Master!B6&amp;")","(Amount in "&amp;FZ_Reference_Master!B6&amp;")")</f>
        <v>(Amount in INR)</v>
      </c>
    </row>
    <row r="66" spans="2:4">
      <c r="B66" s="15" t="s">
        <v>82</v>
      </c>
      <c r="C66" s="1044" t="str">
        <f>IF(MONTH(DATEVALUE(SUBSTITUTE(SUBSTITUTE(FZ_Reference_Master!D15,"st",""),"th","")))=3,"Q4",IF(MONTH(DATEVALUE(SUBSTITUTE(SUBSTITUTE(FZ_Reference_Master!D15,"st",""),"th","")))=6,"Q1",IF(MONTH(DATEVALUE(SUBSTITUTE(SUBSTITUTE(FZ_Reference_Master!D15,"st",""),"th","")))=9,"Q2",IF(MONTH(DATEVALUE(SUBSTITUTE(SUBSTITUTE(FZ_Reference_Master!D15,"st",""),"th","")))=12,"Q3","NA"))))</f>
        <v>Q4</v>
      </c>
    </row>
    <row r="70" spans="2:4">
      <c r="C70" s="687"/>
      <c r="D70" s="687"/>
    </row>
  </sheetData>
  <sheetProtection algorithmName="SHA-512" hashValue="YAb93/r7L4xK/ZsoEec00tYHcfbW8VVB2DRCSp2ZH/oamM2PhcQak06qMwmd74/LUF6B58uHWsqCwihlbN8oDA==" saltValue="5V8mi7XygIMZRRM3jtobfQ==" spinCount="100000" sheet="1" objects="1" scenarios="1"/>
  <protectedRanges>
    <protectedRange sqref="C61" name="Range1"/>
  </protectedRanges>
  <dataValidations disablePrompts="1" count="2">
    <dataValidation type="list" allowBlank="1" showInputMessage="1" showErrorMessage="1" sqref="C51" xr:uid="{E547929B-C9B4-41BA-9A51-53715B24EF29}">
      <formula1>"Amount in Rupees,Amount in lakh,Amount in millions, Amount in '000"</formula1>
    </dataValidation>
    <dataValidation type="list" allowBlank="1" showInputMessage="1" showErrorMessage="1" sqref="C52" xr:uid="{8EFEE726-064D-4871-9125-602E26B432BC}">
      <formula1>$C$48:$C$49</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578AA-0DF9-4794-ABF5-89C4A913163F}">
  <sheetPr codeName="Sheet3"/>
  <dimension ref="B5:H28"/>
  <sheetViews>
    <sheetView showGridLines="0" view="pageBreakPreview" topLeftCell="A4" zoomScaleNormal="100" zoomScaleSheetLayoutView="100" workbookViewId="0">
      <selection activeCell="F7" sqref="F7"/>
    </sheetView>
  </sheetViews>
  <sheetFormatPr defaultColWidth="8.85546875" defaultRowHeight="13.15"/>
  <cols>
    <col min="1" max="1" style="2" width="8.85546875"/>
    <col min="2" max="2" customWidth="true" style="2" width="12.28515625"/>
    <col min="3" max="3" bestFit="true" customWidth="true" style="2" width="40.7109375"/>
    <col min="4" max="4" bestFit="true" customWidth="true" style="2" width="11.5703125"/>
    <col min="5" max="5" bestFit="true" customWidth="true" style="2" width="8.42578125"/>
    <col min="6" max="6" bestFit="true" customWidth="true" style="2" width="45.28515625"/>
    <col min="7" max="7" bestFit="true" customWidth="true" style="2" width="49.5703125"/>
    <col min="8" max="16384" style="2" width="8.85546875"/>
  </cols>
  <sheetData>
    <row r="5" spans="2:8" ht="15" customHeight="1">
      <c r="B5" s="688" t="s">
        <v>83</v>
      </c>
      <c r="C5" s="689" t="s">
        <v>18</v>
      </c>
      <c r="D5" s="689" t="s">
        <v>84</v>
      </c>
      <c r="E5" s="689" t="s">
        <v>85</v>
      </c>
      <c r="F5" s="689" t="s">
        <v>86</v>
      </c>
      <c r="G5" s="690" t="s">
        <v>87</v>
      </c>
      <c r="H5" s="691" t="s">
        <v>88</v>
      </c>
    </row>
    <row r="6" spans="2:8" ht="15" customHeight="1">
      <c r="B6" s="692">
        <v>7678</v>
      </c>
      <c r="C6" s="693" t="s">
        <v>89</v>
      </c>
      <c r="D6" s="694" t="s">
        <v>90</v>
      </c>
      <c r="E6" s="694" t="s">
        <v>91</v>
      </c>
      <c r="F6" s="694" t="s">
        <v>92</v>
      </c>
      <c r="G6" s="695" t="s">
        <v>93</v>
      </c>
      <c r="H6" s="2">
        <v>20</v>
      </c>
    </row>
    <row r="7" spans="2:8" ht="15" customHeight="1">
      <c r="B7" s="696">
        <v>7681</v>
      </c>
      <c r="C7" s="693" t="s">
        <v>89</v>
      </c>
      <c r="D7" s="697" t="s">
        <v>94</v>
      </c>
      <c r="E7" s="704" t="s">
        <v>95</v>
      </c>
      <c r="F7" s="704" t="s">
        <v>96</v>
      </c>
      <c r="G7" s="1014" t="s">
        <v>97</v>
      </c>
      <c r="H7" s="2">
        <v>30</v>
      </c>
    </row>
    <row r="8" spans="2:8" ht="15" customHeight="1">
      <c r="B8" s="696" t="s">
        <v>98</v>
      </c>
      <c r="C8" s="693" t="s">
        <v>89</v>
      </c>
      <c r="D8" s="697" t="s">
        <v>99</v>
      </c>
      <c r="E8" s="697" t="s">
        <v>100</v>
      </c>
      <c r="F8" s="697" t="s">
        <v>101</v>
      </c>
      <c r="G8" s="698" t="s">
        <v>102</v>
      </c>
      <c r="H8" s="2">
        <v>20</v>
      </c>
    </row>
    <row r="9" spans="2:8" ht="15" customHeight="1">
      <c r="B9" s="696" t="s">
        <v>103</v>
      </c>
      <c r="C9" s="693" t="s">
        <v>89</v>
      </c>
      <c r="D9" s="697" t="s">
        <v>104</v>
      </c>
      <c r="E9" s="697" t="s">
        <v>105</v>
      </c>
      <c r="F9" s="697" t="s">
        <v>106</v>
      </c>
      <c r="G9" s="698" t="s">
        <v>107</v>
      </c>
      <c r="H9" s="2">
        <v>15</v>
      </c>
    </row>
    <row r="10" spans="2:8" ht="15" customHeight="1">
      <c r="B10" s="696" t="s">
        <v>108</v>
      </c>
      <c r="C10" s="693" t="s">
        <v>89</v>
      </c>
      <c r="D10" s="697" t="s">
        <v>109</v>
      </c>
      <c r="E10" s="697" t="s">
        <v>110</v>
      </c>
      <c r="F10" s="697" t="s">
        <v>111</v>
      </c>
      <c r="G10" s="698" t="s">
        <v>112</v>
      </c>
      <c r="H10" s="2">
        <v>32</v>
      </c>
    </row>
    <row r="11" spans="2:8" ht="15" customHeight="1">
      <c r="B11" s="696" t="s">
        <v>113</v>
      </c>
      <c r="C11" s="693" t="s">
        <v>89</v>
      </c>
      <c r="D11" s="697" t="s">
        <v>114</v>
      </c>
      <c r="E11" s="697" t="s">
        <v>115</v>
      </c>
      <c r="F11" s="697" t="s">
        <v>116</v>
      </c>
      <c r="G11" s="698" t="s">
        <v>117</v>
      </c>
      <c r="H11" s="2">
        <v>30</v>
      </c>
    </row>
    <row r="12" spans="2:8" ht="15" customHeight="1">
      <c r="B12" s="696" t="s">
        <v>118</v>
      </c>
      <c r="C12" s="693" t="s">
        <v>89</v>
      </c>
      <c r="D12" s="697" t="s">
        <v>119</v>
      </c>
      <c r="E12" s="697" t="s">
        <v>120</v>
      </c>
      <c r="F12" s="697" t="s">
        <v>121</v>
      </c>
      <c r="G12" s="698" t="s">
        <v>122</v>
      </c>
      <c r="H12" s="2">
        <v>30</v>
      </c>
    </row>
    <row r="13" spans="2:8" ht="15" customHeight="1">
      <c r="B13" s="696" t="s">
        <v>123</v>
      </c>
      <c r="C13" s="693" t="s">
        <v>89</v>
      </c>
      <c r="D13" s="697" t="s">
        <v>124</v>
      </c>
      <c r="E13" s="697" t="s">
        <v>125</v>
      </c>
      <c r="F13" s="697" t="s">
        <v>126</v>
      </c>
      <c r="G13" s="698" t="s">
        <v>127</v>
      </c>
      <c r="H13" s="2">
        <v>30</v>
      </c>
    </row>
    <row r="14" spans="2:8" ht="15" customHeight="1">
      <c r="B14" s="699" t="s">
        <v>128</v>
      </c>
      <c r="C14" s="693" t="s">
        <v>89</v>
      </c>
      <c r="D14" s="700" t="s">
        <v>129</v>
      </c>
      <c r="E14" s="700" t="s">
        <v>130</v>
      </c>
      <c r="F14" s="700" t="s">
        <v>131</v>
      </c>
      <c r="G14" s="701" t="s">
        <v>132</v>
      </c>
      <c r="H14" s="2">
        <v>30</v>
      </c>
    </row>
    <row r="18" spans="2:2">
      <c r="B18" s="25" t="s">
        <v>133</v>
      </c>
    </row>
    <row r="19" spans="2:2">
      <c r="B19" s="2" t="str">
        <f>VLOOKUP(FZ_Reference_Master!$B$3,'Share Capital- Master Sheet'!$B$6:$H$14,5)</f>
        <v>79,26,103 ordinary shares of INR 10 each</v>
      </c>
    </row>
    <row r="21" spans="2:2">
      <c r="B21" s="25" t="s">
        <v>134</v>
      </c>
    </row>
    <row r="22" spans="2:2">
      <c r="B22" s="2" t="str">
        <f>VLOOKUP(FZ_Reference_Master!$B$3,'Share Capital- Master Sheet'!$B$6:$H$14,6)</f>
        <v>79,26,103- fully paid ordinary shares of INR 10 each</v>
      </c>
    </row>
    <row r="23" spans="2:2">
      <c r="B23" s="2" t="str">
        <f>VLOOKUP(FZ_Reference_Master!$B$3,'Share Capital- Master Sheet'!$B$6:$H$14,6)</f>
        <v>79,26,103- fully paid ordinary shares of INR 10 each</v>
      </c>
    </row>
    <row r="24" spans="2:2">
      <c r="B24" s="25" t="s">
        <v>135</v>
      </c>
    </row>
    <row r="25" spans="2:2">
      <c r="B25" s="2" t="str">
        <f>B22</f>
        <v>79,26,103- fully paid ordinary shares of INR 10 each</v>
      </c>
    </row>
    <row r="27" spans="2:2">
      <c r="B27" s="25" t="s">
        <v>88</v>
      </c>
    </row>
    <row r="28" spans="2:2">
      <c r="B28" s="2">
        <f>VLOOKUP(FZ_Reference_Master!$B$3,'Share Capital- Master Sheet'!$B$6:$H$14,7)</f>
        <v>30</v>
      </c>
    </row>
  </sheetData>
  <sheetProtection algorithmName="SHA-512" hashValue="VCzFYWlivCmWjbFqvAmV2rQHMCdqPpYT6rH2rigUduhBolaQoBF461UXnLQ4C5g0QTn/vtwUCgOUu66JxRdkmw==" saltValue="fwPxytX6P84TFpJ9PqiApg==" spinCount="100000" sheet="1" objects="1" scenarios="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77D26-617C-4BA3-9E33-C66014CF49AB}">
  <sheetPr codeName="Sheet6"/>
  <dimension ref="B3:M36"/>
  <sheetViews>
    <sheetView showGridLines="0" view="pageBreakPreview" zoomScaleNormal="100" zoomScaleSheetLayoutView="100" workbookViewId="0">
      <selection activeCell="C19" sqref="C19"/>
    </sheetView>
  </sheetViews>
  <sheetFormatPr defaultColWidth="8.85546875" defaultRowHeight="13.15"/>
  <cols>
    <col min="1" max="1" style="2" width="8.85546875"/>
    <col min="2" max="2" bestFit="true" customWidth="true" style="2" width="13.7109375"/>
    <col min="3" max="3" bestFit="true" customWidth="true" style="2" width="40.7109375"/>
    <col min="4" max="4" bestFit="true" customWidth="true" style="2" width="11.5703125"/>
    <col min="5" max="5" customWidth="true" style="2" width="40.28515625"/>
    <col min="6" max="6" bestFit="true" customWidth="true" style="2" width="25.28515625"/>
    <col min="7" max="7" customWidth="true" style="2" width="25.28515625"/>
    <col min="8" max="8" customWidth="true" style="2" width="30.0"/>
    <col min="9" max="9" customWidth="true" style="2" width="22.28515625"/>
    <col min="10" max="10" bestFit="true" customWidth="true" style="2" width="23.28515625"/>
    <col min="11" max="11" customWidth="true" style="2" width="13.0"/>
    <col min="12" max="12" customWidth="true" style="2" width="11.5703125"/>
    <col min="13" max="13" bestFit="true" customWidth="true" style="2" width="7.42578125"/>
    <col min="14" max="14" bestFit="true" customWidth="true" style="2" width="10.7109375"/>
    <col min="15" max="15" bestFit="true" customWidth="true" style="2" width="4.0"/>
    <col min="16" max="16384" style="2" width="8.85546875"/>
  </cols>
  <sheetData>
    <row r="3" spans="2:10">
      <c r="B3" s="25" t="s">
        <v>136</v>
      </c>
    </row>
    <row r="5" spans="2:10" ht="15" customHeight="1">
      <c r="B5" s="688" t="s">
        <v>83</v>
      </c>
      <c r="C5" s="689" t="s">
        <v>18</v>
      </c>
      <c r="D5" s="689" t="s">
        <v>84</v>
      </c>
      <c r="E5" s="689" t="s">
        <v>137</v>
      </c>
      <c r="F5" s="689" t="s">
        <v>138</v>
      </c>
      <c r="G5" s="702" t="s">
        <v>139</v>
      </c>
      <c r="H5" s="689" t="s">
        <v>140</v>
      </c>
      <c r="I5" s="702" t="s">
        <v>141</v>
      </c>
      <c r="J5" s="689" t="s">
        <v>142</v>
      </c>
    </row>
    <row r="6" spans="2:10" ht="15" customHeight="1">
      <c r="B6" s="696">
        <v>7678</v>
      </c>
      <c r="C6" s="693" t="s">
        <v>89</v>
      </c>
      <c r="D6" s="694" t="s">
        <v>90</v>
      </c>
      <c r="E6" s="693"/>
      <c r="F6" s="694" t="s">
        <v>143</v>
      </c>
      <c r="G6" s="693"/>
      <c r="H6" s="693"/>
      <c r="I6" s="693"/>
      <c r="J6" s="694"/>
    </row>
    <row r="7" spans="2:10" ht="15" customHeight="1">
      <c r="B7" s="703" t="s">
        <v>144</v>
      </c>
      <c r="C7" s="693" t="s">
        <v>89</v>
      </c>
      <c r="D7" s="697" t="s">
        <v>94</v>
      </c>
      <c r="E7" s="697"/>
      <c r="F7" s="697" t="s">
        <v>145</v>
      </c>
      <c r="G7" s="697"/>
      <c r="H7" s="697"/>
      <c r="I7" s="697"/>
      <c r="J7" s="697"/>
    </row>
    <row r="8" spans="2:10" ht="15" customHeight="1">
      <c r="B8" s="696" t="s">
        <v>98</v>
      </c>
      <c r="C8" s="693" t="s">
        <v>89</v>
      </c>
      <c r="D8" s="697" t="s">
        <v>99</v>
      </c>
      <c r="E8" s="697"/>
      <c r="F8" s="697" t="s">
        <v>143</v>
      </c>
      <c r="G8" s="697"/>
      <c r="H8" s="697"/>
      <c r="I8" s="697"/>
      <c r="J8" s="697"/>
    </row>
    <row r="9" spans="2:10" ht="15" customHeight="1">
      <c r="B9" s="696" t="s">
        <v>103</v>
      </c>
      <c r="C9" s="693" t="s">
        <v>89</v>
      </c>
      <c r="D9" s="697" t="s">
        <v>104</v>
      </c>
      <c r="E9" s="697"/>
      <c r="F9" s="697" t="s">
        <v>146</v>
      </c>
      <c r="G9" s="697"/>
      <c r="H9" s="697"/>
      <c r="I9" s="697"/>
      <c r="J9" s="697"/>
    </row>
    <row r="10" spans="2:10" ht="15" customHeight="1">
      <c r="B10" s="703" t="s">
        <v>108</v>
      </c>
      <c r="C10" s="693" t="s">
        <v>89</v>
      </c>
      <c r="D10" s="697" t="s">
        <v>109</v>
      </c>
      <c r="E10" s="704"/>
      <c r="F10" s="697"/>
      <c r="G10" s="704"/>
      <c r="H10" s="704"/>
      <c r="I10" s="704"/>
      <c r="J10" s="697"/>
    </row>
    <row r="11" spans="2:10" ht="15" customHeight="1">
      <c r="B11" s="696" t="s">
        <v>113</v>
      </c>
      <c r="C11" s="693" t="s">
        <v>89</v>
      </c>
      <c r="D11" s="697" t="s">
        <v>114</v>
      </c>
      <c r="E11" s="697"/>
      <c r="F11" s="697" t="s">
        <v>145</v>
      </c>
      <c r="G11" s="697"/>
      <c r="H11" s="704"/>
      <c r="I11" s="704"/>
      <c r="J11" s="697"/>
    </row>
    <row r="12" spans="2:10" ht="15" customHeight="1">
      <c r="B12" s="696" t="s">
        <v>118</v>
      </c>
      <c r="C12" s="693" t="s">
        <v>89</v>
      </c>
      <c r="D12" s="697" t="s">
        <v>119</v>
      </c>
      <c r="E12" s="697"/>
      <c r="F12" s="697" t="s">
        <v>145</v>
      </c>
      <c r="G12" s="697"/>
      <c r="H12" s="704"/>
      <c r="I12" s="704"/>
      <c r="J12" s="697"/>
    </row>
    <row r="13" spans="2:10" ht="15" customHeight="1">
      <c r="B13" s="696" t="s">
        <v>123</v>
      </c>
      <c r="C13" s="693" t="s">
        <v>89</v>
      </c>
      <c r="D13" s="697" t="s">
        <v>124</v>
      </c>
      <c r="E13" s="697"/>
      <c r="F13" s="697" t="s">
        <v>145</v>
      </c>
      <c r="G13" s="697"/>
      <c r="H13" s="704"/>
      <c r="I13" s="704"/>
      <c r="J13" s="697"/>
    </row>
    <row r="14" spans="2:10" ht="15" customHeight="1">
      <c r="B14" s="699" t="s">
        <v>128</v>
      </c>
      <c r="C14" s="693" t="s">
        <v>89</v>
      </c>
      <c r="D14" s="700" t="s">
        <v>129</v>
      </c>
      <c r="E14" s="700"/>
      <c r="F14" s="700" t="s">
        <v>143</v>
      </c>
      <c r="G14" s="700"/>
      <c r="H14" s="705"/>
      <c r="I14" s="705"/>
      <c r="J14" s="700"/>
    </row>
    <row r="16" spans="2:10">
      <c r="E16" s="25" t="s">
        <v>137</v>
      </c>
      <c r="F16" s="25" t="s">
        <v>138</v>
      </c>
      <c r="G16" s="25" t="s">
        <v>147</v>
      </c>
      <c r="H16" s="25" t="s">
        <v>140</v>
      </c>
      <c r="I16" s="25" t="s">
        <v>148</v>
      </c>
      <c r="J16" s="25" t="s">
        <v>142</v>
      </c>
    </row>
    <row r="17" spans="2:13">
      <c r="E17" s="1045">
        <f>IFERROR(VLOOKUP(FZ_Reference_Master!$B$3,$B$6:$J$14,4),"")</f>
        <v>0</v>
      </c>
      <c r="F17" s="1045" t="str">
        <f>IFERROR(VLOOKUP(FZ_Reference_Master!$B$3,$B$6:$J$14,5),"")</f>
        <v>Chartered Accountants</v>
      </c>
      <c r="G17" s="1045">
        <f>IFERROR(VLOOKUP(FZ_Reference_Master!$B$3,$B$6:$J$14,6),"")</f>
        <v>0</v>
      </c>
      <c r="H17" s="1045">
        <f>IFERROR(VLOOKUP(FZ_Reference_Master!$B$3,$B$6:$J$14,7),"")</f>
        <v>0</v>
      </c>
      <c r="I17" s="1045">
        <f>IFERROR(VLOOKUP(FZ_Reference_Master!$B$3,$B$6:$J$14,8),"")</f>
        <v>0</v>
      </c>
      <c r="J17" s="1045">
        <f>IFERROR(VLOOKUP(FZ_Reference_Master!$B$3,$B$6:$J$14,9),"")</f>
        <v>0</v>
      </c>
    </row>
    <row r="18" spans="2:13">
      <c r="B18" s="25"/>
      <c r="I18" s="25"/>
    </row>
    <row r="19" spans="2:13">
      <c r="B19" s="25" t="s">
        <v>149</v>
      </c>
      <c r="I19" s="25"/>
    </row>
    <row r="20" spans="2:13">
      <c r="B20" s="1046">
        <f>COLUMN(B20)-1</f>
        <v>1</v>
      </c>
      <c r="C20" s="1046">
        <f t="shared" ref="C20:M20" si="0">COLUMN(C20)-1</f>
        <v>2</v>
      </c>
      <c r="D20" s="1046">
        <f t="shared" si="0"/>
        <v>3</v>
      </c>
      <c r="E20" s="1046">
        <f t="shared" si="0"/>
        <v>4</v>
      </c>
      <c r="F20" s="1046">
        <f t="shared" si="0"/>
        <v>5</v>
      </c>
      <c r="G20" s="1046">
        <f t="shared" si="0"/>
        <v>6</v>
      </c>
      <c r="H20" s="1046">
        <f t="shared" si="0"/>
        <v>7</v>
      </c>
      <c r="I20" s="1046">
        <f t="shared" si="0"/>
        <v>8</v>
      </c>
      <c r="J20" s="1046">
        <f t="shared" si="0"/>
        <v>9</v>
      </c>
      <c r="K20" s="1046">
        <f t="shared" si="0"/>
        <v>10</v>
      </c>
      <c r="L20" s="1046">
        <f t="shared" si="0"/>
        <v>11</v>
      </c>
      <c r="M20" s="1046">
        <f t="shared" si="0"/>
        <v>12</v>
      </c>
    </row>
    <row r="21" spans="2:13">
      <c r="B21" s="706" t="s">
        <v>83</v>
      </c>
      <c r="C21" s="707" t="s">
        <v>150</v>
      </c>
      <c r="D21" s="707" t="s">
        <v>151</v>
      </c>
      <c r="E21" s="707" t="s">
        <v>152</v>
      </c>
      <c r="F21" s="708" t="s">
        <v>153</v>
      </c>
      <c r="G21" s="707" t="s">
        <v>151</v>
      </c>
      <c r="H21" s="707" t="s">
        <v>152</v>
      </c>
      <c r="I21" s="708" t="s">
        <v>154</v>
      </c>
      <c r="J21" s="708" t="s">
        <v>151</v>
      </c>
      <c r="K21" s="708" t="s">
        <v>155</v>
      </c>
      <c r="L21" s="708" t="s">
        <v>151</v>
      </c>
      <c r="M21" s="709" t="s">
        <v>156</v>
      </c>
    </row>
    <row r="22" spans="2:13">
      <c r="B22" s="1047">
        <f>B6</f>
        <v>7678</v>
      </c>
      <c r="C22" s="704"/>
      <c r="D22" s="704"/>
      <c r="E22" s="697"/>
      <c r="F22" s="697"/>
      <c r="G22" s="697"/>
      <c r="H22" s="697"/>
      <c r="I22" s="697"/>
      <c r="J22" s="697"/>
      <c r="K22" s="697"/>
      <c r="L22" s="697"/>
      <c r="M22" s="698" t="s">
        <v>157</v>
      </c>
    </row>
    <row r="23" spans="2:13">
      <c r="B23" s="1047" t="str">
        <f t="shared" ref="B23:B30" si="1">B7</f>
        <v>C002</v>
      </c>
      <c r="C23" s="697"/>
      <c r="D23" s="697"/>
      <c r="E23" s="697"/>
      <c r="F23" s="697"/>
      <c r="G23" s="697"/>
      <c r="H23" s="697"/>
      <c r="I23" s="697"/>
      <c r="J23" s="697"/>
      <c r="K23" s="697"/>
      <c r="L23" s="697"/>
      <c r="M23" s="698" t="s">
        <v>157</v>
      </c>
    </row>
    <row r="24" spans="2:13">
      <c r="B24" s="1047" t="str">
        <f t="shared" si="1"/>
        <v>C003</v>
      </c>
      <c r="C24" s="697"/>
      <c r="D24" s="697"/>
      <c r="E24" s="697"/>
      <c r="F24" s="697"/>
      <c r="G24" s="697"/>
      <c r="H24" s="697"/>
      <c r="I24" s="697"/>
      <c r="J24" s="697"/>
      <c r="K24" s="697"/>
      <c r="L24" s="697"/>
      <c r="M24" s="698" t="s">
        <v>157</v>
      </c>
    </row>
    <row r="25" spans="2:13">
      <c r="B25" s="1047" t="str">
        <f t="shared" si="1"/>
        <v>B001</v>
      </c>
      <c r="C25" s="697"/>
      <c r="D25" s="697"/>
      <c r="E25" s="697"/>
      <c r="F25" s="697"/>
      <c r="G25" s="697"/>
      <c r="H25" s="697"/>
      <c r="I25" s="697"/>
      <c r="J25" s="697"/>
      <c r="K25" s="697"/>
      <c r="L25" s="697"/>
      <c r="M25" s="698"/>
    </row>
    <row r="26" spans="2:13">
      <c r="B26" s="1047" t="str">
        <f t="shared" si="1"/>
        <v>C004</v>
      </c>
      <c r="C26" s="697"/>
      <c r="D26" s="697"/>
      <c r="E26" s="697"/>
      <c r="F26" s="697"/>
      <c r="G26" s="697"/>
      <c r="H26" s="697"/>
      <c r="I26" s="697"/>
      <c r="J26" s="697"/>
      <c r="K26" s="697"/>
      <c r="L26" s="697"/>
      <c r="M26" s="698" t="s">
        <v>157</v>
      </c>
    </row>
    <row r="27" spans="2:13">
      <c r="B27" s="1047" t="str">
        <f t="shared" si="1"/>
        <v>C005</v>
      </c>
      <c r="C27" s="697"/>
      <c r="D27" s="697"/>
      <c r="E27" s="697"/>
      <c r="F27" s="697"/>
      <c r="G27" s="697"/>
      <c r="H27" s="697"/>
      <c r="I27" s="697"/>
      <c r="J27" s="697"/>
      <c r="K27" s="697"/>
      <c r="L27" s="697"/>
      <c r="M27" s="698" t="s">
        <v>157</v>
      </c>
    </row>
    <row r="28" spans="2:13">
      <c r="B28" s="1047" t="str">
        <f t="shared" si="1"/>
        <v>C006</v>
      </c>
      <c r="C28" s="697"/>
      <c r="D28" s="697"/>
      <c r="E28" s="697"/>
      <c r="F28" s="697"/>
      <c r="G28" s="697"/>
      <c r="H28" s="697"/>
      <c r="I28" s="697"/>
      <c r="J28" s="697"/>
      <c r="K28" s="697"/>
      <c r="L28" s="697"/>
      <c r="M28" s="698" t="s">
        <v>157</v>
      </c>
    </row>
    <row r="29" spans="2:13">
      <c r="B29" s="1047" t="str">
        <f t="shared" si="1"/>
        <v>C007</v>
      </c>
      <c r="C29" s="697"/>
      <c r="D29" s="697"/>
      <c r="E29" s="697"/>
      <c r="F29" s="697"/>
      <c r="G29" s="697"/>
      <c r="H29" s="697"/>
      <c r="I29" s="697"/>
      <c r="J29" s="697"/>
      <c r="K29" s="697"/>
      <c r="L29" s="697"/>
      <c r="M29" s="698" t="s">
        <v>157</v>
      </c>
    </row>
    <row r="30" spans="2:13">
      <c r="B30" s="1048" t="str">
        <f t="shared" si="1"/>
        <v>C008</v>
      </c>
      <c r="C30" s="700"/>
      <c r="D30" s="700"/>
      <c r="E30" s="700"/>
      <c r="F30" s="700"/>
      <c r="G30" s="700"/>
      <c r="H30" s="700"/>
      <c r="I30" s="700"/>
      <c r="J30" s="700"/>
      <c r="K30" s="700"/>
      <c r="L30" s="700"/>
      <c r="M30" s="701" t="s">
        <v>157</v>
      </c>
    </row>
    <row r="32" spans="2:13">
      <c r="C32" s="23" t="s">
        <v>150</v>
      </c>
      <c r="D32" s="23" t="s">
        <v>151</v>
      </c>
      <c r="E32" s="23" t="s">
        <v>152</v>
      </c>
      <c r="F32" s="23" t="s">
        <v>153</v>
      </c>
      <c r="G32" s="23" t="s">
        <v>151</v>
      </c>
      <c r="H32" s="23" t="s">
        <v>152</v>
      </c>
      <c r="I32" s="23" t="s">
        <v>154</v>
      </c>
      <c r="J32" s="23" t="s">
        <v>151</v>
      </c>
      <c r="K32" s="23" t="s">
        <v>155</v>
      </c>
      <c r="L32" s="23" t="s">
        <v>151</v>
      </c>
      <c r="M32" s="23" t="s">
        <v>156</v>
      </c>
    </row>
    <row r="33" spans="2:13">
      <c r="C33" s="1045" t="str">
        <f>IF(VLOOKUP(FZ_Reference_Master!$B$3,$B$22:$M$30,C20)=0,"",VLOOKUP(FZ_Reference_Master!$B$3,$B$22:$M$30,C20))</f>
        <v/>
      </c>
      <c r="D33" s="1045" t="str">
        <f>IF(VLOOKUP(FZ_Reference_Master!$B$3,$B$22:$M$30,D20)=0,"",VLOOKUP(FZ_Reference_Master!$B$3,$B$22:$M$30,D20))</f>
        <v/>
      </c>
      <c r="E33" s="1045" t="str">
        <f>IF(VLOOKUP(FZ_Reference_Master!$B$3,$B$22:$M$30,E20)=0,"",VLOOKUP(FZ_Reference_Master!$B$3,$B$22:$M$30,E20))</f>
        <v/>
      </c>
      <c r="F33" s="1045" t="str">
        <f>IF(VLOOKUP(FZ_Reference_Master!$B$3,$B$22:$M$30,F20)=0,"",VLOOKUP(FZ_Reference_Master!$B$3,$B$22:$M$30,F20))</f>
        <v/>
      </c>
      <c r="G33" s="1045" t="str">
        <f>IF(VLOOKUP(FZ_Reference_Master!$B$3,$B$22:$M$30,G20)=0,"",VLOOKUP(FZ_Reference_Master!$B$3,$B$22:$M$30,G20))</f>
        <v/>
      </c>
      <c r="H33" s="1045" t="str">
        <f>IF(VLOOKUP(FZ_Reference_Master!$B$3,$B$22:$M$30,H20)=0,"",VLOOKUP(FZ_Reference_Master!$B$3,$B$22:$M$30,H20))</f>
        <v/>
      </c>
      <c r="I33" s="1045" t="str">
        <f>IF(VLOOKUP(FZ_Reference_Master!$B$3,$B$22:$M$30,I20)=0,"",VLOOKUP(FZ_Reference_Master!$B$3,$B$22:$M$30,I20))</f>
        <v/>
      </c>
      <c r="J33" s="1045" t="str">
        <f>IF(VLOOKUP(FZ_Reference_Master!$B$3,$B$22:$M$30,J20)=0,"",VLOOKUP(FZ_Reference_Master!$B$3,$B$22:$M$30,J20))</f>
        <v/>
      </c>
      <c r="K33" s="1045" t="str">
        <f>IF(VLOOKUP(FZ_Reference_Master!$B$3,$B$22:$M$30,K20)=0,"",VLOOKUP(FZ_Reference_Master!$B$3,$B$22:$M$30,K20))</f>
        <v/>
      </c>
      <c r="L33" s="1045" t="str">
        <f>IF(VLOOKUP(FZ_Reference_Master!$B$3,$B$22:$M$30,L20)=0,"",VLOOKUP(FZ_Reference_Master!$B$3,$B$22:$M$30,L20))</f>
        <v/>
      </c>
      <c r="M33" s="1045" t="str">
        <f>IF(VLOOKUP(FZ_Reference_Master!$B$3,$B$22:$M$30,M20)=0,"",VLOOKUP(FZ_Reference_Master!$B$3,$B$22:$M$30,M20))</f>
        <v>NA</v>
      </c>
    </row>
    <row r="34" spans="2:13">
      <c r="B34" s="25"/>
    </row>
    <row r="35" spans="2:13">
      <c r="B35" s="25"/>
    </row>
    <row r="36" spans="2:13">
      <c r="B36" s="15"/>
    </row>
  </sheetData>
  <sheetProtection algorithmName="SHA-512" hashValue="dAh2ISsP27WIjkKcgI1xRV2masEEroVPcIy0zsujA8PmYlFiEvm7o64kFDG2ew57So36b72nvDMTQXJz+DqZzQ==" saltValue="mVo65+tfiNqAlj79jtaecw==" spinCount="100000"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0AEB-B121-40A8-B09B-0D6F67984724}">
  <sheetPr codeName="Sheet4"/>
  <dimension ref="A2:Y196"/>
  <sheetViews>
    <sheetView showGridLines="0" view="pageBreakPreview" zoomScaleNormal="100" zoomScaleSheetLayoutView="100" workbookViewId="0">
      <pane xSplit="3" ySplit="4" topLeftCell="D125" activePane="bottomRight" state="frozen"/>
      <selection pane="bottomRight" activeCell="F130" sqref="F130"/>
      <selection pane="bottomLeft" activeCell="C19" sqref="C19"/>
      <selection pane="topRight" activeCell="C19" sqref="C19"/>
    </sheetView>
  </sheetViews>
  <sheetFormatPr defaultColWidth="8.85546875" defaultRowHeight="13.15"/>
  <cols>
    <col min="1" max="1" style="711" width="8.7109375"/>
    <col min="2" max="2" style="2" width="8.85546875"/>
    <col min="3" max="3" customWidth="true" style="18" width="57.5703125"/>
    <col min="4" max="4" bestFit="true" customWidth="true" style="2" width="24.42578125"/>
    <col min="5" max="5" customWidth="true" style="2" width="24.42578125"/>
    <col min="6" max="6" customWidth="true" style="2" width="8.42578125"/>
    <col min="7" max="7" bestFit="true" customWidth="true" style="2" width="14.42578125"/>
    <col min="8" max="8" customWidth="true" style="2" width="14.42578125"/>
    <col min="9" max="9" bestFit="true" customWidth="true" style="2" width="11.7109375"/>
    <col min="10" max="10" customWidth="true" style="2" width="11.7109375"/>
    <col min="11" max="17" style="2" width="8.85546875"/>
    <col min="18" max="18" bestFit="true" customWidth="true" style="2" width="11.5703125"/>
    <col min="19" max="16384" style="2" width="8.85546875"/>
  </cols>
  <sheetData>
    <row r="2" spans="1:25" ht="14.45">
      <c r="A2" s="975" t="s">
        <v>158</v>
      </c>
      <c r="D2" s="15"/>
      <c r="E2" s="15"/>
    </row>
    <row r="3" spans="1:25" ht="14.45">
      <c r="A3" s="1284" t="s">
        <v>159</v>
      </c>
      <c r="B3" s="1284" t="s">
        <v>160</v>
      </c>
      <c r="C3" s="1286" t="s">
        <v>161</v>
      </c>
      <c r="D3" s="1238"/>
      <c r="E3" s="1238"/>
      <c r="F3" s="1238"/>
      <c r="G3" s="1238"/>
      <c r="H3" s="1238"/>
      <c r="I3" s="1288" t="s">
        <v>162</v>
      </c>
      <c r="J3" s="1288"/>
      <c r="K3" s="1288"/>
      <c r="L3" s="1288"/>
      <c r="M3" s="1288"/>
      <c r="N3" s="1288"/>
      <c r="O3" s="1288"/>
      <c r="P3" s="1288"/>
      <c r="Q3" s="1288"/>
      <c r="R3" s="1288"/>
      <c r="S3" s="1288"/>
      <c r="T3" s="1288"/>
      <c r="U3" s="1288"/>
      <c r="V3" s="1288"/>
      <c r="W3" s="1288"/>
      <c r="X3" s="1288"/>
      <c r="Y3" s="1288"/>
    </row>
    <row r="4" spans="1:25" ht="14.45">
      <c r="A4" s="1285"/>
      <c r="B4" s="1285"/>
      <c r="C4" s="1287"/>
      <c r="D4" s="1239" t="s">
        <v>163</v>
      </c>
      <c r="E4" s="1238" t="s">
        <v>164</v>
      </c>
      <c r="F4" s="1239" t="s">
        <v>165</v>
      </c>
      <c r="G4" s="1239" t="s">
        <v>166</v>
      </c>
      <c r="H4" s="1239" t="s">
        <v>167</v>
      </c>
      <c r="I4" s="976"/>
      <c r="J4" s="976" t="s">
        <v>168</v>
      </c>
      <c r="K4" s="976" t="s">
        <v>169</v>
      </c>
      <c r="L4" s="976" t="s">
        <v>170</v>
      </c>
      <c r="M4" s="976" t="s">
        <v>171</v>
      </c>
      <c r="N4" s="976" t="s">
        <v>172</v>
      </c>
      <c r="O4" s="976" t="s">
        <v>90</v>
      </c>
      <c r="P4" s="976" t="s">
        <v>94</v>
      </c>
      <c r="Q4" s="976" t="s">
        <v>104</v>
      </c>
      <c r="R4" s="976" t="s">
        <v>99</v>
      </c>
      <c r="S4" s="976" t="s">
        <v>109</v>
      </c>
      <c r="T4" s="976" t="s">
        <v>173</v>
      </c>
      <c r="U4" s="976" t="s">
        <v>174</v>
      </c>
      <c r="V4" s="976" t="s">
        <v>114</v>
      </c>
      <c r="W4" s="976" t="s">
        <v>119</v>
      </c>
      <c r="X4" s="976" t="s">
        <v>124</v>
      </c>
      <c r="Y4" s="976" t="s">
        <v>129</v>
      </c>
    </row>
    <row r="5" spans="1:25">
      <c r="A5" s="1051">
        <f>ROW(A5)-4</f>
        <v>1</v>
      </c>
      <c r="B5" s="704" t="s">
        <v>175</v>
      </c>
      <c r="C5" s="977" t="s">
        <v>176</v>
      </c>
      <c r="D5" s="697" t="s">
        <v>177</v>
      </c>
      <c r="E5" s="697" t="s">
        <v>178</v>
      </c>
      <c r="F5" s="977">
        <v>1</v>
      </c>
      <c r="G5" s="978" t="s">
        <v>179</v>
      </c>
      <c r="H5" s="978" t="s">
        <v>180</v>
      </c>
      <c r="I5" s="697" t="s">
        <v>178</v>
      </c>
      <c r="J5" s="704" t="s">
        <v>178</v>
      </c>
      <c r="K5" s="704" t="s">
        <v>178</v>
      </c>
      <c r="L5" s="704" t="s">
        <v>178</v>
      </c>
      <c r="M5" s="697"/>
      <c r="N5" s="697"/>
      <c r="O5" s="704" t="s">
        <v>178</v>
      </c>
      <c r="P5" s="697" t="s">
        <v>178</v>
      </c>
      <c r="Q5" s="697"/>
      <c r="R5" s="697" t="s">
        <v>178</v>
      </c>
      <c r="S5" s="697" t="s">
        <v>178</v>
      </c>
      <c r="T5" s="697"/>
      <c r="U5" s="697"/>
      <c r="V5" s="697" t="s">
        <v>178</v>
      </c>
      <c r="W5" s="697"/>
      <c r="X5" s="697" t="s">
        <v>178</v>
      </c>
      <c r="Y5" s="697" t="s">
        <v>178</v>
      </c>
    </row>
    <row r="6" spans="1:25">
      <c r="A6" s="1051">
        <f t="shared" ref="A6:A100" si="0">ROW(A6)-4</f>
        <v>2</v>
      </c>
      <c r="B6" s="704" t="s">
        <v>175</v>
      </c>
      <c r="C6" s="977" t="s">
        <v>181</v>
      </c>
      <c r="D6" s="697" t="s">
        <v>182</v>
      </c>
      <c r="E6" s="697" t="s">
        <v>178</v>
      </c>
      <c r="F6" s="1049">
        <f>IF(I6="Yes",IF(G6="Note",ROUNDDOWN(F5,0)+1,IF(G6="Sub Note",F5+0.1,F5)),F5)</f>
        <v>2</v>
      </c>
      <c r="G6" s="978" t="s">
        <v>179</v>
      </c>
      <c r="H6" s="978" t="s">
        <v>180</v>
      </c>
      <c r="I6" s="697" t="s">
        <v>178</v>
      </c>
      <c r="J6" s="704" t="s">
        <v>178</v>
      </c>
      <c r="K6" s="704" t="s">
        <v>178</v>
      </c>
      <c r="L6" s="704" t="s">
        <v>178</v>
      </c>
      <c r="M6" s="697"/>
      <c r="N6" s="697"/>
      <c r="O6" s="704" t="s">
        <v>178</v>
      </c>
      <c r="P6" s="704" t="s">
        <v>178</v>
      </c>
      <c r="Q6" s="697"/>
      <c r="R6" s="697" t="s">
        <v>178</v>
      </c>
      <c r="S6" s="697"/>
      <c r="T6" s="697"/>
      <c r="U6" s="697"/>
      <c r="V6" s="697" t="s">
        <v>178</v>
      </c>
      <c r="W6" s="697" t="s">
        <v>178</v>
      </c>
      <c r="X6" s="697" t="s">
        <v>178</v>
      </c>
      <c r="Y6" s="697" t="s">
        <v>178</v>
      </c>
    </row>
    <row r="7" spans="1:25" ht="26.45">
      <c r="A7" s="1051">
        <f t="shared" si="0"/>
        <v>3</v>
      </c>
      <c r="B7" s="704" t="s">
        <v>175</v>
      </c>
      <c r="C7" s="977" t="s">
        <v>183</v>
      </c>
      <c r="D7" s="697" t="s">
        <v>184</v>
      </c>
      <c r="E7" s="697" t="s">
        <v>178</v>
      </c>
      <c r="F7" s="1049">
        <f t="shared" ref="F7:F83" si="1">IF(I7="Yes",IF(G7="Note",ROUNDDOWN(F6,0)+1,IF(G7="Sub Note",F6+0.1,F6)),F6)</f>
        <v>3</v>
      </c>
      <c r="G7" s="978" t="s">
        <v>179</v>
      </c>
      <c r="H7" s="978" t="s">
        <v>180</v>
      </c>
      <c r="I7" s="697" t="s">
        <v>178</v>
      </c>
      <c r="J7" s="697"/>
      <c r="K7" s="697"/>
      <c r="L7" s="697"/>
      <c r="M7" s="697"/>
      <c r="N7" s="697"/>
      <c r="O7" s="697"/>
      <c r="P7" s="697"/>
      <c r="Q7" s="697"/>
      <c r="R7" s="697"/>
      <c r="S7" s="697"/>
      <c r="T7" s="697"/>
      <c r="U7" s="697"/>
      <c r="V7" s="697"/>
      <c r="W7" s="697"/>
      <c r="X7" s="697"/>
      <c r="Y7" s="697"/>
    </row>
    <row r="8" spans="1:25">
      <c r="A8" s="1051">
        <f t="shared" si="0"/>
        <v>4</v>
      </c>
      <c r="B8" s="697" t="s">
        <v>7</v>
      </c>
      <c r="C8" s="979" t="s">
        <v>185</v>
      </c>
      <c r="D8" s="980"/>
      <c r="E8" s="980" t="s">
        <v>178</v>
      </c>
      <c r="F8" s="1049">
        <f t="shared" si="1"/>
        <v>3</v>
      </c>
      <c r="G8" s="978" t="s">
        <v>186</v>
      </c>
      <c r="H8" s="978" t="s">
        <v>187</v>
      </c>
      <c r="I8" s="697" t="s">
        <v>178</v>
      </c>
      <c r="J8" s="697" t="s">
        <v>186</v>
      </c>
      <c r="K8" s="697" t="s">
        <v>186</v>
      </c>
      <c r="L8" s="697" t="s">
        <v>186</v>
      </c>
      <c r="M8" s="697" t="s">
        <v>186</v>
      </c>
      <c r="N8" s="697" t="s">
        <v>186</v>
      </c>
      <c r="O8" s="697" t="s">
        <v>186</v>
      </c>
      <c r="P8" s="697" t="s">
        <v>186</v>
      </c>
      <c r="Q8" s="697" t="s">
        <v>186</v>
      </c>
      <c r="R8" s="697" t="s">
        <v>186</v>
      </c>
      <c r="S8" s="697" t="s">
        <v>186</v>
      </c>
      <c r="T8" s="697" t="s">
        <v>186</v>
      </c>
      <c r="U8" s="697" t="s">
        <v>186</v>
      </c>
      <c r="V8" s="697" t="s">
        <v>186</v>
      </c>
      <c r="W8" s="697" t="s">
        <v>186</v>
      </c>
      <c r="X8" s="697" t="s">
        <v>186</v>
      </c>
      <c r="Y8" s="697" t="s">
        <v>186</v>
      </c>
    </row>
    <row r="9" spans="1:25">
      <c r="A9" s="1051">
        <f t="shared" si="0"/>
        <v>5</v>
      </c>
      <c r="B9" s="697" t="s">
        <v>7</v>
      </c>
      <c r="C9" s="979" t="s">
        <v>188</v>
      </c>
      <c r="D9" s="980"/>
      <c r="E9" s="980" t="s">
        <v>178</v>
      </c>
      <c r="F9" s="1049">
        <f t="shared" si="1"/>
        <v>3</v>
      </c>
      <c r="G9" s="978" t="s">
        <v>186</v>
      </c>
      <c r="H9" s="978" t="s">
        <v>187</v>
      </c>
      <c r="I9" s="697" t="s">
        <v>178</v>
      </c>
      <c r="J9" s="697" t="s">
        <v>186</v>
      </c>
      <c r="K9" s="697" t="s">
        <v>186</v>
      </c>
      <c r="L9" s="697" t="s">
        <v>186</v>
      </c>
      <c r="M9" s="697" t="s">
        <v>186</v>
      </c>
      <c r="N9" s="697" t="s">
        <v>186</v>
      </c>
      <c r="O9" s="697" t="s">
        <v>186</v>
      </c>
      <c r="P9" s="697" t="s">
        <v>186</v>
      </c>
      <c r="Q9" s="697" t="s">
        <v>186</v>
      </c>
      <c r="R9" s="697" t="s">
        <v>186</v>
      </c>
      <c r="S9" s="697" t="s">
        <v>186</v>
      </c>
      <c r="T9" s="697" t="s">
        <v>186</v>
      </c>
      <c r="U9" s="697" t="s">
        <v>186</v>
      </c>
      <c r="V9" s="697" t="s">
        <v>186</v>
      </c>
      <c r="W9" s="697" t="s">
        <v>186</v>
      </c>
      <c r="X9" s="697" t="s">
        <v>186</v>
      </c>
      <c r="Y9" s="697" t="s">
        <v>186</v>
      </c>
    </row>
    <row r="10" spans="1:25">
      <c r="A10" s="1051">
        <f t="shared" si="0"/>
        <v>6</v>
      </c>
      <c r="B10" s="697" t="s">
        <v>7</v>
      </c>
      <c r="C10" s="981" t="s">
        <v>189</v>
      </c>
      <c r="D10" s="697" t="s">
        <v>190</v>
      </c>
      <c r="E10" s="697" t="s">
        <v>178</v>
      </c>
      <c r="F10" s="1049">
        <f t="shared" si="1"/>
        <v>4</v>
      </c>
      <c r="G10" s="978" t="s">
        <v>179</v>
      </c>
      <c r="H10" s="978" t="s">
        <v>187</v>
      </c>
      <c r="I10" s="697" t="s">
        <v>178</v>
      </c>
      <c r="J10" s="704" t="s">
        <v>178</v>
      </c>
      <c r="K10" s="704" t="s">
        <v>178</v>
      </c>
      <c r="L10" s="704" t="s">
        <v>178</v>
      </c>
      <c r="M10" s="697"/>
      <c r="N10" s="697"/>
      <c r="O10" s="704" t="s">
        <v>178</v>
      </c>
      <c r="P10" s="704" t="s">
        <v>178</v>
      </c>
      <c r="Q10" s="697"/>
      <c r="R10" s="697" t="s">
        <v>178</v>
      </c>
      <c r="S10" s="697" t="s">
        <v>178</v>
      </c>
      <c r="T10" s="697"/>
      <c r="U10" s="697"/>
      <c r="V10" s="697" t="s">
        <v>178</v>
      </c>
      <c r="W10" s="697" t="s">
        <v>178</v>
      </c>
      <c r="X10" s="697" t="s">
        <v>178</v>
      </c>
      <c r="Y10" s="697" t="s">
        <v>178</v>
      </c>
    </row>
    <row r="11" spans="1:25">
      <c r="A11" s="1051">
        <f t="shared" si="0"/>
        <v>7</v>
      </c>
      <c r="B11" s="697" t="s">
        <v>7</v>
      </c>
      <c r="C11" s="978" t="s">
        <v>191</v>
      </c>
      <c r="D11" s="697" t="s">
        <v>192</v>
      </c>
      <c r="E11" s="697" t="s">
        <v>178</v>
      </c>
      <c r="F11" s="1049">
        <f t="shared" si="1"/>
        <v>4.0999999999999996</v>
      </c>
      <c r="G11" s="978" t="s">
        <v>193</v>
      </c>
      <c r="H11" s="978" t="s">
        <v>180</v>
      </c>
      <c r="I11" s="704" t="s">
        <v>178</v>
      </c>
      <c r="J11" s="704" t="s">
        <v>178</v>
      </c>
      <c r="K11" s="704" t="s">
        <v>178</v>
      </c>
      <c r="L11" s="704" t="s">
        <v>178</v>
      </c>
      <c r="M11" s="697"/>
      <c r="N11" s="697"/>
      <c r="O11" s="704" t="s">
        <v>178</v>
      </c>
      <c r="P11" s="697"/>
      <c r="Q11" s="697"/>
      <c r="R11" s="697" t="s">
        <v>178</v>
      </c>
      <c r="S11" s="697" t="s">
        <v>178</v>
      </c>
      <c r="T11" s="697"/>
      <c r="U11" s="697"/>
      <c r="V11" s="697"/>
      <c r="W11" s="697"/>
      <c r="X11" s="697"/>
      <c r="Y11" s="697"/>
    </row>
    <row r="12" spans="1:25">
      <c r="A12" s="1051">
        <f t="shared" si="0"/>
        <v>8</v>
      </c>
      <c r="B12" s="697" t="s">
        <v>7</v>
      </c>
      <c r="C12" s="981" t="s">
        <v>194</v>
      </c>
      <c r="D12" s="697" t="s">
        <v>195</v>
      </c>
      <c r="E12" s="697" t="s">
        <v>178</v>
      </c>
      <c r="F12" s="1049">
        <f t="shared" si="1"/>
        <v>5</v>
      </c>
      <c r="G12" s="978" t="s">
        <v>179</v>
      </c>
      <c r="H12" s="978" t="s">
        <v>187</v>
      </c>
      <c r="I12" s="697" t="s">
        <v>178</v>
      </c>
      <c r="J12" s="704" t="s">
        <v>178</v>
      </c>
      <c r="K12" s="704" t="s">
        <v>178</v>
      </c>
      <c r="L12" s="704" t="s">
        <v>178</v>
      </c>
      <c r="M12" s="697"/>
      <c r="N12" s="697"/>
      <c r="O12" s="704" t="s">
        <v>178</v>
      </c>
      <c r="P12" s="697"/>
      <c r="Q12" s="697"/>
      <c r="R12" s="697" t="s">
        <v>178</v>
      </c>
      <c r="S12" s="697" t="s">
        <v>178</v>
      </c>
      <c r="T12" s="697"/>
      <c r="U12" s="697"/>
      <c r="V12" s="697" t="s">
        <v>178</v>
      </c>
      <c r="W12" s="697" t="s">
        <v>178</v>
      </c>
      <c r="X12" s="697" t="s">
        <v>178</v>
      </c>
      <c r="Y12" s="697" t="s">
        <v>178</v>
      </c>
    </row>
    <row r="13" spans="1:25">
      <c r="A13" s="1051">
        <f t="shared" si="0"/>
        <v>9</v>
      </c>
      <c r="B13" s="697" t="s">
        <v>7</v>
      </c>
      <c r="C13" s="977" t="s">
        <v>196</v>
      </c>
      <c r="D13" s="697" t="s">
        <v>197</v>
      </c>
      <c r="E13" s="697" t="s">
        <v>198</v>
      </c>
      <c r="F13" s="1049">
        <f t="shared" si="1"/>
        <v>6</v>
      </c>
      <c r="G13" s="978" t="s">
        <v>179</v>
      </c>
      <c r="H13" s="978" t="s">
        <v>187</v>
      </c>
      <c r="I13" s="697" t="s">
        <v>178</v>
      </c>
      <c r="J13" s="704" t="s">
        <v>178</v>
      </c>
      <c r="K13" s="704" t="s">
        <v>178</v>
      </c>
      <c r="L13" s="704" t="s">
        <v>178</v>
      </c>
      <c r="M13" s="697"/>
      <c r="N13" s="697"/>
      <c r="O13" s="697"/>
      <c r="P13" s="697"/>
      <c r="Q13" s="697"/>
      <c r="R13" s="697"/>
      <c r="S13" s="697"/>
      <c r="T13" s="697"/>
      <c r="U13" s="697"/>
      <c r="V13" s="697"/>
      <c r="W13" s="697"/>
      <c r="X13" s="697"/>
      <c r="Y13" s="697"/>
    </row>
    <row r="14" spans="1:25">
      <c r="A14" s="1051">
        <f t="shared" si="0"/>
        <v>10</v>
      </c>
      <c r="B14" s="704" t="s">
        <v>175</v>
      </c>
      <c r="C14" s="977" t="s">
        <v>199</v>
      </c>
      <c r="D14" s="697" t="s">
        <v>200</v>
      </c>
      <c r="E14" s="697" t="s">
        <v>198</v>
      </c>
      <c r="F14" s="1049">
        <f t="shared" si="1"/>
        <v>6.1</v>
      </c>
      <c r="G14" s="978" t="s">
        <v>193</v>
      </c>
      <c r="H14" s="978" t="s">
        <v>180</v>
      </c>
      <c r="I14" s="704" t="s">
        <v>178</v>
      </c>
      <c r="J14" s="704" t="s">
        <v>178</v>
      </c>
      <c r="K14" s="704" t="s">
        <v>178</v>
      </c>
      <c r="L14" s="704" t="s">
        <v>178</v>
      </c>
      <c r="M14" s="697"/>
      <c r="N14" s="697"/>
      <c r="O14" s="697"/>
      <c r="P14" s="697"/>
      <c r="Q14" s="697"/>
      <c r="R14" s="697"/>
      <c r="S14" s="697"/>
      <c r="T14" s="697"/>
      <c r="U14" s="697"/>
      <c r="V14" s="697"/>
      <c r="W14" s="697"/>
      <c r="X14" s="697"/>
      <c r="Y14" s="697"/>
    </row>
    <row r="15" spans="1:25" ht="26.45">
      <c r="A15" s="1051">
        <f t="shared" si="0"/>
        <v>11</v>
      </c>
      <c r="B15" s="704" t="s">
        <v>175</v>
      </c>
      <c r="C15" s="977" t="s">
        <v>201</v>
      </c>
      <c r="D15" s="697" t="s">
        <v>202</v>
      </c>
      <c r="E15" s="697" t="s">
        <v>178</v>
      </c>
      <c r="F15" s="1049">
        <f t="shared" si="1"/>
        <v>6.1999999999999993</v>
      </c>
      <c r="G15" s="978" t="s">
        <v>193</v>
      </c>
      <c r="H15" s="978" t="s">
        <v>180</v>
      </c>
      <c r="I15" s="704" t="s">
        <v>178</v>
      </c>
      <c r="J15" s="704" t="s">
        <v>178</v>
      </c>
      <c r="K15" s="704" t="s">
        <v>178</v>
      </c>
      <c r="L15" s="704" t="s">
        <v>178</v>
      </c>
      <c r="M15" s="697"/>
      <c r="N15" s="697"/>
      <c r="O15" s="697"/>
      <c r="P15" s="697"/>
      <c r="Q15" s="697"/>
      <c r="R15" s="697"/>
      <c r="S15" s="697"/>
      <c r="T15" s="697"/>
      <c r="U15" s="697"/>
      <c r="V15" s="697"/>
      <c r="W15" s="697"/>
      <c r="X15" s="697"/>
      <c r="Y15" s="697"/>
    </row>
    <row r="16" spans="1:25">
      <c r="A16" s="1051">
        <f t="shared" si="0"/>
        <v>12</v>
      </c>
      <c r="B16" s="697" t="s">
        <v>7</v>
      </c>
      <c r="C16" s="977" t="s">
        <v>203</v>
      </c>
      <c r="D16" s="697" t="s">
        <v>204</v>
      </c>
      <c r="E16" s="697" t="s">
        <v>178</v>
      </c>
      <c r="F16" s="1049">
        <f t="shared" si="1"/>
        <v>7</v>
      </c>
      <c r="G16" s="978" t="s">
        <v>179</v>
      </c>
      <c r="H16" s="978" t="s">
        <v>187</v>
      </c>
      <c r="I16" s="697" t="s">
        <v>178</v>
      </c>
      <c r="J16" s="704" t="s">
        <v>178</v>
      </c>
      <c r="K16" s="704" t="s">
        <v>178</v>
      </c>
      <c r="L16" s="704" t="s">
        <v>178</v>
      </c>
      <c r="M16" s="697"/>
      <c r="N16" s="697"/>
      <c r="O16" s="697"/>
      <c r="P16" s="697"/>
      <c r="Q16" s="697"/>
      <c r="R16" s="697"/>
      <c r="S16" s="697"/>
      <c r="T16" s="697"/>
      <c r="U16" s="697"/>
      <c r="V16" s="697"/>
      <c r="W16" s="697"/>
      <c r="X16" s="697" t="s">
        <v>178</v>
      </c>
      <c r="Y16" s="697" t="s">
        <v>178</v>
      </c>
    </row>
    <row r="17" spans="1:25">
      <c r="A17" s="1051">
        <f t="shared" si="0"/>
        <v>13</v>
      </c>
      <c r="B17" s="697" t="s">
        <v>7</v>
      </c>
      <c r="C17" s="977" t="s">
        <v>205</v>
      </c>
      <c r="D17" s="697"/>
      <c r="E17" s="697" t="s">
        <v>178</v>
      </c>
      <c r="F17" s="1049">
        <f>F16</f>
        <v>7</v>
      </c>
      <c r="G17" s="978" t="s">
        <v>179</v>
      </c>
      <c r="H17" s="978" t="s">
        <v>187</v>
      </c>
      <c r="I17" s="697" t="s">
        <v>178</v>
      </c>
      <c r="J17" s="704" t="s">
        <v>178</v>
      </c>
      <c r="K17" s="704" t="s">
        <v>178</v>
      </c>
      <c r="L17" s="704" t="s">
        <v>178</v>
      </c>
      <c r="M17" s="697"/>
      <c r="N17" s="697"/>
      <c r="O17" s="704" t="s">
        <v>178</v>
      </c>
      <c r="P17" s="704" t="s">
        <v>178</v>
      </c>
      <c r="Q17" s="697"/>
      <c r="R17" s="697" t="s">
        <v>178</v>
      </c>
      <c r="S17" s="697"/>
      <c r="T17" s="697"/>
      <c r="U17" s="697"/>
      <c r="V17" s="697" t="s">
        <v>178</v>
      </c>
      <c r="W17" s="697" t="s">
        <v>178</v>
      </c>
      <c r="X17" s="697" t="s">
        <v>178</v>
      </c>
      <c r="Y17" s="697" t="s">
        <v>178</v>
      </c>
    </row>
    <row r="18" spans="1:25">
      <c r="A18" s="1051">
        <f t="shared" si="0"/>
        <v>14</v>
      </c>
      <c r="B18" s="704" t="s">
        <v>175</v>
      </c>
      <c r="C18" s="978" t="s">
        <v>206</v>
      </c>
      <c r="D18" s="697" t="s">
        <v>207</v>
      </c>
      <c r="E18" s="697" t="s">
        <v>178</v>
      </c>
      <c r="F18" s="1049">
        <f t="shared" si="1"/>
        <v>7.1</v>
      </c>
      <c r="G18" s="978" t="s">
        <v>193</v>
      </c>
      <c r="H18" s="978" t="s">
        <v>180</v>
      </c>
      <c r="I18" s="704" t="s">
        <v>178</v>
      </c>
      <c r="J18" s="704" t="s">
        <v>178</v>
      </c>
      <c r="K18" s="704" t="s">
        <v>178</v>
      </c>
      <c r="L18" s="704" t="s">
        <v>198</v>
      </c>
      <c r="M18" s="697"/>
      <c r="N18" s="697"/>
      <c r="O18" s="704" t="s">
        <v>198</v>
      </c>
      <c r="P18" s="704" t="s">
        <v>198</v>
      </c>
      <c r="Q18" s="704" t="s">
        <v>198</v>
      </c>
      <c r="R18" s="704" t="s">
        <v>198</v>
      </c>
      <c r="S18" s="704" t="s">
        <v>198</v>
      </c>
      <c r="T18" s="704" t="s">
        <v>198</v>
      </c>
      <c r="U18" s="704" t="s">
        <v>198</v>
      </c>
      <c r="V18" s="704" t="s">
        <v>198</v>
      </c>
      <c r="W18" s="704" t="s">
        <v>198</v>
      </c>
      <c r="X18" s="704" t="s">
        <v>198</v>
      </c>
      <c r="Y18" s="704" t="s">
        <v>198</v>
      </c>
    </row>
    <row r="19" spans="1:25">
      <c r="A19" s="1051">
        <f t="shared" si="0"/>
        <v>15</v>
      </c>
      <c r="B19" s="704" t="s">
        <v>175</v>
      </c>
      <c r="C19" s="977" t="s">
        <v>208</v>
      </c>
      <c r="D19" s="697" t="s">
        <v>209</v>
      </c>
      <c r="E19" s="697" t="s">
        <v>178</v>
      </c>
      <c r="F19" s="1049">
        <f t="shared" si="1"/>
        <v>7.1999999999999993</v>
      </c>
      <c r="G19" s="978" t="s">
        <v>193</v>
      </c>
      <c r="H19" s="978" t="s">
        <v>180</v>
      </c>
      <c r="I19" s="704" t="s">
        <v>178</v>
      </c>
      <c r="J19" s="704" t="s">
        <v>178</v>
      </c>
      <c r="K19" s="704" t="s">
        <v>178</v>
      </c>
      <c r="L19" s="704" t="s">
        <v>198</v>
      </c>
      <c r="M19" s="697"/>
      <c r="N19" s="697"/>
      <c r="O19" s="704" t="s">
        <v>198</v>
      </c>
      <c r="P19" s="704" t="s">
        <v>198</v>
      </c>
      <c r="Q19" s="704" t="s">
        <v>198</v>
      </c>
      <c r="R19" s="704" t="s">
        <v>198</v>
      </c>
      <c r="S19" s="704" t="s">
        <v>198</v>
      </c>
      <c r="T19" s="704" t="s">
        <v>198</v>
      </c>
      <c r="U19" s="704" t="s">
        <v>198</v>
      </c>
      <c r="V19" s="704" t="s">
        <v>198</v>
      </c>
      <c r="W19" s="704" t="s">
        <v>198</v>
      </c>
      <c r="X19" s="704" t="s">
        <v>198</v>
      </c>
      <c r="Y19" s="704" t="s">
        <v>198</v>
      </c>
    </row>
    <row r="20" spans="1:25">
      <c r="A20" s="1051">
        <f t="shared" si="0"/>
        <v>16</v>
      </c>
      <c r="B20" s="704" t="s">
        <v>175</v>
      </c>
      <c r="C20" s="978" t="s">
        <v>210</v>
      </c>
      <c r="D20" s="697" t="s">
        <v>211</v>
      </c>
      <c r="E20" s="697" t="s">
        <v>178</v>
      </c>
      <c r="F20" s="1049">
        <f t="shared" si="1"/>
        <v>7.2999999999999989</v>
      </c>
      <c r="G20" s="978" t="s">
        <v>193</v>
      </c>
      <c r="H20" s="978" t="s">
        <v>180</v>
      </c>
      <c r="I20" s="704" t="s">
        <v>178</v>
      </c>
      <c r="J20" s="704" t="s">
        <v>178</v>
      </c>
      <c r="K20" s="704" t="s">
        <v>178</v>
      </c>
      <c r="L20" s="704" t="s">
        <v>178</v>
      </c>
      <c r="M20" s="697"/>
      <c r="N20" s="697"/>
      <c r="O20" s="704" t="s">
        <v>198</v>
      </c>
      <c r="P20" s="704" t="s">
        <v>198</v>
      </c>
      <c r="Q20" s="704" t="s">
        <v>198</v>
      </c>
      <c r="R20" s="704" t="s">
        <v>198</v>
      </c>
      <c r="S20" s="704" t="s">
        <v>198</v>
      </c>
      <c r="T20" s="704" t="s">
        <v>198</v>
      </c>
      <c r="U20" s="704" t="s">
        <v>198</v>
      </c>
      <c r="V20" s="704" t="s">
        <v>198</v>
      </c>
      <c r="W20" s="704" t="s">
        <v>198</v>
      </c>
      <c r="X20" s="704" t="s">
        <v>198</v>
      </c>
      <c r="Y20" s="704" t="s">
        <v>198</v>
      </c>
    </row>
    <row r="21" spans="1:25">
      <c r="A21" s="1051">
        <f t="shared" si="0"/>
        <v>17</v>
      </c>
      <c r="B21" s="704" t="s">
        <v>175</v>
      </c>
      <c r="C21" s="978" t="s">
        <v>212</v>
      </c>
      <c r="D21" s="697" t="s">
        <v>213</v>
      </c>
      <c r="E21" s="697" t="s">
        <v>178</v>
      </c>
      <c r="F21" s="1049">
        <f t="shared" si="1"/>
        <v>7.3999999999999986</v>
      </c>
      <c r="G21" s="978" t="s">
        <v>193</v>
      </c>
      <c r="H21" s="978" t="s">
        <v>180</v>
      </c>
      <c r="I21" s="704" t="s">
        <v>178</v>
      </c>
      <c r="J21" s="704" t="s">
        <v>178</v>
      </c>
      <c r="K21" s="704" t="s">
        <v>178</v>
      </c>
      <c r="L21" s="704" t="s">
        <v>198</v>
      </c>
      <c r="M21" s="697"/>
      <c r="N21" s="697"/>
      <c r="O21" s="704" t="s">
        <v>198</v>
      </c>
      <c r="P21" s="704" t="s">
        <v>198</v>
      </c>
      <c r="Q21" s="704" t="s">
        <v>198</v>
      </c>
      <c r="R21" s="704" t="s">
        <v>198</v>
      </c>
      <c r="S21" s="704" t="s">
        <v>198</v>
      </c>
      <c r="T21" s="704" t="s">
        <v>198</v>
      </c>
      <c r="U21" s="704" t="s">
        <v>198</v>
      </c>
      <c r="V21" s="704" t="s">
        <v>198</v>
      </c>
      <c r="W21" s="704" t="s">
        <v>198</v>
      </c>
      <c r="X21" s="704" t="s">
        <v>198</v>
      </c>
      <c r="Y21" s="704" t="s">
        <v>198</v>
      </c>
    </row>
    <row r="22" spans="1:25">
      <c r="A22" s="1051">
        <f t="shared" si="0"/>
        <v>18</v>
      </c>
      <c r="B22" s="697" t="s">
        <v>7</v>
      </c>
      <c r="C22" s="977" t="s">
        <v>214</v>
      </c>
      <c r="D22" s="697" t="s">
        <v>215</v>
      </c>
      <c r="E22" s="697" t="s">
        <v>198</v>
      </c>
      <c r="F22" s="1049">
        <f t="shared" si="1"/>
        <v>8</v>
      </c>
      <c r="G22" s="978" t="s">
        <v>179</v>
      </c>
      <c r="H22" s="978" t="s">
        <v>187</v>
      </c>
      <c r="I22" s="697" t="s">
        <v>178</v>
      </c>
      <c r="J22" s="704" t="s">
        <v>198</v>
      </c>
      <c r="K22" s="704" t="s">
        <v>198</v>
      </c>
      <c r="L22" s="704" t="s">
        <v>198</v>
      </c>
      <c r="M22" s="697"/>
      <c r="N22" s="697"/>
      <c r="O22" s="697"/>
      <c r="P22" s="697"/>
      <c r="Q22" s="697"/>
      <c r="R22" s="697"/>
      <c r="S22" s="697"/>
      <c r="T22" s="697"/>
      <c r="U22" s="697"/>
      <c r="V22" s="697"/>
      <c r="W22" s="697"/>
      <c r="X22" s="697"/>
      <c r="Y22" s="697"/>
    </row>
    <row r="23" spans="1:25">
      <c r="A23" s="1051">
        <f t="shared" si="0"/>
        <v>19</v>
      </c>
      <c r="B23" s="704" t="s">
        <v>175</v>
      </c>
      <c r="C23" s="977" t="s">
        <v>216</v>
      </c>
      <c r="D23" s="697" t="s">
        <v>217</v>
      </c>
      <c r="E23" s="697" t="s">
        <v>178</v>
      </c>
      <c r="F23" s="1049">
        <f t="shared" si="1"/>
        <v>8.1</v>
      </c>
      <c r="G23" s="978" t="s">
        <v>193</v>
      </c>
      <c r="H23" s="978" t="s">
        <v>180</v>
      </c>
      <c r="I23" s="697" t="s">
        <v>178</v>
      </c>
      <c r="J23" s="704" t="s">
        <v>198</v>
      </c>
      <c r="K23" s="704" t="s">
        <v>198</v>
      </c>
      <c r="L23" s="704" t="s">
        <v>198</v>
      </c>
      <c r="M23" s="697"/>
      <c r="N23" s="697"/>
      <c r="O23" s="697"/>
      <c r="P23" s="697"/>
      <c r="Q23" s="697"/>
      <c r="R23" s="697"/>
      <c r="S23" s="697"/>
      <c r="T23" s="697"/>
      <c r="U23" s="697"/>
      <c r="V23" s="697"/>
      <c r="W23" s="697"/>
      <c r="X23" s="697"/>
      <c r="Y23" s="697"/>
    </row>
    <row r="24" spans="1:25" ht="39.6">
      <c r="A24" s="1051">
        <f t="shared" si="0"/>
        <v>20</v>
      </c>
      <c r="B24" s="704" t="s">
        <v>175</v>
      </c>
      <c r="C24" s="977" t="s">
        <v>218</v>
      </c>
      <c r="D24" s="697" t="s">
        <v>219</v>
      </c>
      <c r="E24" s="697" t="s">
        <v>178</v>
      </c>
      <c r="F24" s="1049">
        <f t="shared" si="1"/>
        <v>8.1999999999999993</v>
      </c>
      <c r="G24" s="978" t="s">
        <v>193</v>
      </c>
      <c r="H24" s="978" t="s">
        <v>180</v>
      </c>
      <c r="I24" s="697" t="s">
        <v>178</v>
      </c>
      <c r="J24" s="704" t="s">
        <v>198</v>
      </c>
      <c r="K24" s="704" t="s">
        <v>198</v>
      </c>
      <c r="L24" s="704" t="s">
        <v>198</v>
      </c>
      <c r="M24" s="697"/>
      <c r="N24" s="697"/>
      <c r="O24" s="697"/>
      <c r="P24" s="697"/>
      <c r="Q24" s="697"/>
      <c r="R24" s="697"/>
      <c r="S24" s="697"/>
      <c r="T24" s="697"/>
      <c r="U24" s="697"/>
      <c r="V24" s="697"/>
      <c r="W24" s="697"/>
      <c r="X24" s="697"/>
      <c r="Y24" s="697"/>
    </row>
    <row r="25" spans="1:25">
      <c r="A25" s="1051">
        <f t="shared" si="0"/>
        <v>21</v>
      </c>
      <c r="B25" s="697" t="s">
        <v>7</v>
      </c>
      <c r="C25" s="979" t="s">
        <v>220</v>
      </c>
      <c r="D25" s="980"/>
      <c r="E25" s="980" t="s">
        <v>178</v>
      </c>
      <c r="F25" s="1049">
        <f t="shared" si="1"/>
        <v>8.1999999999999993</v>
      </c>
      <c r="G25" s="978" t="s">
        <v>186</v>
      </c>
      <c r="H25" s="978" t="s">
        <v>187</v>
      </c>
      <c r="I25" s="697" t="s">
        <v>178</v>
      </c>
      <c r="J25" s="704" t="s">
        <v>186</v>
      </c>
      <c r="K25" s="697" t="s">
        <v>186</v>
      </c>
      <c r="L25" s="697" t="s">
        <v>186</v>
      </c>
      <c r="M25" s="697" t="s">
        <v>186</v>
      </c>
      <c r="N25" s="697" t="s">
        <v>186</v>
      </c>
      <c r="O25" s="697" t="s">
        <v>186</v>
      </c>
      <c r="P25" s="697" t="s">
        <v>186</v>
      </c>
      <c r="Q25" s="697" t="s">
        <v>186</v>
      </c>
      <c r="R25" s="697" t="s">
        <v>186</v>
      </c>
      <c r="S25" s="697" t="s">
        <v>186</v>
      </c>
      <c r="T25" s="697" t="s">
        <v>186</v>
      </c>
      <c r="U25" s="697" t="s">
        <v>186</v>
      </c>
      <c r="V25" s="697" t="s">
        <v>186</v>
      </c>
      <c r="W25" s="697" t="s">
        <v>186</v>
      </c>
      <c r="X25" s="697" t="s">
        <v>186</v>
      </c>
      <c r="Y25" s="697" t="s">
        <v>186</v>
      </c>
    </row>
    <row r="26" spans="1:25">
      <c r="A26" s="1051">
        <f t="shared" si="0"/>
        <v>22</v>
      </c>
      <c r="B26" s="697" t="s">
        <v>7</v>
      </c>
      <c r="C26" s="977" t="s">
        <v>221</v>
      </c>
      <c r="D26" s="697" t="s">
        <v>222</v>
      </c>
      <c r="E26" s="704" t="s">
        <v>198</v>
      </c>
      <c r="F26" s="1049">
        <f t="shared" si="1"/>
        <v>9</v>
      </c>
      <c r="G26" s="978" t="s">
        <v>179</v>
      </c>
      <c r="H26" s="978" t="s">
        <v>187</v>
      </c>
      <c r="I26" s="697" t="s">
        <v>178</v>
      </c>
      <c r="J26" s="697"/>
      <c r="K26" s="704" t="s">
        <v>178</v>
      </c>
      <c r="L26" s="697"/>
      <c r="M26" s="697"/>
      <c r="N26" s="697"/>
      <c r="O26" s="697"/>
      <c r="P26" s="697"/>
      <c r="Q26" s="697"/>
      <c r="R26" s="697"/>
      <c r="S26" s="697"/>
      <c r="T26" s="697"/>
      <c r="U26" s="697"/>
      <c r="V26" s="697"/>
      <c r="W26" s="697"/>
      <c r="X26" s="697"/>
      <c r="Y26" s="697"/>
    </row>
    <row r="27" spans="1:25">
      <c r="A27" s="1051">
        <f t="shared" si="0"/>
        <v>23</v>
      </c>
      <c r="B27" s="704" t="s">
        <v>175</v>
      </c>
      <c r="C27" s="978" t="s">
        <v>223</v>
      </c>
      <c r="D27" s="697" t="s">
        <v>224</v>
      </c>
      <c r="E27" s="697" t="s">
        <v>178</v>
      </c>
      <c r="F27" s="1049">
        <f t="shared" si="1"/>
        <v>9.1</v>
      </c>
      <c r="G27" s="978" t="s">
        <v>193</v>
      </c>
      <c r="H27" s="978" t="s">
        <v>180</v>
      </c>
      <c r="I27" s="697" t="s">
        <v>178</v>
      </c>
      <c r="J27" s="697"/>
      <c r="K27" s="704" t="s">
        <v>178</v>
      </c>
      <c r="L27" s="697"/>
      <c r="M27" s="697"/>
      <c r="N27" s="697"/>
      <c r="O27" s="697"/>
      <c r="P27" s="697"/>
      <c r="Q27" s="697"/>
      <c r="R27" s="697"/>
      <c r="S27" s="697"/>
      <c r="T27" s="697"/>
      <c r="U27" s="697"/>
      <c r="V27" s="697"/>
      <c r="W27" s="697"/>
      <c r="X27" s="697"/>
      <c r="Y27" s="697"/>
    </row>
    <row r="28" spans="1:25">
      <c r="A28" s="1051">
        <f t="shared" si="0"/>
        <v>24</v>
      </c>
      <c r="B28" s="697" t="s">
        <v>7</v>
      </c>
      <c r="C28" s="977" t="s">
        <v>225</v>
      </c>
      <c r="D28" s="704" t="s">
        <v>226</v>
      </c>
      <c r="E28" s="704" t="s">
        <v>178</v>
      </c>
      <c r="F28" s="1049">
        <f t="shared" si="1"/>
        <v>10</v>
      </c>
      <c r="G28" s="978" t="s">
        <v>179</v>
      </c>
      <c r="H28" s="978" t="s">
        <v>187</v>
      </c>
      <c r="I28" s="697" t="s">
        <v>178</v>
      </c>
      <c r="J28" s="697"/>
      <c r="K28" s="704" t="s">
        <v>178</v>
      </c>
      <c r="L28" s="697"/>
      <c r="M28" s="697"/>
      <c r="N28" s="697"/>
      <c r="O28" s="697"/>
      <c r="P28" s="697"/>
      <c r="Q28" s="697"/>
      <c r="R28" s="697"/>
      <c r="S28" s="697"/>
      <c r="T28" s="697"/>
      <c r="U28" s="697"/>
      <c r="V28" s="697"/>
      <c r="W28" s="697"/>
      <c r="X28" s="697"/>
      <c r="Y28" s="697"/>
    </row>
    <row r="29" spans="1:25">
      <c r="A29" s="1051">
        <f t="shared" si="0"/>
        <v>25</v>
      </c>
      <c r="B29" s="697" t="s">
        <v>7</v>
      </c>
      <c r="C29" s="977" t="s">
        <v>227</v>
      </c>
      <c r="D29" s="697" t="s">
        <v>228</v>
      </c>
      <c r="E29" s="697" t="s">
        <v>178</v>
      </c>
      <c r="F29" s="1049">
        <f t="shared" si="1"/>
        <v>11</v>
      </c>
      <c r="G29" s="978" t="s">
        <v>179</v>
      </c>
      <c r="H29" s="978" t="s">
        <v>187</v>
      </c>
      <c r="I29" s="697" t="s">
        <v>178</v>
      </c>
      <c r="J29" s="704" t="s">
        <v>178</v>
      </c>
      <c r="K29" s="704" t="s">
        <v>178</v>
      </c>
      <c r="L29" s="704" t="s">
        <v>178</v>
      </c>
      <c r="M29" s="697"/>
      <c r="N29" s="697"/>
      <c r="O29" s="704" t="s">
        <v>178</v>
      </c>
      <c r="P29" s="697"/>
      <c r="Q29" s="697"/>
      <c r="R29" s="697" t="s">
        <v>178</v>
      </c>
      <c r="S29" s="697"/>
      <c r="T29" s="697"/>
      <c r="U29" s="697"/>
      <c r="V29" s="697" t="s">
        <v>178</v>
      </c>
      <c r="W29" s="697"/>
      <c r="X29" s="697" t="s">
        <v>178</v>
      </c>
      <c r="Y29" s="697"/>
    </row>
    <row r="30" spans="1:25">
      <c r="A30" s="1051">
        <f t="shared" si="0"/>
        <v>26</v>
      </c>
      <c r="B30" s="697" t="s">
        <v>7</v>
      </c>
      <c r="C30" s="977" t="s">
        <v>229</v>
      </c>
      <c r="D30" s="697" t="s">
        <v>230</v>
      </c>
      <c r="E30" s="697" t="s">
        <v>178</v>
      </c>
      <c r="F30" s="1049">
        <f t="shared" si="1"/>
        <v>12</v>
      </c>
      <c r="G30" s="978" t="s">
        <v>179</v>
      </c>
      <c r="H30" s="978" t="s">
        <v>187</v>
      </c>
      <c r="I30" s="697" t="s">
        <v>178</v>
      </c>
      <c r="J30" s="704" t="s">
        <v>178</v>
      </c>
      <c r="K30" s="704" t="s">
        <v>178</v>
      </c>
      <c r="L30" s="704" t="s">
        <v>178</v>
      </c>
      <c r="M30" s="697"/>
      <c r="N30" s="697"/>
      <c r="O30" s="697"/>
      <c r="P30" s="697"/>
      <c r="Q30" s="697"/>
      <c r="R30" s="697" t="s">
        <v>178</v>
      </c>
      <c r="S30" s="697"/>
      <c r="T30" s="697"/>
      <c r="U30" s="697"/>
      <c r="V30" s="697" t="s">
        <v>178</v>
      </c>
      <c r="W30" s="697"/>
      <c r="X30" s="697" t="s">
        <v>178</v>
      </c>
      <c r="Y30" s="697" t="s">
        <v>178</v>
      </c>
    </row>
    <row r="31" spans="1:25">
      <c r="A31" s="1051">
        <f t="shared" si="0"/>
        <v>27</v>
      </c>
      <c r="B31" s="704" t="s">
        <v>175</v>
      </c>
      <c r="C31" s="978" t="s">
        <v>231</v>
      </c>
      <c r="D31" s="697" t="s">
        <v>232</v>
      </c>
      <c r="E31" s="697" t="s">
        <v>178</v>
      </c>
      <c r="F31" s="1049">
        <f t="shared" si="1"/>
        <v>13</v>
      </c>
      <c r="G31" s="978" t="s">
        <v>179</v>
      </c>
      <c r="H31" s="978" t="s">
        <v>180</v>
      </c>
      <c r="I31" s="697" t="s">
        <v>178</v>
      </c>
      <c r="J31" s="704" t="s">
        <v>178</v>
      </c>
      <c r="K31" s="704" t="s">
        <v>178</v>
      </c>
      <c r="L31" s="704" t="s">
        <v>178</v>
      </c>
      <c r="M31" s="697"/>
      <c r="N31" s="697"/>
      <c r="O31" s="704" t="s">
        <v>178</v>
      </c>
      <c r="P31" s="704" t="s">
        <v>178</v>
      </c>
      <c r="Q31" s="697"/>
      <c r="R31" s="697" t="s">
        <v>178</v>
      </c>
      <c r="S31" s="697" t="s">
        <v>178</v>
      </c>
      <c r="T31" s="697"/>
      <c r="U31" s="697"/>
      <c r="V31" s="697" t="s">
        <v>178</v>
      </c>
      <c r="W31" s="697" t="s">
        <v>178</v>
      </c>
      <c r="X31" s="697" t="s">
        <v>178</v>
      </c>
      <c r="Y31" s="697" t="s">
        <v>178</v>
      </c>
    </row>
    <row r="32" spans="1:25">
      <c r="A32" s="1051">
        <f t="shared" si="0"/>
        <v>28</v>
      </c>
      <c r="B32" s="704" t="s">
        <v>175</v>
      </c>
      <c r="C32" s="978" t="s">
        <v>233</v>
      </c>
      <c r="D32" s="697" t="s">
        <v>234</v>
      </c>
      <c r="E32" s="697" t="s">
        <v>178</v>
      </c>
      <c r="F32" s="1049">
        <f t="shared" si="1"/>
        <v>13.1</v>
      </c>
      <c r="G32" s="978" t="s">
        <v>193</v>
      </c>
      <c r="H32" s="978" t="s">
        <v>180</v>
      </c>
      <c r="I32" s="697" t="s">
        <v>178</v>
      </c>
      <c r="J32" s="704" t="s">
        <v>178</v>
      </c>
      <c r="K32" s="704" t="s">
        <v>178</v>
      </c>
      <c r="L32" s="704" t="s">
        <v>178</v>
      </c>
      <c r="M32" s="697"/>
      <c r="N32" s="697"/>
      <c r="O32" s="704" t="s">
        <v>178</v>
      </c>
      <c r="P32" s="697"/>
      <c r="Q32" s="697"/>
      <c r="R32" s="697" t="s">
        <v>178</v>
      </c>
      <c r="S32" s="697" t="s">
        <v>178</v>
      </c>
      <c r="T32" s="697"/>
      <c r="U32" s="697"/>
      <c r="V32" s="697" t="s">
        <v>178</v>
      </c>
      <c r="W32" s="697"/>
      <c r="X32" s="697" t="s">
        <v>178</v>
      </c>
      <c r="Y32" s="697" t="s">
        <v>178</v>
      </c>
    </row>
    <row r="33" spans="1:25">
      <c r="A33" s="1051">
        <f t="shared" si="0"/>
        <v>29</v>
      </c>
      <c r="B33" s="704" t="s">
        <v>175</v>
      </c>
      <c r="C33" s="978" t="s">
        <v>235</v>
      </c>
      <c r="D33" s="697" t="s">
        <v>236</v>
      </c>
      <c r="E33" s="697" t="s">
        <v>178</v>
      </c>
      <c r="F33" s="1049">
        <f t="shared" si="1"/>
        <v>13.2</v>
      </c>
      <c r="G33" s="978" t="s">
        <v>193</v>
      </c>
      <c r="H33" s="978" t="s">
        <v>180</v>
      </c>
      <c r="I33" s="697" t="s">
        <v>178</v>
      </c>
      <c r="J33" s="704" t="s">
        <v>178</v>
      </c>
      <c r="K33" s="704" t="s">
        <v>178</v>
      </c>
      <c r="L33" s="704" t="s">
        <v>178</v>
      </c>
      <c r="M33" s="697"/>
      <c r="N33" s="697"/>
      <c r="O33" s="704" t="s">
        <v>178</v>
      </c>
      <c r="P33" s="697"/>
      <c r="Q33" s="697"/>
      <c r="R33" s="697" t="s">
        <v>178</v>
      </c>
      <c r="S33" s="697" t="s">
        <v>178</v>
      </c>
      <c r="T33" s="697"/>
      <c r="U33" s="697"/>
      <c r="V33" s="697" t="s">
        <v>178</v>
      </c>
      <c r="W33" s="697"/>
      <c r="X33" s="697" t="s">
        <v>178</v>
      </c>
      <c r="Y33" s="697" t="s">
        <v>178</v>
      </c>
    </row>
    <row r="34" spans="1:25" ht="26.45">
      <c r="A34" s="1051">
        <f t="shared" si="0"/>
        <v>30</v>
      </c>
      <c r="B34" s="704" t="s">
        <v>175</v>
      </c>
      <c r="C34" s="978" t="s">
        <v>237</v>
      </c>
      <c r="D34" s="697" t="s">
        <v>238</v>
      </c>
      <c r="E34" s="697" t="s">
        <v>178</v>
      </c>
      <c r="F34" s="1049">
        <f t="shared" si="1"/>
        <v>13.299999999999999</v>
      </c>
      <c r="G34" s="978" t="s">
        <v>193</v>
      </c>
      <c r="H34" s="978" t="s">
        <v>180</v>
      </c>
      <c r="I34" s="697" t="s">
        <v>178</v>
      </c>
      <c r="J34" s="704" t="s">
        <v>178</v>
      </c>
      <c r="K34" s="704" t="s">
        <v>178</v>
      </c>
      <c r="L34" s="704" t="s">
        <v>178</v>
      </c>
      <c r="M34" s="697"/>
      <c r="N34" s="697"/>
      <c r="O34" s="704" t="s">
        <v>178</v>
      </c>
      <c r="P34" s="697"/>
      <c r="Q34" s="697"/>
      <c r="R34" s="697" t="s">
        <v>178</v>
      </c>
      <c r="S34" s="697" t="s">
        <v>178</v>
      </c>
      <c r="T34" s="697"/>
      <c r="U34" s="697"/>
      <c r="V34" s="697" t="s">
        <v>178</v>
      </c>
      <c r="W34" s="697"/>
      <c r="X34" s="697" t="s">
        <v>178</v>
      </c>
      <c r="Y34" s="697" t="s">
        <v>178</v>
      </c>
    </row>
    <row r="35" spans="1:25">
      <c r="A35" s="1051">
        <f t="shared" si="0"/>
        <v>31</v>
      </c>
      <c r="B35" s="697" t="s">
        <v>7</v>
      </c>
      <c r="C35" s="977" t="s">
        <v>239</v>
      </c>
      <c r="D35" s="697" t="s">
        <v>240</v>
      </c>
      <c r="E35" s="697" t="s">
        <v>178</v>
      </c>
      <c r="F35" s="1049">
        <f t="shared" si="1"/>
        <v>14</v>
      </c>
      <c r="G35" s="978" t="s">
        <v>179</v>
      </c>
      <c r="H35" s="978" t="s">
        <v>187</v>
      </c>
      <c r="I35" s="697" t="s">
        <v>178</v>
      </c>
      <c r="J35" s="704" t="s">
        <v>178</v>
      </c>
      <c r="K35" s="704" t="s">
        <v>178</v>
      </c>
      <c r="L35" s="704" t="s">
        <v>178</v>
      </c>
      <c r="M35" s="697"/>
      <c r="N35" s="697"/>
      <c r="O35" s="704" t="s">
        <v>178</v>
      </c>
      <c r="P35" s="704" t="s">
        <v>178</v>
      </c>
      <c r="Q35" s="697"/>
      <c r="R35" s="697" t="s">
        <v>178</v>
      </c>
      <c r="S35" s="697" t="s">
        <v>178</v>
      </c>
      <c r="T35" s="697"/>
      <c r="U35" s="697"/>
      <c r="V35" s="697" t="s">
        <v>178</v>
      </c>
      <c r="W35" s="697" t="s">
        <v>178</v>
      </c>
      <c r="X35" s="697" t="s">
        <v>178</v>
      </c>
      <c r="Y35" s="697" t="s">
        <v>178</v>
      </c>
    </row>
    <row r="36" spans="1:25">
      <c r="A36" s="1051">
        <f t="shared" si="0"/>
        <v>32</v>
      </c>
      <c r="B36" s="704" t="s">
        <v>175</v>
      </c>
      <c r="C36" s="978" t="s">
        <v>241</v>
      </c>
      <c r="D36" s="697" t="s">
        <v>242</v>
      </c>
      <c r="E36" s="697" t="s">
        <v>178</v>
      </c>
      <c r="F36" s="1049">
        <f t="shared" si="1"/>
        <v>14.1</v>
      </c>
      <c r="G36" s="978" t="s">
        <v>193</v>
      </c>
      <c r="H36" s="978" t="s">
        <v>180</v>
      </c>
      <c r="I36" s="697" t="s">
        <v>178</v>
      </c>
      <c r="J36" s="704" t="s">
        <v>178</v>
      </c>
      <c r="K36" s="704" t="s">
        <v>178</v>
      </c>
      <c r="L36" s="704" t="s">
        <v>178</v>
      </c>
      <c r="M36" s="697"/>
      <c r="N36" s="697"/>
      <c r="O36" s="704" t="s">
        <v>178</v>
      </c>
      <c r="P36" s="704" t="s">
        <v>178</v>
      </c>
      <c r="Q36" s="697"/>
      <c r="R36" s="697"/>
      <c r="S36" s="697" t="s">
        <v>178</v>
      </c>
      <c r="T36" s="697"/>
      <c r="U36" s="697"/>
      <c r="V36" s="697" t="s">
        <v>178</v>
      </c>
      <c r="W36" s="697" t="s">
        <v>178</v>
      </c>
      <c r="X36" s="697" t="s">
        <v>178</v>
      </c>
      <c r="Y36" s="697" t="s">
        <v>178</v>
      </c>
    </row>
    <row r="37" spans="1:25">
      <c r="A37" s="1051">
        <f t="shared" si="0"/>
        <v>33</v>
      </c>
      <c r="B37" s="697" t="s">
        <v>7</v>
      </c>
      <c r="C37" s="977" t="s">
        <v>243</v>
      </c>
      <c r="D37" s="697" t="s">
        <v>244</v>
      </c>
      <c r="E37" s="697" t="s">
        <v>178</v>
      </c>
      <c r="F37" s="1049">
        <f t="shared" si="1"/>
        <v>15</v>
      </c>
      <c r="G37" s="978" t="s">
        <v>179</v>
      </c>
      <c r="H37" s="978" t="s">
        <v>187</v>
      </c>
      <c r="I37" s="697" t="s">
        <v>178</v>
      </c>
      <c r="J37" s="704" t="s">
        <v>178</v>
      </c>
      <c r="K37" s="704" t="s">
        <v>178</v>
      </c>
      <c r="L37" s="704" t="s">
        <v>178</v>
      </c>
      <c r="M37" s="697"/>
      <c r="N37" s="697"/>
      <c r="O37" s="704" t="s">
        <v>178</v>
      </c>
      <c r="P37" s="697"/>
      <c r="Q37" s="697"/>
      <c r="R37" s="697" t="s">
        <v>178</v>
      </c>
      <c r="S37" s="697"/>
      <c r="T37" s="697"/>
      <c r="U37" s="697"/>
      <c r="V37" s="697" t="s">
        <v>178</v>
      </c>
      <c r="W37" s="697"/>
      <c r="X37" s="697"/>
      <c r="Y37" s="697"/>
    </row>
    <row r="38" spans="1:25">
      <c r="A38" s="1051">
        <f t="shared" si="0"/>
        <v>34</v>
      </c>
      <c r="B38" s="697" t="s">
        <v>7</v>
      </c>
      <c r="C38" s="979" t="s">
        <v>245</v>
      </c>
      <c r="D38" s="980"/>
      <c r="E38" s="980" t="s">
        <v>178</v>
      </c>
      <c r="F38" s="1049">
        <f t="shared" si="1"/>
        <v>15</v>
      </c>
      <c r="G38" s="978" t="s">
        <v>246</v>
      </c>
      <c r="H38" s="978" t="s">
        <v>187</v>
      </c>
      <c r="I38" s="697" t="s">
        <v>178</v>
      </c>
      <c r="J38" s="697" t="s">
        <v>246</v>
      </c>
      <c r="K38" s="697" t="s">
        <v>246</v>
      </c>
      <c r="L38" s="697" t="s">
        <v>246</v>
      </c>
      <c r="M38" s="697" t="s">
        <v>246</v>
      </c>
      <c r="N38" s="697" t="s">
        <v>246</v>
      </c>
      <c r="O38" s="697" t="s">
        <v>246</v>
      </c>
      <c r="P38" s="697" t="s">
        <v>246</v>
      </c>
      <c r="Q38" s="697" t="s">
        <v>246</v>
      </c>
      <c r="R38" s="697" t="s">
        <v>246</v>
      </c>
      <c r="S38" s="697" t="s">
        <v>246</v>
      </c>
      <c r="T38" s="697" t="s">
        <v>246</v>
      </c>
      <c r="U38" s="697" t="s">
        <v>246</v>
      </c>
      <c r="V38" s="697" t="s">
        <v>246</v>
      </c>
      <c r="W38" s="697" t="s">
        <v>246</v>
      </c>
      <c r="X38" s="697" t="s">
        <v>246</v>
      </c>
      <c r="Y38" s="697" t="s">
        <v>246</v>
      </c>
    </row>
    <row r="39" spans="1:25">
      <c r="A39" s="1051">
        <f t="shared" si="0"/>
        <v>35</v>
      </c>
      <c r="B39" s="697" t="s">
        <v>7</v>
      </c>
      <c r="C39" s="979" t="s">
        <v>247</v>
      </c>
      <c r="D39" s="980"/>
      <c r="E39" s="980" t="s">
        <v>178</v>
      </c>
      <c r="F39" s="1049">
        <f t="shared" si="1"/>
        <v>15</v>
      </c>
      <c r="G39" s="978" t="s">
        <v>186</v>
      </c>
      <c r="H39" s="978" t="s">
        <v>187</v>
      </c>
      <c r="I39" s="697" t="s">
        <v>178</v>
      </c>
      <c r="J39" s="697" t="s">
        <v>186</v>
      </c>
      <c r="K39" s="697" t="s">
        <v>186</v>
      </c>
      <c r="L39" s="697" t="s">
        <v>186</v>
      </c>
      <c r="M39" s="697" t="s">
        <v>186</v>
      </c>
      <c r="N39" s="697" t="s">
        <v>186</v>
      </c>
      <c r="O39" s="697" t="s">
        <v>186</v>
      </c>
      <c r="P39" s="697" t="s">
        <v>186</v>
      </c>
      <c r="Q39" s="697" t="s">
        <v>186</v>
      </c>
      <c r="R39" s="697" t="s">
        <v>186</v>
      </c>
      <c r="S39" s="697" t="s">
        <v>186</v>
      </c>
      <c r="T39" s="697" t="s">
        <v>186</v>
      </c>
      <c r="U39" s="697" t="s">
        <v>186</v>
      </c>
      <c r="V39" s="697" t="s">
        <v>186</v>
      </c>
      <c r="W39" s="697" t="s">
        <v>186</v>
      </c>
      <c r="X39" s="697" t="s">
        <v>186</v>
      </c>
      <c r="Y39" s="697" t="s">
        <v>186</v>
      </c>
    </row>
    <row r="40" spans="1:25">
      <c r="A40" s="1051">
        <f t="shared" si="0"/>
        <v>36</v>
      </c>
      <c r="B40" s="697" t="s">
        <v>7</v>
      </c>
      <c r="C40" s="977" t="s">
        <v>248</v>
      </c>
      <c r="D40" s="697" t="s">
        <v>249</v>
      </c>
      <c r="E40" s="697" t="s">
        <v>178</v>
      </c>
      <c r="F40" s="1049">
        <f t="shared" si="1"/>
        <v>16</v>
      </c>
      <c r="G40" s="978" t="s">
        <v>179</v>
      </c>
      <c r="H40" s="978" t="s">
        <v>187</v>
      </c>
      <c r="I40" s="697" t="s">
        <v>178</v>
      </c>
      <c r="J40" s="704" t="s">
        <v>178</v>
      </c>
      <c r="K40" s="704" t="s">
        <v>178</v>
      </c>
      <c r="L40" s="704" t="s">
        <v>178</v>
      </c>
      <c r="M40" s="697"/>
      <c r="N40" s="697"/>
      <c r="O40" s="704" t="s">
        <v>178</v>
      </c>
      <c r="P40" s="704" t="s">
        <v>178</v>
      </c>
      <c r="Q40" s="697"/>
      <c r="R40" s="697" t="s">
        <v>178</v>
      </c>
      <c r="S40" s="697" t="s">
        <v>178</v>
      </c>
      <c r="T40" s="697"/>
      <c r="U40" s="697"/>
      <c r="V40" s="697" t="s">
        <v>178</v>
      </c>
      <c r="W40" s="697" t="s">
        <v>178</v>
      </c>
      <c r="X40" s="697" t="s">
        <v>178</v>
      </c>
      <c r="Y40" s="697" t="s">
        <v>178</v>
      </c>
    </row>
    <row r="41" spans="1:25">
      <c r="A41" s="1051">
        <f t="shared" si="0"/>
        <v>37</v>
      </c>
      <c r="B41" s="704" t="s">
        <v>175</v>
      </c>
      <c r="C41" s="978" t="s">
        <v>212</v>
      </c>
      <c r="D41" s="704" t="s">
        <v>250</v>
      </c>
      <c r="E41" s="704" t="s">
        <v>178</v>
      </c>
      <c r="F41" s="1049">
        <f t="shared" si="1"/>
        <v>16.100000000000001</v>
      </c>
      <c r="G41" s="978" t="s">
        <v>193</v>
      </c>
      <c r="H41" s="978" t="s">
        <v>180</v>
      </c>
      <c r="I41" s="697" t="s">
        <v>178</v>
      </c>
      <c r="J41" s="704" t="s">
        <v>178</v>
      </c>
      <c r="K41" s="704" t="s">
        <v>178</v>
      </c>
      <c r="L41" s="704" t="s">
        <v>178</v>
      </c>
      <c r="M41" s="697"/>
      <c r="N41" s="697"/>
      <c r="O41" s="704" t="s">
        <v>178</v>
      </c>
      <c r="P41" s="697"/>
      <c r="Q41" s="697"/>
      <c r="R41" s="697" t="s">
        <v>178</v>
      </c>
      <c r="S41" s="697"/>
      <c r="T41" s="697"/>
      <c r="U41" s="697"/>
      <c r="V41" s="697"/>
      <c r="W41" s="697"/>
      <c r="X41" s="697"/>
      <c r="Y41" s="697"/>
    </row>
    <row r="42" spans="1:25">
      <c r="A42" s="1051">
        <f t="shared" si="0"/>
        <v>38</v>
      </c>
      <c r="B42" s="697" t="s">
        <v>7</v>
      </c>
      <c r="C42" s="979" t="s">
        <v>220</v>
      </c>
      <c r="D42" s="980"/>
      <c r="E42" s="980" t="s">
        <v>178</v>
      </c>
      <c r="F42" s="1049">
        <f t="shared" si="1"/>
        <v>16.100000000000001</v>
      </c>
      <c r="G42" s="978" t="s">
        <v>186</v>
      </c>
      <c r="H42" s="978" t="s">
        <v>187</v>
      </c>
      <c r="I42" s="697" t="s">
        <v>178</v>
      </c>
      <c r="J42" s="697" t="s">
        <v>186</v>
      </c>
      <c r="K42" s="697" t="s">
        <v>186</v>
      </c>
      <c r="L42" s="697" t="s">
        <v>186</v>
      </c>
      <c r="M42" s="697" t="s">
        <v>186</v>
      </c>
      <c r="N42" s="697" t="s">
        <v>186</v>
      </c>
      <c r="O42" s="697" t="s">
        <v>186</v>
      </c>
      <c r="P42" s="697" t="s">
        <v>186</v>
      </c>
      <c r="Q42" s="697" t="s">
        <v>186</v>
      </c>
      <c r="R42" s="697" t="s">
        <v>186</v>
      </c>
      <c r="S42" s="697" t="s">
        <v>186</v>
      </c>
      <c r="T42" s="697" t="s">
        <v>186</v>
      </c>
      <c r="U42" s="697" t="s">
        <v>186</v>
      </c>
      <c r="V42" s="697" t="s">
        <v>186</v>
      </c>
      <c r="W42" s="697" t="s">
        <v>186</v>
      </c>
      <c r="X42" s="697" t="s">
        <v>186</v>
      </c>
      <c r="Y42" s="697" t="s">
        <v>186</v>
      </c>
    </row>
    <row r="43" spans="1:25">
      <c r="A43" s="1051">
        <f t="shared" si="0"/>
        <v>39</v>
      </c>
      <c r="B43" s="697" t="s">
        <v>7</v>
      </c>
      <c r="C43" s="977" t="s">
        <v>221</v>
      </c>
      <c r="D43" s="697" t="s">
        <v>251</v>
      </c>
      <c r="E43" s="697" t="s">
        <v>178</v>
      </c>
      <c r="F43" s="1049">
        <f t="shared" si="1"/>
        <v>17</v>
      </c>
      <c r="G43" s="978" t="s">
        <v>179</v>
      </c>
      <c r="H43" s="978" t="s">
        <v>187</v>
      </c>
      <c r="I43" s="697" t="s">
        <v>178</v>
      </c>
      <c r="J43" s="704" t="s">
        <v>178</v>
      </c>
      <c r="K43" s="704" t="s">
        <v>178</v>
      </c>
      <c r="L43" s="697"/>
      <c r="M43" s="697"/>
      <c r="N43" s="697"/>
      <c r="O43" s="697"/>
      <c r="P43" s="697"/>
      <c r="Q43" s="697"/>
      <c r="R43" s="697"/>
      <c r="S43" s="697"/>
      <c r="T43" s="697"/>
      <c r="U43" s="697"/>
      <c r="V43" s="697"/>
      <c r="W43" s="697"/>
      <c r="X43" s="697"/>
      <c r="Y43" s="697"/>
    </row>
    <row r="44" spans="1:25">
      <c r="A44" s="1051">
        <f t="shared" si="0"/>
        <v>40</v>
      </c>
      <c r="B44" s="704" t="s">
        <v>175</v>
      </c>
      <c r="C44" s="978" t="s">
        <v>212</v>
      </c>
      <c r="D44" s="697" t="s">
        <v>252</v>
      </c>
      <c r="E44" s="697" t="s">
        <v>178</v>
      </c>
      <c r="F44" s="1049">
        <f t="shared" si="1"/>
        <v>17.100000000000001</v>
      </c>
      <c r="G44" s="978" t="s">
        <v>193</v>
      </c>
      <c r="H44" s="978" t="s">
        <v>180</v>
      </c>
      <c r="I44" s="697" t="s">
        <v>178</v>
      </c>
      <c r="J44" s="704" t="s">
        <v>178</v>
      </c>
      <c r="K44" s="704" t="s">
        <v>178</v>
      </c>
      <c r="L44" s="704" t="s">
        <v>178</v>
      </c>
      <c r="M44" s="697"/>
      <c r="N44" s="697"/>
      <c r="O44" s="697"/>
      <c r="P44" s="697"/>
      <c r="Q44" s="697"/>
      <c r="R44" s="697"/>
      <c r="S44" s="697"/>
      <c r="T44" s="697"/>
      <c r="U44" s="697"/>
      <c r="V44" s="697"/>
      <c r="W44" s="697"/>
      <c r="X44" s="697"/>
      <c r="Y44" s="697"/>
    </row>
    <row r="45" spans="1:25">
      <c r="A45" s="1051">
        <f t="shared" si="0"/>
        <v>41</v>
      </c>
      <c r="B45" s="697" t="s">
        <v>7</v>
      </c>
      <c r="C45" s="977" t="s">
        <v>253</v>
      </c>
      <c r="D45" s="697" t="s">
        <v>254</v>
      </c>
      <c r="E45" s="697" t="s">
        <v>178</v>
      </c>
      <c r="F45" s="1049">
        <f t="shared" si="1"/>
        <v>18</v>
      </c>
      <c r="G45" s="978" t="s">
        <v>179</v>
      </c>
      <c r="H45" s="978" t="s">
        <v>187</v>
      </c>
      <c r="I45" s="697" t="s">
        <v>178</v>
      </c>
      <c r="J45" s="704" t="s">
        <v>178</v>
      </c>
      <c r="K45" s="704" t="s">
        <v>178</v>
      </c>
      <c r="L45" s="704" t="s">
        <v>178</v>
      </c>
      <c r="M45" s="697"/>
      <c r="N45" s="697"/>
      <c r="O45" s="704" t="s">
        <v>178</v>
      </c>
      <c r="P45" s="704" t="s">
        <v>178</v>
      </c>
      <c r="Q45" s="697"/>
      <c r="R45" s="697" t="s">
        <v>178</v>
      </c>
      <c r="S45" s="697" t="s">
        <v>178</v>
      </c>
      <c r="T45" s="697"/>
      <c r="U45" s="697"/>
      <c r="V45" s="697" t="s">
        <v>178</v>
      </c>
      <c r="W45" s="697" t="s">
        <v>178</v>
      </c>
      <c r="X45" s="697" t="s">
        <v>178</v>
      </c>
      <c r="Y45" s="697" t="s">
        <v>178</v>
      </c>
    </row>
    <row r="46" spans="1:25">
      <c r="A46" s="1051">
        <f t="shared" si="0"/>
        <v>42</v>
      </c>
      <c r="B46" s="704" t="s">
        <v>175</v>
      </c>
      <c r="C46" s="978" t="s">
        <v>255</v>
      </c>
      <c r="D46" s="697" t="s">
        <v>256</v>
      </c>
      <c r="E46" s="697" t="s">
        <v>178</v>
      </c>
      <c r="F46" s="1049">
        <f t="shared" si="1"/>
        <v>18.100000000000001</v>
      </c>
      <c r="G46" s="978" t="s">
        <v>193</v>
      </c>
      <c r="H46" s="978" t="s">
        <v>180</v>
      </c>
      <c r="I46" s="697" t="s">
        <v>178</v>
      </c>
      <c r="J46" s="704" t="s">
        <v>178</v>
      </c>
      <c r="K46" s="704" t="s">
        <v>178</v>
      </c>
      <c r="L46" s="704" t="s">
        <v>178</v>
      </c>
      <c r="M46" s="697"/>
      <c r="N46" s="697"/>
      <c r="O46" s="704" t="s">
        <v>178</v>
      </c>
      <c r="P46" s="697"/>
      <c r="Q46" s="697"/>
      <c r="R46" s="697" t="s">
        <v>178</v>
      </c>
      <c r="S46" s="697" t="s">
        <v>178</v>
      </c>
      <c r="T46" s="697"/>
      <c r="U46" s="697"/>
      <c r="V46" s="697" t="s">
        <v>178</v>
      </c>
      <c r="W46" s="697"/>
      <c r="X46" s="697" t="s">
        <v>178</v>
      </c>
      <c r="Y46" s="697" t="s">
        <v>178</v>
      </c>
    </row>
    <row r="47" spans="1:25">
      <c r="A47" s="1051">
        <f t="shared" si="0"/>
        <v>43</v>
      </c>
      <c r="B47" s="704" t="s">
        <v>175</v>
      </c>
      <c r="C47" s="978" t="s">
        <v>257</v>
      </c>
      <c r="D47" s="697" t="s">
        <v>258</v>
      </c>
      <c r="E47" s="697" t="s">
        <v>178</v>
      </c>
      <c r="F47" s="1049">
        <f t="shared" si="1"/>
        <v>18.200000000000003</v>
      </c>
      <c r="G47" s="978" t="s">
        <v>193</v>
      </c>
      <c r="H47" s="978" t="s">
        <v>180</v>
      </c>
      <c r="I47" s="697" t="s">
        <v>178</v>
      </c>
      <c r="J47" s="704" t="s">
        <v>178</v>
      </c>
      <c r="K47" s="704" t="s">
        <v>178</v>
      </c>
      <c r="L47" s="704" t="s">
        <v>178</v>
      </c>
      <c r="M47" s="697"/>
      <c r="N47" s="697"/>
      <c r="O47" s="704" t="s">
        <v>178</v>
      </c>
      <c r="P47" s="697"/>
      <c r="Q47" s="697"/>
      <c r="R47" s="697" t="s">
        <v>178</v>
      </c>
      <c r="S47" s="697" t="s">
        <v>178</v>
      </c>
      <c r="T47" s="697"/>
      <c r="U47" s="697"/>
      <c r="V47" s="697" t="s">
        <v>178</v>
      </c>
      <c r="W47" s="697"/>
      <c r="X47" s="697" t="s">
        <v>178</v>
      </c>
      <c r="Y47" s="697" t="s">
        <v>178</v>
      </c>
    </row>
    <row r="48" spans="1:25">
      <c r="A48" s="1051">
        <f t="shared" si="0"/>
        <v>44</v>
      </c>
      <c r="B48" s="704" t="s">
        <v>175</v>
      </c>
      <c r="C48" s="978" t="s">
        <v>259</v>
      </c>
      <c r="D48" s="697" t="s">
        <v>260</v>
      </c>
      <c r="E48" s="697" t="s">
        <v>178</v>
      </c>
      <c r="F48" s="1049">
        <f t="shared" si="1"/>
        <v>18.300000000000004</v>
      </c>
      <c r="G48" s="978" t="s">
        <v>193</v>
      </c>
      <c r="H48" s="978" t="s">
        <v>180</v>
      </c>
      <c r="I48" s="697" t="s">
        <v>178</v>
      </c>
      <c r="J48" s="704" t="s">
        <v>178</v>
      </c>
      <c r="K48" s="704" t="s">
        <v>178</v>
      </c>
      <c r="L48" s="704" t="s">
        <v>178</v>
      </c>
      <c r="M48" s="697"/>
      <c r="N48" s="697"/>
      <c r="O48" s="704" t="s">
        <v>178</v>
      </c>
      <c r="P48" s="697"/>
      <c r="Q48" s="697"/>
      <c r="R48" s="697" t="s">
        <v>178</v>
      </c>
      <c r="S48" s="697" t="s">
        <v>178</v>
      </c>
      <c r="T48" s="697"/>
      <c r="U48" s="697"/>
      <c r="V48" s="697" t="s">
        <v>178</v>
      </c>
      <c r="W48" s="697"/>
      <c r="X48" s="697" t="s">
        <v>178</v>
      </c>
      <c r="Y48" s="697"/>
    </row>
    <row r="49" spans="1:25">
      <c r="A49" s="1051">
        <f t="shared" si="0"/>
        <v>45</v>
      </c>
      <c r="B49" s="704" t="s">
        <v>175</v>
      </c>
      <c r="C49" s="978" t="s">
        <v>261</v>
      </c>
      <c r="D49" s="697" t="s">
        <v>262</v>
      </c>
      <c r="E49" s="697" t="s">
        <v>178</v>
      </c>
      <c r="F49" s="1049">
        <f t="shared" si="1"/>
        <v>18.400000000000006</v>
      </c>
      <c r="G49" s="978" t="s">
        <v>193</v>
      </c>
      <c r="H49" s="978" t="s">
        <v>180</v>
      </c>
      <c r="I49" s="697" t="s">
        <v>178</v>
      </c>
      <c r="J49" s="704" t="s">
        <v>198</v>
      </c>
      <c r="K49" s="704"/>
      <c r="L49" s="697"/>
      <c r="M49" s="697"/>
      <c r="N49" s="697"/>
      <c r="O49" s="697"/>
      <c r="P49" s="697"/>
      <c r="Q49" s="697"/>
      <c r="R49" s="697" t="s">
        <v>178</v>
      </c>
      <c r="S49" s="697" t="s">
        <v>178</v>
      </c>
      <c r="T49" s="697"/>
      <c r="U49" s="697"/>
      <c r="V49" s="697"/>
      <c r="W49" s="697"/>
      <c r="X49" s="697" t="s">
        <v>178</v>
      </c>
      <c r="Y49" s="697" t="s">
        <v>178</v>
      </c>
    </row>
    <row r="50" spans="1:25">
      <c r="A50" s="1051">
        <f t="shared" si="0"/>
        <v>46</v>
      </c>
      <c r="B50" s="704" t="s">
        <v>175</v>
      </c>
      <c r="C50" s="978" t="s">
        <v>263</v>
      </c>
      <c r="D50" s="697" t="s">
        <v>264</v>
      </c>
      <c r="E50" s="697" t="s">
        <v>178</v>
      </c>
      <c r="F50" s="1049">
        <f t="shared" si="1"/>
        <v>18.500000000000007</v>
      </c>
      <c r="G50" s="978" t="s">
        <v>193</v>
      </c>
      <c r="H50" s="978" t="s">
        <v>180</v>
      </c>
      <c r="I50" s="697" t="s">
        <v>178</v>
      </c>
      <c r="J50" s="704" t="s">
        <v>178</v>
      </c>
      <c r="K50" s="704" t="s">
        <v>178</v>
      </c>
      <c r="L50" s="704" t="s">
        <v>178</v>
      </c>
      <c r="M50" s="697"/>
      <c r="N50" s="697"/>
      <c r="O50" s="704" t="s">
        <v>178</v>
      </c>
      <c r="P50" s="697"/>
      <c r="Q50" s="697"/>
      <c r="R50" s="697" t="s">
        <v>178</v>
      </c>
      <c r="S50" s="697" t="s">
        <v>178</v>
      </c>
      <c r="T50" s="697"/>
      <c r="U50" s="697"/>
      <c r="V50" s="697" t="s">
        <v>178</v>
      </c>
      <c r="W50" s="697" t="s">
        <v>178</v>
      </c>
      <c r="X50" s="697" t="s">
        <v>178</v>
      </c>
      <c r="Y50" s="697" t="s">
        <v>178</v>
      </c>
    </row>
    <row r="51" spans="1:25" ht="26.45">
      <c r="A51" s="1051">
        <f t="shared" si="0"/>
        <v>47</v>
      </c>
      <c r="B51" s="704" t="s">
        <v>175</v>
      </c>
      <c r="C51" s="978" t="s">
        <v>265</v>
      </c>
      <c r="D51" s="697" t="s">
        <v>266</v>
      </c>
      <c r="E51" s="697" t="s">
        <v>178</v>
      </c>
      <c r="F51" s="1049">
        <f t="shared" si="1"/>
        <v>18.600000000000009</v>
      </c>
      <c r="G51" s="978" t="s">
        <v>193</v>
      </c>
      <c r="H51" s="978" t="s">
        <v>180</v>
      </c>
      <c r="I51" s="697" t="s">
        <v>178</v>
      </c>
      <c r="J51" s="704" t="s">
        <v>178</v>
      </c>
      <c r="K51" s="704" t="s">
        <v>178</v>
      </c>
      <c r="L51" s="704" t="s">
        <v>178</v>
      </c>
      <c r="M51" s="697"/>
      <c r="N51" s="697"/>
      <c r="O51" s="704" t="s">
        <v>178</v>
      </c>
      <c r="P51" s="697"/>
      <c r="Q51" s="697"/>
      <c r="R51" s="697" t="s">
        <v>178</v>
      </c>
      <c r="S51" s="697"/>
      <c r="T51" s="697"/>
      <c r="U51" s="697"/>
      <c r="V51" s="697" t="s">
        <v>178</v>
      </c>
      <c r="W51" s="697" t="s">
        <v>178</v>
      </c>
      <c r="X51" s="697" t="s">
        <v>178</v>
      </c>
      <c r="Y51" s="697" t="s">
        <v>178</v>
      </c>
    </row>
    <row r="52" spans="1:25">
      <c r="A52" s="1051">
        <f t="shared" si="0"/>
        <v>48</v>
      </c>
      <c r="B52" s="697" t="s">
        <v>7</v>
      </c>
      <c r="C52" s="977" t="s">
        <v>267</v>
      </c>
      <c r="D52" s="697" t="s">
        <v>268</v>
      </c>
      <c r="E52" s="697" t="s">
        <v>178</v>
      </c>
      <c r="F52" s="1049">
        <f t="shared" si="1"/>
        <v>19</v>
      </c>
      <c r="G52" s="978" t="s">
        <v>179</v>
      </c>
      <c r="H52" s="978" t="s">
        <v>187</v>
      </c>
      <c r="I52" s="697" t="s">
        <v>178</v>
      </c>
      <c r="J52" s="704" t="s">
        <v>178</v>
      </c>
      <c r="K52" s="704" t="s">
        <v>178</v>
      </c>
      <c r="L52" s="704" t="s">
        <v>178</v>
      </c>
      <c r="M52" s="697"/>
      <c r="N52" s="697"/>
      <c r="O52" s="704" t="s">
        <v>178</v>
      </c>
      <c r="P52" s="697"/>
      <c r="Q52" s="697"/>
      <c r="R52" s="697" t="s">
        <v>178</v>
      </c>
      <c r="S52" s="697" t="s">
        <v>178</v>
      </c>
      <c r="T52" s="697"/>
      <c r="U52" s="697"/>
      <c r="V52" s="697" t="s">
        <v>178</v>
      </c>
      <c r="W52" s="697" t="s">
        <v>178</v>
      </c>
      <c r="X52" s="697" t="s">
        <v>178</v>
      </c>
      <c r="Y52" s="697" t="s">
        <v>178</v>
      </c>
    </row>
    <row r="53" spans="1:25">
      <c r="A53" s="1051">
        <f t="shared" si="0"/>
        <v>49</v>
      </c>
      <c r="B53" s="697" t="s">
        <v>7</v>
      </c>
      <c r="C53" s="977" t="s">
        <v>269</v>
      </c>
      <c r="D53" s="697" t="s">
        <v>270</v>
      </c>
      <c r="E53" s="697" t="s">
        <v>178</v>
      </c>
      <c r="F53" s="1049">
        <f t="shared" si="1"/>
        <v>20</v>
      </c>
      <c r="G53" s="978" t="s">
        <v>179</v>
      </c>
      <c r="H53" s="978" t="s">
        <v>187</v>
      </c>
      <c r="I53" s="697" t="s">
        <v>178</v>
      </c>
      <c r="J53" s="704" t="s">
        <v>178</v>
      </c>
      <c r="K53" s="704" t="s">
        <v>178</v>
      </c>
      <c r="L53" s="704" t="s">
        <v>178</v>
      </c>
      <c r="M53" s="697"/>
      <c r="N53" s="697"/>
      <c r="O53" s="697"/>
      <c r="P53" s="697"/>
      <c r="Q53" s="697"/>
      <c r="R53" s="697"/>
      <c r="S53" s="697"/>
      <c r="T53" s="697"/>
      <c r="U53" s="697"/>
      <c r="V53" s="697"/>
      <c r="W53" s="697"/>
      <c r="X53" s="697"/>
      <c r="Y53" s="697"/>
    </row>
    <row r="54" spans="1:25">
      <c r="A54" s="1051">
        <f t="shared" si="0"/>
        <v>50</v>
      </c>
      <c r="B54" s="697" t="s">
        <v>7</v>
      </c>
      <c r="C54" s="977" t="s">
        <v>225</v>
      </c>
      <c r="D54" s="697" t="s">
        <v>271</v>
      </c>
      <c r="E54" s="697" t="s">
        <v>178</v>
      </c>
      <c r="F54" s="1049">
        <f t="shared" si="1"/>
        <v>21</v>
      </c>
      <c r="G54" s="978" t="s">
        <v>179</v>
      </c>
      <c r="H54" s="978" t="s">
        <v>187</v>
      </c>
      <c r="I54" s="697" t="s">
        <v>178</v>
      </c>
      <c r="J54" s="697"/>
      <c r="K54" s="697"/>
      <c r="L54" s="697"/>
      <c r="M54" s="697"/>
      <c r="N54" s="697"/>
      <c r="O54" s="697"/>
      <c r="P54" s="697"/>
      <c r="Q54" s="697"/>
      <c r="R54" s="697"/>
      <c r="S54" s="697"/>
      <c r="T54" s="697"/>
      <c r="U54" s="697"/>
      <c r="V54" s="697"/>
      <c r="W54" s="697"/>
      <c r="X54" s="697"/>
      <c r="Y54" s="697"/>
    </row>
    <row r="55" spans="1:25">
      <c r="A55" s="1051">
        <f t="shared" si="0"/>
        <v>51</v>
      </c>
      <c r="B55" s="697" t="s">
        <v>7</v>
      </c>
      <c r="C55" s="977" t="s">
        <v>227</v>
      </c>
      <c r="D55" s="697" t="s">
        <v>272</v>
      </c>
      <c r="E55" s="697" t="s">
        <v>178</v>
      </c>
      <c r="F55" s="1049">
        <f t="shared" si="1"/>
        <v>22</v>
      </c>
      <c r="G55" s="978" t="s">
        <v>179</v>
      </c>
      <c r="H55" s="978" t="s">
        <v>187</v>
      </c>
      <c r="I55" s="697" t="s">
        <v>178</v>
      </c>
      <c r="J55" s="704" t="s">
        <v>178</v>
      </c>
      <c r="K55" s="704" t="s">
        <v>178</v>
      </c>
      <c r="L55" s="704" t="s">
        <v>178</v>
      </c>
      <c r="M55" s="697"/>
      <c r="N55" s="697"/>
      <c r="O55" s="704" t="s">
        <v>178</v>
      </c>
      <c r="P55" s="697"/>
      <c r="Q55" s="697"/>
      <c r="R55" s="697" t="s">
        <v>178</v>
      </c>
      <c r="S55" s="697" t="s">
        <v>178</v>
      </c>
      <c r="T55" s="697"/>
      <c r="U55" s="697"/>
      <c r="V55" s="697" t="s">
        <v>178</v>
      </c>
      <c r="W55" s="697"/>
      <c r="X55" s="697" t="s">
        <v>178</v>
      </c>
      <c r="Y55" s="697"/>
    </row>
    <row r="56" spans="1:25">
      <c r="A56" s="1051">
        <f t="shared" si="0"/>
        <v>52</v>
      </c>
      <c r="B56" s="697" t="s">
        <v>7</v>
      </c>
      <c r="C56" s="977" t="s">
        <v>273</v>
      </c>
      <c r="D56" s="697" t="s">
        <v>274</v>
      </c>
      <c r="E56" s="697" t="s">
        <v>178</v>
      </c>
      <c r="F56" s="1049">
        <f t="shared" si="1"/>
        <v>23</v>
      </c>
      <c r="G56" s="978" t="s">
        <v>179</v>
      </c>
      <c r="H56" s="978" t="s">
        <v>187</v>
      </c>
      <c r="I56" s="697" t="s">
        <v>178</v>
      </c>
      <c r="J56" s="704" t="s">
        <v>178</v>
      </c>
      <c r="K56" s="704" t="s">
        <v>178</v>
      </c>
      <c r="L56" s="704" t="s">
        <v>178</v>
      </c>
      <c r="M56" s="697"/>
      <c r="N56" s="697"/>
      <c r="O56" s="704" t="s">
        <v>178</v>
      </c>
      <c r="P56" s="697"/>
      <c r="Q56" s="697"/>
      <c r="R56" s="697"/>
      <c r="S56" s="697"/>
      <c r="T56" s="697"/>
      <c r="U56" s="697"/>
      <c r="V56" s="697" t="s">
        <v>178</v>
      </c>
      <c r="W56" s="697"/>
      <c r="X56" s="697"/>
      <c r="Y56" s="697"/>
    </row>
    <row r="57" spans="1:25">
      <c r="A57" s="1051">
        <f t="shared" si="0"/>
        <v>53</v>
      </c>
      <c r="B57" s="697" t="s">
        <v>7</v>
      </c>
      <c r="C57" s="977" t="s">
        <v>275</v>
      </c>
      <c r="D57" s="697" t="s">
        <v>276</v>
      </c>
      <c r="E57" s="697" t="s">
        <v>178</v>
      </c>
      <c r="F57" s="1049">
        <f t="shared" si="1"/>
        <v>24</v>
      </c>
      <c r="G57" s="978" t="s">
        <v>179</v>
      </c>
      <c r="H57" s="978" t="s">
        <v>187</v>
      </c>
      <c r="I57" s="697" t="s">
        <v>178</v>
      </c>
      <c r="J57" s="704" t="s">
        <v>178</v>
      </c>
      <c r="K57" s="704" t="s">
        <v>178</v>
      </c>
      <c r="L57" s="704" t="s">
        <v>178</v>
      </c>
      <c r="M57" s="697"/>
      <c r="N57" s="697"/>
      <c r="O57" s="704" t="s">
        <v>178</v>
      </c>
      <c r="P57" s="697"/>
      <c r="Q57" s="697"/>
      <c r="R57" s="697"/>
      <c r="S57" s="697" t="s">
        <v>178</v>
      </c>
      <c r="T57" s="697"/>
      <c r="U57" s="697"/>
      <c r="V57" s="697"/>
      <c r="W57" s="697"/>
      <c r="X57" s="697"/>
      <c r="Y57" s="697"/>
    </row>
    <row r="58" spans="1:25">
      <c r="A58" s="1051">
        <f t="shared" si="0"/>
        <v>54</v>
      </c>
      <c r="B58" s="697" t="s">
        <v>7</v>
      </c>
      <c r="C58" s="979" t="s">
        <v>277</v>
      </c>
      <c r="D58" s="980"/>
      <c r="E58" s="980" t="s">
        <v>178</v>
      </c>
      <c r="F58" s="1049">
        <f t="shared" si="1"/>
        <v>24</v>
      </c>
      <c r="G58" s="978" t="s">
        <v>246</v>
      </c>
      <c r="H58" s="978" t="s">
        <v>187</v>
      </c>
      <c r="I58" s="697" t="s">
        <v>178</v>
      </c>
      <c r="J58" s="697" t="s">
        <v>246</v>
      </c>
      <c r="K58" s="697" t="s">
        <v>246</v>
      </c>
      <c r="L58" s="697" t="s">
        <v>246</v>
      </c>
      <c r="M58" s="697" t="s">
        <v>246</v>
      </c>
      <c r="N58" s="697" t="s">
        <v>246</v>
      </c>
      <c r="O58" s="697" t="s">
        <v>246</v>
      </c>
      <c r="P58" s="697" t="s">
        <v>246</v>
      </c>
      <c r="Q58" s="697" t="s">
        <v>246</v>
      </c>
      <c r="R58" s="697" t="s">
        <v>246</v>
      </c>
      <c r="S58" s="697" t="s">
        <v>246</v>
      </c>
      <c r="T58" s="697" t="s">
        <v>246</v>
      </c>
      <c r="U58" s="697" t="s">
        <v>246</v>
      </c>
      <c r="V58" s="697" t="s">
        <v>246</v>
      </c>
      <c r="W58" s="697" t="s">
        <v>246</v>
      </c>
      <c r="X58" s="697" t="s">
        <v>246</v>
      </c>
      <c r="Y58" s="697" t="s">
        <v>246</v>
      </c>
    </row>
    <row r="59" spans="1:25">
      <c r="A59" s="1051">
        <f t="shared" si="0"/>
        <v>55</v>
      </c>
      <c r="B59" s="697" t="s">
        <v>7</v>
      </c>
      <c r="C59" s="979" t="s">
        <v>278</v>
      </c>
      <c r="D59" s="980"/>
      <c r="E59" s="980" t="s">
        <v>178</v>
      </c>
      <c r="F59" s="1049">
        <f t="shared" si="1"/>
        <v>24</v>
      </c>
      <c r="G59" s="978" t="s">
        <v>246</v>
      </c>
      <c r="H59" s="978" t="s">
        <v>187</v>
      </c>
      <c r="I59" s="697" t="s">
        <v>178</v>
      </c>
      <c r="J59" s="697" t="s">
        <v>246</v>
      </c>
      <c r="K59" s="697" t="s">
        <v>246</v>
      </c>
      <c r="L59" s="697" t="s">
        <v>246</v>
      </c>
      <c r="M59" s="697" t="s">
        <v>246</v>
      </c>
      <c r="N59" s="697" t="s">
        <v>246</v>
      </c>
      <c r="O59" s="697" t="s">
        <v>246</v>
      </c>
      <c r="P59" s="697" t="s">
        <v>246</v>
      </c>
      <c r="Q59" s="697" t="s">
        <v>246</v>
      </c>
      <c r="R59" s="697" t="s">
        <v>246</v>
      </c>
      <c r="S59" s="697" t="s">
        <v>246</v>
      </c>
      <c r="T59" s="697" t="s">
        <v>246</v>
      </c>
      <c r="U59" s="697" t="s">
        <v>246</v>
      </c>
      <c r="V59" s="697" t="s">
        <v>246</v>
      </c>
      <c r="W59" s="697" t="s">
        <v>246</v>
      </c>
      <c r="X59" s="697" t="s">
        <v>246</v>
      </c>
      <c r="Y59" s="697" t="s">
        <v>246</v>
      </c>
    </row>
    <row r="60" spans="1:25">
      <c r="A60" s="1051">
        <f t="shared" si="0"/>
        <v>56</v>
      </c>
      <c r="B60" s="697" t="s">
        <v>7</v>
      </c>
      <c r="C60" s="979" t="s">
        <v>279</v>
      </c>
      <c r="D60" s="980"/>
      <c r="E60" s="980" t="s">
        <v>178</v>
      </c>
      <c r="F60" s="1049">
        <f t="shared" si="1"/>
        <v>24</v>
      </c>
      <c r="G60" s="978" t="s">
        <v>186</v>
      </c>
      <c r="H60" s="978" t="s">
        <v>187</v>
      </c>
      <c r="I60" s="697" t="s">
        <v>178</v>
      </c>
      <c r="J60" s="697" t="s">
        <v>186</v>
      </c>
      <c r="K60" s="697" t="s">
        <v>186</v>
      </c>
      <c r="L60" s="697" t="s">
        <v>186</v>
      </c>
      <c r="M60" s="697" t="s">
        <v>186</v>
      </c>
      <c r="N60" s="697" t="s">
        <v>186</v>
      </c>
      <c r="O60" s="697" t="s">
        <v>186</v>
      </c>
      <c r="P60" s="697" t="s">
        <v>186</v>
      </c>
      <c r="Q60" s="697" t="s">
        <v>186</v>
      </c>
      <c r="R60" s="697" t="s">
        <v>186</v>
      </c>
      <c r="S60" s="697" t="s">
        <v>186</v>
      </c>
      <c r="T60" s="697" t="s">
        <v>186</v>
      </c>
      <c r="U60" s="697" t="s">
        <v>186</v>
      </c>
      <c r="V60" s="697" t="s">
        <v>186</v>
      </c>
      <c r="W60" s="697" t="s">
        <v>186</v>
      </c>
      <c r="X60" s="697" t="s">
        <v>186</v>
      </c>
      <c r="Y60" s="697" t="s">
        <v>186</v>
      </c>
    </row>
    <row r="61" spans="1:25">
      <c r="A61" s="1051">
        <f t="shared" si="0"/>
        <v>57</v>
      </c>
      <c r="B61" s="697" t="s">
        <v>7</v>
      </c>
      <c r="C61" s="979" t="s">
        <v>280</v>
      </c>
      <c r="D61" s="980"/>
      <c r="E61" s="980" t="s">
        <v>178</v>
      </c>
      <c r="F61" s="1049">
        <f t="shared" si="1"/>
        <v>24</v>
      </c>
      <c r="G61" s="978" t="s">
        <v>186</v>
      </c>
      <c r="H61" s="978" t="s">
        <v>187</v>
      </c>
      <c r="I61" s="697" t="s">
        <v>178</v>
      </c>
      <c r="J61" s="697" t="s">
        <v>186</v>
      </c>
      <c r="K61" s="697" t="s">
        <v>186</v>
      </c>
      <c r="L61" s="697" t="s">
        <v>186</v>
      </c>
      <c r="M61" s="697" t="s">
        <v>186</v>
      </c>
      <c r="N61" s="697" t="s">
        <v>186</v>
      </c>
      <c r="O61" s="697" t="s">
        <v>186</v>
      </c>
      <c r="P61" s="697" t="s">
        <v>186</v>
      </c>
      <c r="Q61" s="697" t="s">
        <v>186</v>
      </c>
      <c r="R61" s="697" t="s">
        <v>186</v>
      </c>
      <c r="S61" s="697" t="s">
        <v>186</v>
      </c>
      <c r="T61" s="697" t="s">
        <v>186</v>
      </c>
      <c r="U61" s="697" t="s">
        <v>186</v>
      </c>
      <c r="V61" s="697" t="s">
        <v>186</v>
      </c>
      <c r="W61" s="697" t="s">
        <v>186</v>
      </c>
      <c r="X61" s="697" t="s">
        <v>186</v>
      </c>
      <c r="Y61" s="697" t="s">
        <v>186</v>
      </c>
    </row>
    <row r="62" spans="1:25">
      <c r="A62" s="1051">
        <f t="shared" si="0"/>
        <v>58</v>
      </c>
      <c r="B62" s="697" t="s">
        <v>7</v>
      </c>
      <c r="C62" s="977" t="s">
        <v>281</v>
      </c>
      <c r="D62" s="697" t="s">
        <v>282</v>
      </c>
      <c r="E62" s="697" t="s">
        <v>178</v>
      </c>
      <c r="F62" s="1049">
        <f t="shared" si="1"/>
        <v>25</v>
      </c>
      <c r="G62" s="978" t="s">
        <v>179</v>
      </c>
      <c r="H62" s="978" t="s">
        <v>187</v>
      </c>
      <c r="I62" s="697" t="s">
        <v>178</v>
      </c>
      <c r="J62" s="704" t="s">
        <v>178</v>
      </c>
      <c r="K62" s="704" t="s">
        <v>178</v>
      </c>
      <c r="L62" s="704" t="s">
        <v>178</v>
      </c>
      <c r="M62" s="697"/>
      <c r="N62" s="697"/>
      <c r="O62" s="704" t="s">
        <v>178</v>
      </c>
      <c r="P62" s="704" t="s">
        <v>178</v>
      </c>
      <c r="Q62" s="697"/>
      <c r="R62" s="697" t="s">
        <v>178</v>
      </c>
      <c r="S62" s="697" t="s">
        <v>178</v>
      </c>
      <c r="T62" s="697"/>
      <c r="U62" s="697"/>
      <c r="V62" s="697" t="s">
        <v>178</v>
      </c>
      <c r="W62" s="697" t="s">
        <v>178</v>
      </c>
      <c r="X62" s="697" t="s">
        <v>178</v>
      </c>
      <c r="Y62" s="697" t="s">
        <v>178</v>
      </c>
    </row>
    <row r="63" spans="1:25" ht="26.45">
      <c r="A63" s="1051">
        <f t="shared" si="0"/>
        <v>59</v>
      </c>
      <c r="B63" s="704" t="s">
        <v>175</v>
      </c>
      <c r="C63" s="978" t="s">
        <v>283</v>
      </c>
      <c r="D63" s="697" t="s">
        <v>284</v>
      </c>
      <c r="E63" s="697" t="s">
        <v>178</v>
      </c>
      <c r="F63" s="1049">
        <f t="shared" si="1"/>
        <v>25.1</v>
      </c>
      <c r="G63" s="978" t="s">
        <v>193</v>
      </c>
      <c r="H63" s="978" t="s">
        <v>180</v>
      </c>
      <c r="I63" s="697" t="s">
        <v>178</v>
      </c>
      <c r="J63" s="704" t="s">
        <v>178</v>
      </c>
      <c r="K63" s="704" t="s">
        <v>178</v>
      </c>
      <c r="L63" s="704" t="s">
        <v>178</v>
      </c>
      <c r="M63" s="697"/>
      <c r="N63" s="697"/>
      <c r="O63" s="704" t="s">
        <v>178</v>
      </c>
      <c r="P63" s="697"/>
      <c r="Q63" s="697"/>
      <c r="R63" s="697" t="s">
        <v>178</v>
      </c>
      <c r="S63" s="697" t="s">
        <v>178</v>
      </c>
      <c r="T63" s="697"/>
      <c r="U63" s="697"/>
      <c r="V63" s="697" t="s">
        <v>178</v>
      </c>
      <c r="W63" s="697"/>
      <c r="X63" s="697" t="s">
        <v>178</v>
      </c>
      <c r="Y63" s="697" t="s">
        <v>178</v>
      </c>
    </row>
    <row r="64" spans="1:25" ht="26.45">
      <c r="A64" s="1051">
        <f t="shared" si="0"/>
        <v>60</v>
      </c>
      <c r="B64" s="704" t="s">
        <v>175</v>
      </c>
      <c r="C64" s="978" t="s">
        <v>285</v>
      </c>
      <c r="D64" s="697" t="s">
        <v>286</v>
      </c>
      <c r="E64" s="697" t="s">
        <v>178</v>
      </c>
      <c r="F64" s="1049">
        <f t="shared" si="1"/>
        <v>25.200000000000003</v>
      </c>
      <c r="G64" s="978" t="s">
        <v>193</v>
      </c>
      <c r="H64" s="978" t="s">
        <v>180</v>
      </c>
      <c r="I64" s="697" t="s">
        <v>178</v>
      </c>
      <c r="J64" s="704" t="s">
        <v>178</v>
      </c>
      <c r="K64" s="704" t="s">
        <v>178</v>
      </c>
      <c r="L64" s="704" t="s">
        <v>178</v>
      </c>
      <c r="M64" s="697"/>
      <c r="N64" s="697"/>
      <c r="O64" s="704" t="s">
        <v>178</v>
      </c>
      <c r="P64" s="697"/>
      <c r="Q64" s="697"/>
      <c r="R64" s="697" t="s">
        <v>178</v>
      </c>
      <c r="S64" s="697"/>
      <c r="T64" s="697"/>
      <c r="U64" s="697"/>
      <c r="V64" s="697"/>
      <c r="W64" s="697"/>
      <c r="X64" s="697" t="s">
        <v>178</v>
      </c>
      <c r="Y64" s="697"/>
    </row>
    <row r="65" spans="1:25">
      <c r="A65" s="1051">
        <f t="shared" si="0"/>
        <v>61</v>
      </c>
      <c r="B65" s="704" t="s">
        <v>175</v>
      </c>
      <c r="C65" s="978" t="s">
        <v>287</v>
      </c>
      <c r="D65" s="697" t="s">
        <v>288</v>
      </c>
      <c r="E65" s="697" t="s">
        <v>178</v>
      </c>
      <c r="F65" s="1049">
        <f t="shared" si="1"/>
        <v>25.300000000000004</v>
      </c>
      <c r="G65" s="978" t="s">
        <v>193</v>
      </c>
      <c r="H65" s="978" t="s">
        <v>180</v>
      </c>
      <c r="I65" s="697" t="s">
        <v>178</v>
      </c>
      <c r="J65" s="704" t="s">
        <v>178</v>
      </c>
      <c r="K65" s="704" t="s">
        <v>178</v>
      </c>
      <c r="L65" s="704" t="s">
        <v>178</v>
      </c>
      <c r="M65" s="697"/>
      <c r="N65" s="697"/>
      <c r="O65" s="704" t="s">
        <v>178</v>
      </c>
      <c r="P65" s="697"/>
      <c r="Q65" s="697"/>
      <c r="R65" s="697" t="s">
        <v>178</v>
      </c>
      <c r="S65" s="697" t="s">
        <v>178</v>
      </c>
      <c r="T65" s="697"/>
      <c r="U65" s="697"/>
      <c r="V65" s="697" t="s">
        <v>178</v>
      </c>
      <c r="W65" s="697"/>
      <c r="X65" s="697" t="s">
        <v>178</v>
      </c>
      <c r="Y65" s="697"/>
    </row>
    <row r="66" spans="1:25" ht="26.45">
      <c r="A66" s="1051">
        <f t="shared" si="0"/>
        <v>62</v>
      </c>
      <c r="B66" s="704" t="s">
        <v>175</v>
      </c>
      <c r="C66" s="978" t="s">
        <v>289</v>
      </c>
      <c r="D66" s="697" t="s">
        <v>290</v>
      </c>
      <c r="E66" s="697" t="s">
        <v>178</v>
      </c>
      <c r="F66" s="1049">
        <f t="shared" si="1"/>
        <v>25.400000000000006</v>
      </c>
      <c r="G66" s="978" t="s">
        <v>193</v>
      </c>
      <c r="H66" s="978" t="s">
        <v>180</v>
      </c>
      <c r="I66" s="697" t="s">
        <v>178</v>
      </c>
      <c r="J66" s="704" t="s">
        <v>178</v>
      </c>
      <c r="K66" s="704" t="s">
        <v>178</v>
      </c>
      <c r="L66" s="704" t="s">
        <v>178</v>
      </c>
      <c r="M66" s="697"/>
      <c r="N66" s="697"/>
      <c r="O66" s="704" t="s">
        <v>178</v>
      </c>
      <c r="P66" s="697"/>
      <c r="Q66" s="697"/>
      <c r="R66" s="697"/>
      <c r="S66" s="697" t="s">
        <v>178</v>
      </c>
      <c r="T66" s="697"/>
      <c r="U66" s="697"/>
      <c r="V66" s="697" t="s">
        <v>178</v>
      </c>
      <c r="W66" s="697"/>
      <c r="X66" s="697" t="s">
        <v>178</v>
      </c>
      <c r="Y66" s="697" t="s">
        <v>178</v>
      </c>
    </row>
    <row r="67" spans="1:25">
      <c r="A67" s="1051">
        <f t="shared" si="0"/>
        <v>63</v>
      </c>
      <c r="B67" s="704" t="s">
        <v>175</v>
      </c>
      <c r="C67" s="978" t="s">
        <v>291</v>
      </c>
      <c r="D67" s="697" t="s">
        <v>292</v>
      </c>
      <c r="E67" s="697" t="s">
        <v>178</v>
      </c>
      <c r="F67" s="1049">
        <f t="shared" si="1"/>
        <v>25.500000000000007</v>
      </c>
      <c r="G67" s="978" t="s">
        <v>193</v>
      </c>
      <c r="H67" s="978" t="s">
        <v>180</v>
      </c>
      <c r="I67" s="697" t="s">
        <v>178</v>
      </c>
      <c r="J67" s="704" t="s">
        <v>178</v>
      </c>
      <c r="K67" s="704" t="s">
        <v>178</v>
      </c>
      <c r="L67" s="704" t="s">
        <v>178</v>
      </c>
      <c r="M67" s="697"/>
      <c r="N67" s="697"/>
      <c r="O67" s="704" t="s">
        <v>178</v>
      </c>
      <c r="P67" s="697"/>
      <c r="Q67" s="697"/>
      <c r="R67" s="697"/>
      <c r="S67" s="697"/>
      <c r="T67" s="697"/>
      <c r="U67" s="697"/>
      <c r="V67" s="697"/>
      <c r="W67" s="697"/>
      <c r="X67" s="697"/>
      <c r="Y67" s="697"/>
    </row>
    <row r="68" spans="1:25">
      <c r="A68" s="1051">
        <f t="shared" si="0"/>
        <v>64</v>
      </c>
      <c r="B68" s="697" t="s">
        <v>7</v>
      </c>
      <c r="C68" s="977" t="s">
        <v>44</v>
      </c>
      <c r="D68" s="697" t="s">
        <v>293</v>
      </c>
      <c r="E68" s="697" t="s">
        <v>178</v>
      </c>
      <c r="F68" s="1049">
        <f t="shared" si="1"/>
        <v>26</v>
      </c>
      <c r="G68" s="978" t="s">
        <v>179</v>
      </c>
      <c r="H68" s="978" t="s">
        <v>187</v>
      </c>
      <c r="I68" s="697" t="s">
        <v>178</v>
      </c>
      <c r="J68" s="704" t="s">
        <v>178</v>
      </c>
      <c r="K68" s="704" t="s">
        <v>178</v>
      </c>
      <c r="L68" s="704" t="s">
        <v>178</v>
      </c>
      <c r="M68" s="697"/>
      <c r="N68" s="697"/>
      <c r="O68" s="704" t="s">
        <v>178</v>
      </c>
      <c r="P68" s="697"/>
      <c r="Q68" s="697"/>
      <c r="R68" s="697" t="s">
        <v>178</v>
      </c>
      <c r="S68" s="697" t="s">
        <v>178</v>
      </c>
      <c r="T68" s="697"/>
      <c r="U68" s="697"/>
      <c r="V68" s="697" t="s">
        <v>178</v>
      </c>
      <c r="W68" s="697"/>
      <c r="X68" s="697" t="s">
        <v>178</v>
      </c>
      <c r="Y68" s="697" t="s">
        <v>178</v>
      </c>
    </row>
    <row r="69" spans="1:25">
      <c r="A69" s="1051">
        <f t="shared" si="0"/>
        <v>65</v>
      </c>
      <c r="B69" s="697" t="s">
        <v>7</v>
      </c>
      <c r="C69" s="977" t="s">
        <v>294</v>
      </c>
      <c r="D69" s="697" t="s">
        <v>295</v>
      </c>
      <c r="E69" s="697" t="s">
        <v>178</v>
      </c>
      <c r="F69" s="1049">
        <f t="shared" si="1"/>
        <v>26.1</v>
      </c>
      <c r="G69" s="978" t="s">
        <v>193</v>
      </c>
      <c r="H69" s="978" t="s">
        <v>187</v>
      </c>
      <c r="I69" s="697" t="s">
        <v>178</v>
      </c>
      <c r="J69" s="704" t="s">
        <v>178</v>
      </c>
      <c r="K69" s="697"/>
      <c r="L69" s="704" t="s">
        <v>178</v>
      </c>
      <c r="M69" s="697"/>
      <c r="N69" s="697"/>
      <c r="O69" s="697"/>
      <c r="P69" s="697"/>
      <c r="Q69" s="697"/>
      <c r="R69" s="697"/>
      <c r="S69" s="697" t="s">
        <v>178</v>
      </c>
      <c r="T69" s="697"/>
      <c r="U69" s="697"/>
      <c r="V69" s="697"/>
      <c r="W69" s="697"/>
      <c r="X69" s="697"/>
      <c r="Y69" s="697"/>
    </row>
    <row r="70" spans="1:25">
      <c r="A70" s="1051">
        <f t="shared" si="0"/>
        <v>66</v>
      </c>
      <c r="B70" s="697" t="s">
        <v>7</v>
      </c>
      <c r="C70" s="978" t="s">
        <v>296</v>
      </c>
      <c r="D70" s="697" t="s">
        <v>297</v>
      </c>
      <c r="E70" s="697" t="s">
        <v>178</v>
      </c>
      <c r="F70" s="1049">
        <f t="shared" si="1"/>
        <v>26.200000000000003</v>
      </c>
      <c r="G70" s="978" t="s">
        <v>193</v>
      </c>
      <c r="H70" s="978" t="s">
        <v>187</v>
      </c>
      <c r="I70" s="697" t="s">
        <v>178</v>
      </c>
      <c r="J70" s="704" t="s">
        <v>178</v>
      </c>
      <c r="K70" s="704" t="s">
        <v>178</v>
      </c>
      <c r="L70" s="704" t="s">
        <v>178</v>
      </c>
      <c r="M70" s="697"/>
      <c r="N70" s="697"/>
      <c r="O70" s="697"/>
      <c r="P70" s="697"/>
      <c r="Q70" s="697"/>
      <c r="R70" s="697"/>
      <c r="S70" s="697"/>
      <c r="T70" s="697"/>
      <c r="U70" s="697"/>
      <c r="V70" s="697"/>
      <c r="W70" s="697"/>
      <c r="X70" s="697"/>
      <c r="Y70" s="697"/>
    </row>
    <row r="71" spans="1:25">
      <c r="A71" s="1051">
        <f t="shared" si="0"/>
        <v>67</v>
      </c>
      <c r="B71" s="697" t="s">
        <v>7</v>
      </c>
      <c r="C71" s="977" t="s">
        <v>298</v>
      </c>
      <c r="D71" s="697" t="s">
        <v>299</v>
      </c>
      <c r="E71" s="697" t="s">
        <v>178</v>
      </c>
      <c r="F71" s="1049">
        <f t="shared" si="1"/>
        <v>26.300000000000004</v>
      </c>
      <c r="G71" s="978" t="s">
        <v>193</v>
      </c>
      <c r="H71" s="978" t="s">
        <v>187</v>
      </c>
      <c r="I71" s="697" t="s">
        <v>178</v>
      </c>
      <c r="J71" s="704" t="s">
        <v>178</v>
      </c>
      <c r="K71" s="704" t="s">
        <v>178</v>
      </c>
      <c r="L71" s="704" t="s">
        <v>178</v>
      </c>
      <c r="M71" s="697"/>
      <c r="N71" s="697"/>
      <c r="O71" s="704" t="s">
        <v>178</v>
      </c>
      <c r="P71" s="697"/>
      <c r="Q71" s="697"/>
      <c r="R71" s="697" t="s">
        <v>178</v>
      </c>
      <c r="S71" s="697" t="s">
        <v>178</v>
      </c>
      <c r="T71" s="697"/>
      <c r="U71" s="697"/>
      <c r="V71" s="697" t="s">
        <v>178</v>
      </c>
      <c r="W71" s="697"/>
      <c r="X71" s="697" t="s">
        <v>178</v>
      </c>
      <c r="Y71" s="697" t="s">
        <v>178</v>
      </c>
    </row>
    <row r="72" spans="1:25">
      <c r="A72" s="1051">
        <f t="shared" si="0"/>
        <v>68</v>
      </c>
      <c r="B72" s="697" t="s">
        <v>7</v>
      </c>
      <c r="C72" s="977" t="s">
        <v>300</v>
      </c>
      <c r="D72" s="697" t="s">
        <v>301</v>
      </c>
      <c r="E72" s="697" t="s">
        <v>178</v>
      </c>
      <c r="F72" s="1049">
        <f t="shared" si="1"/>
        <v>26.400000000000006</v>
      </c>
      <c r="G72" s="978" t="s">
        <v>193</v>
      </c>
      <c r="H72" s="978" t="s">
        <v>187</v>
      </c>
      <c r="I72" s="697" t="s">
        <v>178</v>
      </c>
      <c r="J72" s="704" t="s">
        <v>178</v>
      </c>
      <c r="K72" s="704" t="s">
        <v>178</v>
      </c>
      <c r="L72" s="697"/>
      <c r="M72" s="697"/>
      <c r="N72" s="697"/>
      <c r="O72" s="697"/>
      <c r="P72" s="697"/>
      <c r="Q72" s="697"/>
      <c r="R72" s="697"/>
      <c r="S72" s="697"/>
      <c r="T72" s="697"/>
      <c r="U72" s="697"/>
      <c r="V72" s="697"/>
      <c r="W72" s="697"/>
      <c r="X72" s="697"/>
      <c r="Y72" s="697"/>
    </row>
    <row r="73" spans="1:25">
      <c r="A73" s="1051">
        <f t="shared" si="0"/>
        <v>69</v>
      </c>
      <c r="B73" s="697" t="s">
        <v>7</v>
      </c>
      <c r="C73" s="977" t="s">
        <v>302</v>
      </c>
      <c r="D73" s="697" t="s">
        <v>303</v>
      </c>
      <c r="E73" s="697" t="s">
        <v>178</v>
      </c>
      <c r="F73" s="1049">
        <f t="shared" si="1"/>
        <v>26.500000000000007</v>
      </c>
      <c r="G73" s="978" t="s">
        <v>193</v>
      </c>
      <c r="H73" s="978" t="s">
        <v>187</v>
      </c>
      <c r="I73" s="697" t="s">
        <v>178</v>
      </c>
      <c r="J73" s="704" t="s">
        <v>178</v>
      </c>
      <c r="K73" s="704" t="s">
        <v>178</v>
      </c>
      <c r="L73" s="697"/>
      <c r="M73" s="697"/>
      <c r="N73" s="697"/>
      <c r="O73" s="697"/>
      <c r="P73" s="697"/>
      <c r="Q73" s="697"/>
      <c r="R73" s="697"/>
      <c r="S73" s="697"/>
      <c r="T73" s="697"/>
      <c r="U73" s="697"/>
      <c r="V73" s="697"/>
      <c r="W73" s="697"/>
      <c r="X73" s="697"/>
      <c r="Y73" s="697"/>
    </row>
    <row r="74" spans="1:25">
      <c r="A74" s="1051">
        <f t="shared" si="0"/>
        <v>70</v>
      </c>
      <c r="B74" s="697" t="s">
        <v>7</v>
      </c>
      <c r="C74" s="977" t="s">
        <v>304</v>
      </c>
      <c r="D74" s="697" t="s">
        <v>305</v>
      </c>
      <c r="E74" s="697" t="s">
        <v>178</v>
      </c>
      <c r="F74" s="1049">
        <f t="shared" si="1"/>
        <v>26.600000000000009</v>
      </c>
      <c r="G74" s="978" t="s">
        <v>193</v>
      </c>
      <c r="H74" s="978" t="s">
        <v>187</v>
      </c>
      <c r="I74" s="697" t="s">
        <v>178</v>
      </c>
      <c r="J74" s="704" t="s">
        <v>178</v>
      </c>
      <c r="K74" s="697"/>
      <c r="L74" s="697"/>
      <c r="M74" s="697"/>
      <c r="N74" s="697"/>
      <c r="O74" s="697"/>
      <c r="P74" s="697"/>
      <c r="Q74" s="697"/>
      <c r="R74" s="697"/>
      <c r="S74" s="697"/>
      <c r="T74" s="697"/>
      <c r="U74" s="697"/>
      <c r="V74" s="697"/>
      <c r="W74" s="697"/>
      <c r="X74" s="697"/>
      <c r="Y74" s="697"/>
    </row>
    <row r="75" spans="1:25">
      <c r="A75" s="1051">
        <f t="shared" si="0"/>
        <v>71</v>
      </c>
      <c r="B75" s="697" t="s">
        <v>7</v>
      </c>
      <c r="C75" s="978" t="s">
        <v>306</v>
      </c>
      <c r="D75" s="697" t="s">
        <v>307</v>
      </c>
      <c r="E75" s="697" t="s">
        <v>178</v>
      </c>
      <c r="F75" s="1049">
        <f t="shared" si="1"/>
        <v>26.70000000000001</v>
      </c>
      <c r="G75" s="978" t="s">
        <v>193</v>
      </c>
      <c r="H75" s="978" t="s">
        <v>187</v>
      </c>
      <c r="I75" s="697" t="s">
        <v>178</v>
      </c>
      <c r="J75" s="704" t="s">
        <v>178</v>
      </c>
      <c r="K75" s="697"/>
      <c r="L75" s="697"/>
      <c r="M75" s="697"/>
      <c r="N75" s="697"/>
      <c r="O75" s="697"/>
      <c r="P75" s="697"/>
      <c r="Q75" s="697"/>
      <c r="R75" s="697"/>
      <c r="S75" s="697"/>
      <c r="T75" s="697"/>
      <c r="U75" s="697"/>
      <c r="V75" s="697"/>
      <c r="W75" s="697"/>
      <c r="X75" s="697"/>
      <c r="Y75" s="697"/>
    </row>
    <row r="76" spans="1:25">
      <c r="A76" s="1051">
        <f t="shared" si="0"/>
        <v>72</v>
      </c>
      <c r="B76" s="697" t="s">
        <v>7</v>
      </c>
      <c r="C76" s="978" t="s">
        <v>308</v>
      </c>
      <c r="D76" s="704" t="s">
        <v>309</v>
      </c>
      <c r="E76" s="704" t="s">
        <v>178</v>
      </c>
      <c r="F76" s="1049">
        <f t="shared" si="1"/>
        <v>27</v>
      </c>
      <c r="G76" s="978" t="s">
        <v>179</v>
      </c>
      <c r="H76" s="978" t="s">
        <v>187</v>
      </c>
      <c r="I76" s="697" t="s">
        <v>178</v>
      </c>
      <c r="J76" s="704" t="s">
        <v>178</v>
      </c>
      <c r="K76" s="697"/>
      <c r="L76" s="697"/>
      <c r="M76" s="697"/>
      <c r="N76" s="697"/>
      <c r="O76" s="697"/>
      <c r="P76" s="697"/>
      <c r="Q76" s="697"/>
      <c r="R76" s="697"/>
      <c r="S76" s="697"/>
      <c r="T76" s="697"/>
      <c r="U76" s="697"/>
      <c r="V76" s="697"/>
      <c r="W76" s="697"/>
      <c r="X76" s="697"/>
      <c r="Y76" s="697"/>
    </row>
    <row r="77" spans="1:25">
      <c r="A77" s="1051">
        <f t="shared" si="0"/>
        <v>73</v>
      </c>
      <c r="B77" s="697" t="s">
        <v>7</v>
      </c>
      <c r="C77" s="979" t="s">
        <v>310</v>
      </c>
      <c r="D77" s="980"/>
      <c r="E77" s="980" t="s">
        <v>178</v>
      </c>
      <c r="F77" s="1049">
        <f t="shared" si="1"/>
        <v>27</v>
      </c>
      <c r="G77" s="978" t="s">
        <v>246</v>
      </c>
      <c r="H77" s="978" t="s">
        <v>187</v>
      </c>
      <c r="I77" s="697" t="s">
        <v>178</v>
      </c>
      <c r="J77" s="697" t="s">
        <v>246</v>
      </c>
      <c r="K77" s="697" t="s">
        <v>246</v>
      </c>
      <c r="L77" s="697" t="s">
        <v>246</v>
      </c>
      <c r="M77" s="697" t="s">
        <v>246</v>
      </c>
      <c r="N77" s="697" t="s">
        <v>246</v>
      </c>
      <c r="O77" s="697" t="s">
        <v>246</v>
      </c>
      <c r="P77" s="697" t="s">
        <v>246</v>
      </c>
      <c r="Q77" s="697" t="s">
        <v>246</v>
      </c>
      <c r="R77" s="697" t="s">
        <v>246</v>
      </c>
      <c r="S77" s="697" t="s">
        <v>246</v>
      </c>
      <c r="T77" s="697" t="s">
        <v>246</v>
      </c>
      <c r="U77" s="697" t="s">
        <v>246</v>
      </c>
      <c r="V77" s="697" t="s">
        <v>246</v>
      </c>
      <c r="W77" s="697" t="s">
        <v>246</v>
      </c>
      <c r="X77" s="697" t="s">
        <v>246</v>
      </c>
      <c r="Y77" s="697" t="s">
        <v>246</v>
      </c>
    </row>
    <row r="78" spans="1:25">
      <c r="A78" s="1051">
        <f t="shared" si="0"/>
        <v>74</v>
      </c>
      <c r="B78" s="697" t="s">
        <v>7</v>
      </c>
      <c r="C78" s="979" t="s">
        <v>311</v>
      </c>
      <c r="D78" s="980"/>
      <c r="E78" s="980" t="s">
        <v>178</v>
      </c>
      <c r="F78" s="1049">
        <f t="shared" si="1"/>
        <v>27</v>
      </c>
      <c r="G78" s="978" t="s">
        <v>186</v>
      </c>
      <c r="H78" s="978" t="s">
        <v>187</v>
      </c>
      <c r="I78" s="697" t="s">
        <v>178</v>
      </c>
      <c r="J78" s="697" t="s">
        <v>186</v>
      </c>
      <c r="K78" s="697" t="s">
        <v>186</v>
      </c>
      <c r="L78" s="697" t="s">
        <v>186</v>
      </c>
      <c r="M78" s="697" t="s">
        <v>186</v>
      </c>
      <c r="N78" s="697" t="s">
        <v>186</v>
      </c>
      <c r="O78" s="697" t="s">
        <v>186</v>
      </c>
      <c r="P78" s="697" t="s">
        <v>186</v>
      </c>
      <c r="Q78" s="697" t="s">
        <v>186</v>
      </c>
      <c r="R78" s="697" t="s">
        <v>186</v>
      </c>
      <c r="S78" s="697" t="s">
        <v>186</v>
      </c>
      <c r="T78" s="697" t="s">
        <v>186</v>
      </c>
      <c r="U78" s="697" t="s">
        <v>186</v>
      </c>
      <c r="V78" s="697" t="s">
        <v>186</v>
      </c>
      <c r="W78" s="697" t="s">
        <v>186</v>
      </c>
      <c r="X78" s="697" t="s">
        <v>186</v>
      </c>
      <c r="Y78" s="697" t="s">
        <v>186</v>
      </c>
    </row>
    <row r="79" spans="1:25">
      <c r="A79" s="1051">
        <f t="shared" si="0"/>
        <v>75</v>
      </c>
      <c r="B79" s="697" t="s">
        <v>7</v>
      </c>
      <c r="C79" s="979" t="s">
        <v>312</v>
      </c>
      <c r="D79" s="980"/>
      <c r="E79" s="980" t="s">
        <v>178</v>
      </c>
      <c r="F79" s="1049">
        <f t="shared" si="1"/>
        <v>27</v>
      </c>
      <c r="G79" s="978" t="s">
        <v>186</v>
      </c>
      <c r="H79" s="978" t="s">
        <v>187</v>
      </c>
      <c r="I79" s="697" t="s">
        <v>178</v>
      </c>
      <c r="J79" s="697" t="s">
        <v>186</v>
      </c>
      <c r="K79" s="697" t="s">
        <v>186</v>
      </c>
      <c r="L79" s="697" t="s">
        <v>186</v>
      </c>
      <c r="M79" s="697" t="s">
        <v>186</v>
      </c>
      <c r="N79" s="697" t="s">
        <v>186</v>
      </c>
      <c r="O79" s="697" t="s">
        <v>186</v>
      </c>
      <c r="P79" s="697" t="s">
        <v>186</v>
      </c>
      <c r="Q79" s="697" t="s">
        <v>186</v>
      </c>
      <c r="R79" s="697" t="s">
        <v>186</v>
      </c>
      <c r="S79" s="697" t="s">
        <v>186</v>
      </c>
      <c r="T79" s="697" t="s">
        <v>186</v>
      </c>
      <c r="U79" s="697" t="s">
        <v>186</v>
      </c>
      <c r="V79" s="697" t="s">
        <v>186</v>
      </c>
      <c r="W79" s="697" t="s">
        <v>186</v>
      </c>
      <c r="X79" s="697" t="s">
        <v>186</v>
      </c>
      <c r="Y79" s="697" t="s">
        <v>186</v>
      </c>
    </row>
    <row r="80" spans="1:25">
      <c r="A80" s="1051">
        <f t="shared" si="0"/>
        <v>76</v>
      </c>
      <c r="B80" s="697" t="s">
        <v>7</v>
      </c>
      <c r="C80" s="979" t="s">
        <v>313</v>
      </c>
      <c r="D80" s="980"/>
      <c r="E80" s="980" t="s">
        <v>178</v>
      </c>
      <c r="F80" s="1049">
        <f t="shared" si="1"/>
        <v>27</v>
      </c>
      <c r="G80" s="978" t="s">
        <v>186</v>
      </c>
      <c r="H80" s="978" t="s">
        <v>187</v>
      </c>
      <c r="I80" s="697" t="s">
        <v>178</v>
      </c>
      <c r="J80" s="697" t="s">
        <v>186</v>
      </c>
      <c r="K80" s="697" t="s">
        <v>186</v>
      </c>
      <c r="L80" s="697" t="s">
        <v>186</v>
      </c>
      <c r="M80" s="697" t="s">
        <v>186</v>
      </c>
      <c r="N80" s="697" t="s">
        <v>186</v>
      </c>
      <c r="O80" s="697" t="s">
        <v>186</v>
      </c>
      <c r="P80" s="697" t="s">
        <v>186</v>
      </c>
      <c r="Q80" s="697" t="s">
        <v>186</v>
      </c>
      <c r="R80" s="697" t="s">
        <v>186</v>
      </c>
      <c r="S80" s="697" t="s">
        <v>186</v>
      </c>
      <c r="T80" s="697" t="s">
        <v>186</v>
      </c>
      <c r="U80" s="697" t="s">
        <v>186</v>
      </c>
      <c r="V80" s="697" t="s">
        <v>186</v>
      </c>
      <c r="W80" s="697" t="s">
        <v>186</v>
      </c>
      <c r="X80" s="697" t="s">
        <v>186</v>
      </c>
      <c r="Y80" s="697" t="s">
        <v>186</v>
      </c>
    </row>
    <row r="81" spans="1:25">
      <c r="A81" s="1051">
        <f t="shared" si="0"/>
        <v>77</v>
      </c>
      <c r="B81" s="697" t="s">
        <v>7</v>
      </c>
      <c r="C81" s="977" t="s">
        <v>314</v>
      </c>
      <c r="D81" s="697" t="s">
        <v>315</v>
      </c>
      <c r="E81" s="697" t="s">
        <v>178</v>
      </c>
      <c r="F81" s="1049">
        <f t="shared" si="1"/>
        <v>28</v>
      </c>
      <c r="G81" s="978" t="s">
        <v>179</v>
      </c>
      <c r="H81" s="978" t="s">
        <v>187</v>
      </c>
      <c r="I81" s="697" t="s">
        <v>178</v>
      </c>
      <c r="J81" s="704" t="s">
        <v>178</v>
      </c>
      <c r="K81" s="704" t="s">
        <v>178</v>
      </c>
      <c r="L81" s="704" t="s">
        <v>178</v>
      </c>
      <c r="M81" s="697"/>
      <c r="N81" s="697"/>
      <c r="O81" s="697"/>
      <c r="P81" s="704" t="s">
        <v>178</v>
      </c>
      <c r="Q81" s="697"/>
      <c r="R81" s="697" t="s">
        <v>178</v>
      </c>
      <c r="S81" s="697"/>
      <c r="T81" s="697"/>
      <c r="U81" s="697"/>
      <c r="V81" s="697"/>
      <c r="W81" s="697" t="s">
        <v>178</v>
      </c>
      <c r="X81" s="697"/>
      <c r="Y81" s="697" t="s">
        <v>178</v>
      </c>
    </row>
    <row r="82" spans="1:25">
      <c r="A82" s="1051">
        <f t="shared" si="0"/>
        <v>78</v>
      </c>
      <c r="B82" s="704" t="s">
        <v>175</v>
      </c>
      <c r="C82" s="978" t="s">
        <v>316</v>
      </c>
      <c r="D82" s="697" t="s">
        <v>317</v>
      </c>
      <c r="E82" s="697" t="s">
        <v>178</v>
      </c>
      <c r="F82" s="1049">
        <f t="shared" si="1"/>
        <v>28.1</v>
      </c>
      <c r="G82" s="978" t="s">
        <v>193</v>
      </c>
      <c r="H82" s="978" t="s">
        <v>180</v>
      </c>
      <c r="I82" s="697" t="s">
        <v>178</v>
      </c>
      <c r="J82" s="704" t="s">
        <v>178</v>
      </c>
      <c r="K82" s="704" t="s">
        <v>178</v>
      </c>
      <c r="L82" s="704" t="s">
        <v>178</v>
      </c>
      <c r="M82" s="697"/>
      <c r="N82" s="697"/>
      <c r="O82" s="697"/>
      <c r="P82" s="697"/>
      <c r="Q82" s="697"/>
      <c r="R82" s="697"/>
      <c r="S82" s="697"/>
      <c r="T82" s="697"/>
      <c r="U82" s="697"/>
      <c r="V82" s="697"/>
      <c r="W82" s="697"/>
      <c r="X82" s="697"/>
      <c r="Y82" s="697"/>
    </row>
    <row r="83" spans="1:25">
      <c r="A83" s="1051">
        <f t="shared" si="0"/>
        <v>79</v>
      </c>
      <c r="B83" s="704" t="s">
        <v>175</v>
      </c>
      <c r="C83" s="978" t="s">
        <v>318</v>
      </c>
      <c r="D83" s="697" t="s">
        <v>319</v>
      </c>
      <c r="E83" s="697" t="s">
        <v>178</v>
      </c>
      <c r="F83" s="1049">
        <f t="shared" si="1"/>
        <v>28.200000000000003</v>
      </c>
      <c r="G83" s="978" t="s">
        <v>193</v>
      </c>
      <c r="H83" s="978" t="s">
        <v>180</v>
      </c>
      <c r="I83" s="697" t="s">
        <v>178</v>
      </c>
      <c r="J83" s="704" t="s">
        <v>178</v>
      </c>
      <c r="K83" s="697"/>
      <c r="L83" s="697"/>
      <c r="M83" s="697"/>
      <c r="N83" s="697"/>
      <c r="O83" s="697"/>
      <c r="P83" s="697"/>
      <c r="Q83" s="697"/>
      <c r="R83" s="697"/>
      <c r="S83" s="697"/>
      <c r="T83" s="697"/>
      <c r="U83" s="697"/>
      <c r="V83" s="697"/>
      <c r="W83" s="697"/>
      <c r="X83" s="697"/>
      <c r="Y83" s="697"/>
    </row>
    <row r="84" spans="1:25">
      <c r="A84" s="1051">
        <f t="shared" si="0"/>
        <v>80</v>
      </c>
      <c r="B84" s="704" t="s">
        <v>175</v>
      </c>
      <c r="C84" s="978" t="s">
        <v>320</v>
      </c>
      <c r="D84" s="697" t="s">
        <v>321</v>
      </c>
      <c r="E84" s="697" t="s">
        <v>178</v>
      </c>
      <c r="F84" s="1049">
        <f t="shared" ref="F84" si="2">IF(I84="Yes",IF(G84="Note",ROUNDDOWN(F83,0)+1,IF(G84="Sub Note",F83+0.1,F83)),F83)</f>
        <v>28.300000000000004</v>
      </c>
      <c r="G84" s="978" t="s">
        <v>193</v>
      </c>
      <c r="H84" s="978" t="s">
        <v>180</v>
      </c>
      <c r="I84" s="697" t="s">
        <v>178</v>
      </c>
      <c r="J84" s="704" t="s">
        <v>178</v>
      </c>
      <c r="K84" s="704" t="s">
        <v>178</v>
      </c>
      <c r="L84" s="697"/>
      <c r="M84" s="697"/>
      <c r="N84" s="697"/>
      <c r="O84" s="697"/>
      <c r="P84" s="697"/>
      <c r="Q84" s="697"/>
      <c r="R84" s="697"/>
      <c r="S84" s="697"/>
      <c r="T84" s="697"/>
      <c r="U84" s="697"/>
      <c r="V84" s="697"/>
      <c r="W84" s="697"/>
      <c r="X84" s="697"/>
      <c r="Y84" s="697"/>
    </row>
    <row r="85" spans="1:25" ht="26.45">
      <c r="A85" s="1051">
        <f t="shared" si="0"/>
        <v>81</v>
      </c>
      <c r="B85" s="704" t="s">
        <v>175</v>
      </c>
      <c r="C85" s="978" t="s">
        <v>322</v>
      </c>
      <c r="D85" s="697" t="s">
        <v>323</v>
      </c>
      <c r="E85" s="697" t="s">
        <v>178</v>
      </c>
      <c r="F85" s="1049">
        <f t="shared" ref="F85:F87" si="3">IF(I85="Yes",IF(G85="Note",ROUNDDOWN(F84,0)+1,IF(G85="Sub Note",F84+0.1,F84)),F84)</f>
        <v>28.400000000000006</v>
      </c>
      <c r="G85" s="978" t="s">
        <v>193</v>
      </c>
      <c r="H85" s="978" t="s">
        <v>180</v>
      </c>
      <c r="I85" s="697" t="s">
        <v>178</v>
      </c>
      <c r="J85" s="704" t="s">
        <v>178</v>
      </c>
      <c r="K85" s="704" t="s">
        <v>178</v>
      </c>
      <c r="L85" s="697"/>
      <c r="M85" s="697"/>
      <c r="N85" s="697"/>
      <c r="O85" s="697"/>
      <c r="P85" s="697"/>
      <c r="Q85" s="697"/>
      <c r="R85" s="697"/>
      <c r="S85" s="697"/>
      <c r="T85" s="697"/>
      <c r="U85" s="697"/>
      <c r="V85" s="697"/>
      <c r="W85" s="697"/>
      <c r="X85" s="697"/>
      <c r="Y85" s="697"/>
    </row>
    <row r="86" spans="1:25">
      <c r="A86" s="1051">
        <f t="shared" si="0"/>
        <v>82</v>
      </c>
      <c r="B86" s="697" t="s">
        <v>7</v>
      </c>
      <c r="C86" s="977" t="s">
        <v>324</v>
      </c>
      <c r="D86" s="697" t="s">
        <v>325</v>
      </c>
      <c r="E86" s="697" t="s">
        <v>178</v>
      </c>
      <c r="F86" s="1049">
        <f t="shared" si="3"/>
        <v>29</v>
      </c>
      <c r="G86" s="978" t="s">
        <v>179</v>
      </c>
      <c r="H86" s="978" t="s">
        <v>187</v>
      </c>
      <c r="I86" s="697" t="s">
        <v>178</v>
      </c>
      <c r="J86" s="697"/>
      <c r="K86" s="697"/>
      <c r="L86" s="697"/>
      <c r="M86" s="697"/>
      <c r="N86" s="697"/>
      <c r="O86" s="704" t="s">
        <v>178</v>
      </c>
      <c r="P86" s="704" t="s">
        <v>178</v>
      </c>
      <c r="Q86" s="697"/>
      <c r="R86" s="697" t="s">
        <v>178</v>
      </c>
      <c r="S86" s="697" t="s">
        <v>178</v>
      </c>
      <c r="T86" s="697"/>
      <c r="U86" s="697"/>
      <c r="V86" s="697" t="s">
        <v>178</v>
      </c>
      <c r="W86" s="697" t="s">
        <v>178</v>
      </c>
      <c r="X86" s="697" t="s">
        <v>178</v>
      </c>
      <c r="Y86" s="697" t="s">
        <v>178</v>
      </c>
    </row>
    <row r="87" spans="1:25">
      <c r="A87" s="1051">
        <f t="shared" si="0"/>
        <v>83</v>
      </c>
      <c r="B87" s="697" t="s">
        <v>7</v>
      </c>
      <c r="C87" s="977" t="s">
        <v>326</v>
      </c>
      <c r="D87" s="697" t="s">
        <v>327</v>
      </c>
      <c r="E87" s="697" t="s">
        <v>178</v>
      </c>
      <c r="F87" s="1049">
        <f t="shared" si="3"/>
        <v>30</v>
      </c>
      <c r="G87" s="978" t="s">
        <v>179</v>
      </c>
      <c r="H87" s="978" t="s">
        <v>187</v>
      </c>
      <c r="I87" s="697" t="s">
        <v>178</v>
      </c>
      <c r="J87" s="704" t="s">
        <v>178</v>
      </c>
      <c r="K87" s="704" t="s">
        <v>178</v>
      </c>
      <c r="L87" s="697"/>
      <c r="M87" s="697"/>
      <c r="N87" s="697"/>
      <c r="O87" s="704" t="s">
        <v>178</v>
      </c>
      <c r="P87" s="697"/>
      <c r="Q87" s="697"/>
      <c r="R87" s="697" t="s">
        <v>178</v>
      </c>
      <c r="S87" s="697" t="s">
        <v>178</v>
      </c>
      <c r="T87" s="697"/>
      <c r="U87" s="697"/>
      <c r="V87" s="697"/>
      <c r="W87" s="697"/>
      <c r="X87" s="697"/>
      <c r="Y87" s="697"/>
    </row>
    <row r="88" spans="1:25">
      <c r="A88" s="1051">
        <f t="shared" si="0"/>
        <v>84</v>
      </c>
      <c r="B88" s="697" t="s">
        <v>7</v>
      </c>
      <c r="C88" s="977" t="s">
        <v>328</v>
      </c>
      <c r="D88" s="697" t="s">
        <v>329</v>
      </c>
      <c r="E88" s="697" t="s">
        <v>178</v>
      </c>
      <c r="F88" s="1049">
        <f t="shared" ref="F88:F165" si="4">IF(I88="Yes",IF(G88="Note",ROUNDDOWN(F87,0)+1,IF(G88="Sub Note",F87+0.1,F87)),F87)</f>
        <v>31</v>
      </c>
      <c r="G88" s="978" t="s">
        <v>179</v>
      </c>
      <c r="H88" s="978" t="s">
        <v>187</v>
      </c>
      <c r="I88" s="697" t="s">
        <v>178</v>
      </c>
      <c r="J88" s="704" t="s">
        <v>178</v>
      </c>
      <c r="K88" s="704" t="s">
        <v>178</v>
      </c>
      <c r="L88" s="704" t="s">
        <v>178</v>
      </c>
      <c r="M88" s="697"/>
      <c r="N88" s="697"/>
      <c r="O88" s="704" t="s">
        <v>178</v>
      </c>
      <c r="P88" s="697"/>
      <c r="Q88" s="697"/>
      <c r="R88" s="697" t="s">
        <v>178</v>
      </c>
      <c r="S88" s="697"/>
      <c r="T88" s="697"/>
      <c r="U88" s="697"/>
      <c r="V88" s="697"/>
      <c r="W88" s="697"/>
      <c r="X88" s="697"/>
      <c r="Y88" s="697"/>
    </row>
    <row r="89" spans="1:25">
      <c r="A89" s="1051">
        <f t="shared" si="0"/>
        <v>85</v>
      </c>
      <c r="B89" s="704" t="s">
        <v>175</v>
      </c>
      <c r="C89" s="978" t="s">
        <v>212</v>
      </c>
      <c r="D89" s="697" t="s">
        <v>330</v>
      </c>
      <c r="E89" s="697" t="s">
        <v>178</v>
      </c>
      <c r="F89" s="1049">
        <f t="shared" si="4"/>
        <v>31.1</v>
      </c>
      <c r="G89" s="978" t="s">
        <v>193</v>
      </c>
      <c r="H89" s="978" t="s">
        <v>180</v>
      </c>
      <c r="I89" s="697" t="s">
        <v>178</v>
      </c>
      <c r="J89" s="704" t="s">
        <v>178</v>
      </c>
      <c r="K89" s="704" t="s">
        <v>178</v>
      </c>
      <c r="L89" s="704" t="s">
        <v>178</v>
      </c>
      <c r="M89" s="697"/>
      <c r="N89" s="697"/>
      <c r="O89" s="697"/>
      <c r="P89" s="697"/>
      <c r="Q89" s="697"/>
      <c r="R89" s="697"/>
      <c r="S89" s="697"/>
      <c r="T89" s="697"/>
      <c r="U89" s="697"/>
      <c r="V89" s="697"/>
      <c r="W89" s="697"/>
      <c r="X89" s="697"/>
      <c r="Y89" s="697"/>
    </row>
    <row r="90" spans="1:25">
      <c r="A90" s="1051">
        <f t="shared" si="0"/>
        <v>86</v>
      </c>
      <c r="B90" s="697" t="s">
        <v>7</v>
      </c>
      <c r="C90" s="977" t="s">
        <v>331</v>
      </c>
      <c r="D90" s="697"/>
      <c r="E90" s="697" t="s">
        <v>178</v>
      </c>
      <c r="F90" s="1049">
        <f t="shared" si="4"/>
        <v>31.1</v>
      </c>
      <c r="G90" s="978" t="s">
        <v>186</v>
      </c>
      <c r="H90" s="978" t="s">
        <v>187</v>
      </c>
      <c r="I90" s="697" t="s">
        <v>178</v>
      </c>
      <c r="J90" s="704" t="s">
        <v>178</v>
      </c>
      <c r="K90" s="704" t="s">
        <v>178</v>
      </c>
      <c r="L90" s="704" t="s">
        <v>178</v>
      </c>
      <c r="M90" s="697"/>
      <c r="N90" s="697"/>
      <c r="O90" s="697"/>
      <c r="P90" s="697"/>
      <c r="Q90" s="697"/>
      <c r="R90" s="697"/>
      <c r="S90" s="697"/>
      <c r="T90" s="697"/>
      <c r="U90" s="697"/>
      <c r="V90" s="697"/>
      <c r="W90" s="697"/>
      <c r="X90" s="697"/>
      <c r="Y90" s="697"/>
    </row>
    <row r="91" spans="1:25">
      <c r="A91" s="1051">
        <f t="shared" si="0"/>
        <v>87</v>
      </c>
      <c r="B91" s="697" t="s">
        <v>7</v>
      </c>
      <c r="C91" s="978" t="s">
        <v>332</v>
      </c>
      <c r="D91" s="704" t="s">
        <v>333</v>
      </c>
      <c r="E91" s="704" t="s">
        <v>178</v>
      </c>
      <c r="F91" s="1049">
        <f t="shared" ref="F91:F92" si="5">IF(I91="Yes",IF(G91="Note",ROUNDDOWN(F90,0)+1,IF(G91="Sub Note",F90+0.1,F90)),F90)</f>
        <v>32</v>
      </c>
      <c r="G91" s="978" t="s">
        <v>179</v>
      </c>
      <c r="H91" s="978" t="s">
        <v>187</v>
      </c>
      <c r="I91" s="697" t="s">
        <v>178</v>
      </c>
      <c r="J91" s="704" t="s">
        <v>178</v>
      </c>
      <c r="K91" s="704" t="s">
        <v>178</v>
      </c>
      <c r="L91" s="704" t="s">
        <v>178</v>
      </c>
      <c r="M91" s="697"/>
      <c r="N91" s="697"/>
      <c r="O91" s="697"/>
      <c r="P91" s="697"/>
      <c r="Q91" s="697"/>
      <c r="R91" s="697"/>
      <c r="S91" s="697"/>
      <c r="T91" s="697"/>
      <c r="U91" s="697"/>
      <c r="V91" s="697"/>
      <c r="W91" s="697"/>
      <c r="X91" s="697"/>
      <c r="Y91" s="697"/>
    </row>
    <row r="92" spans="1:25">
      <c r="A92" s="1051">
        <f t="shared" si="0"/>
        <v>88</v>
      </c>
      <c r="B92" s="697" t="s">
        <v>7</v>
      </c>
      <c r="C92" s="977" t="s">
        <v>334</v>
      </c>
      <c r="D92" s="697" t="s">
        <v>335</v>
      </c>
      <c r="E92" s="697" t="s">
        <v>178</v>
      </c>
      <c r="F92" s="1049">
        <f t="shared" si="5"/>
        <v>33</v>
      </c>
      <c r="G92" s="978" t="s">
        <v>179</v>
      </c>
      <c r="H92" s="978" t="s">
        <v>187</v>
      </c>
      <c r="I92" s="697" t="s">
        <v>178</v>
      </c>
      <c r="J92" s="704" t="s">
        <v>178</v>
      </c>
      <c r="K92" s="704" t="s">
        <v>178</v>
      </c>
      <c r="L92" s="704" t="s">
        <v>178</v>
      </c>
      <c r="M92" s="697"/>
      <c r="N92" s="697"/>
      <c r="O92" s="704" t="s">
        <v>178</v>
      </c>
      <c r="P92" s="697"/>
      <c r="Q92" s="697"/>
      <c r="R92" s="697" t="s">
        <v>178</v>
      </c>
      <c r="S92" s="697"/>
      <c r="T92" s="697"/>
      <c r="U92" s="697"/>
      <c r="V92" s="697" t="s">
        <v>178</v>
      </c>
      <c r="W92" s="697"/>
      <c r="X92" s="697"/>
      <c r="Y92" s="697"/>
    </row>
    <row r="93" spans="1:25">
      <c r="A93" s="1051">
        <f t="shared" si="0"/>
        <v>89</v>
      </c>
      <c r="B93" s="697" t="s">
        <v>7</v>
      </c>
      <c r="C93" s="979" t="s">
        <v>336</v>
      </c>
      <c r="D93" s="980"/>
      <c r="E93" s="980" t="s">
        <v>178</v>
      </c>
      <c r="F93" s="1049">
        <f t="shared" si="4"/>
        <v>33</v>
      </c>
      <c r="G93" s="978" t="s">
        <v>246</v>
      </c>
      <c r="H93" s="978" t="s">
        <v>187</v>
      </c>
      <c r="I93" s="697" t="s">
        <v>178</v>
      </c>
      <c r="J93" s="697" t="s">
        <v>246</v>
      </c>
      <c r="K93" s="697" t="s">
        <v>246</v>
      </c>
      <c r="L93" s="697" t="s">
        <v>246</v>
      </c>
      <c r="M93" s="697" t="s">
        <v>246</v>
      </c>
      <c r="N93" s="697" t="s">
        <v>246</v>
      </c>
      <c r="O93" s="697" t="s">
        <v>246</v>
      </c>
      <c r="P93" s="697" t="s">
        <v>246</v>
      </c>
      <c r="Q93" s="697" t="s">
        <v>246</v>
      </c>
      <c r="R93" s="697" t="s">
        <v>246</v>
      </c>
      <c r="S93" s="697" t="s">
        <v>246</v>
      </c>
      <c r="T93" s="697" t="s">
        <v>246</v>
      </c>
      <c r="U93" s="697" t="s">
        <v>246</v>
      </c>
      <c r="V93" s="697" t="s">
        <v>246</v>
      </c>
      <c r="W93" s="697" t="s">
        <v>246</v>
      </c>
      <c r="X93" s="697" t="s">
        <v>246</v>
      </c>
      <c r="Y93" s="697" t="s">
        <v>246</v>
      </c>
    </row>
    <row r="94" spans="1:25">
      <c r="A94" s="1051">
        <f t="shared" si="0"/>
        <v>90</v>
      </c>
      <c r="B94" s="697" t="s">
        <v>7</v>
      </c>
      <c r="C94" s="979" t="s">
        <v>337</v>
      </c>
      <c r="D94" s="980"/>
      <c r="E94" s="980" t="s">
        <v>178</v>
      </c>
      <c r="F94" s="1049">
        <f t="shared" si="4"/>
        <v>33</v>
      </c>
      <c r="G94" s="978" t="s">
        <v>186</v>
      </c>
      <c r="H94" s="978" t="s">
        <v>187</v>
      </c>
      <c r="I94" s="697" t="s">
        <v>178</v>
      </c>
      <c r="J94" s="697" t="s">
        <v>186</v>
      </c>
      <c r="K94" s="697" t="s">
        <v>186</v>
      </c>
      <c r="L94" s="697" t="s">
        <v>186</v>
      </c>
      <c r="M94" s="697" t="s">
        <v>186</v>
      </c>
      <c r="N94" s="697" t="s">
        <v>186</v>
      </c>
      <c r="O94" s="697" t="s">
        <v>186</v>
      </c>
      <c r="P94" s="697" t="s">
        <v>186</v>
      </c>
      <c r="Q94" s="697" t="s">
        <v>186</v>
      </c>
      <c r="R94" s="697" t="s">
        <v>186</v>
      </c>
      <c r="S94" s="697" t="s">
        <v>186</v>
      </c>
      <c r="T94" s="697" t="s">
        <v>186</v>
      </c>
      <c r="U94" s="697" t="s">
        <v>186</v>
      </c>
      <c r="V94" s="697" t="s">
        <v>186</v>
      </c>
      <c r="W94" s="697" t="s">
        <v>186</v>
      </c>
      <c r="X94" s="697" t="s">
        <v>186</v>
      </c>
      <c r="Y94" s="697" t="s">
        <v>186</v>
      </c>
    </row>
    <row r="95" spans="1:25">
      <c r="A95" s="1051">
        <f t="shared" si="0"/>
        <v>91</v>
      </c>
      <c r="B95" s="697" t="s">
        <v>7</v>
      </c>
      <c r="C95" s="979" t="s">
        <v>313</v>
      </c>
      <c r="D95" s="980"/>
      <c r="E95" s="980" t="s">
        <v>178</v>
      </c>
      <c r="F95" s="1049">
        <f t="shared" si="4"/>
        <v>33</v>
      </c>
      <c r="G95" s="978" t="s">
        <v>186</v>
      </c>
      <c r="H95" s="978" t="s">
        <v>187</v>
      </c>
      <c r="I95" s="697" t="s">
        <v>178</v>
      </c>
      <c r="J95" s="697" t="s">
        <v>186</v>
      </c>
      <c r="K95" s="697" t="s">
        <v>186</v>
      </c>
      <c r="L95" s="697" t="s">
        <v>186</v>
      </c>
      <c r="M95" s="697" t="s">
        <v>186</v>
      </c>
      <c r="N95" s="697" t="s">
        <v>186</v>
      </c>
      <c r="O95" s="697" t="s">
        <v>186</v>
      </c>
      <c r="P95" s="697" t="s">
        <v>186</v>
      </c>
      <c r="Q95" s="697" t="s">
        <v>186</v>
      </c>
      <c r="R95" s="697" t="s">
        <v>186</v>
      </c>
      <c r="S95" s="697" t="s">
        <v>186</v>
      </c>
      <c r="T95" s="697" t="s">
        <v>186</v>
      </c>
      <c r="U95" s="697" t="s">
        <v>186</v>
      </c>
      <c r="V95" s="697" t="s">
        <v>186</v>
      </c>
      <c r="W95" s="697" t="s">
        <v>186</v>
      </c>
      <c r="X95" s="697" t="s">
        <v>186</v>
      </c>
      <c r="Y95" s="697" t="s">
        <v>186</v>
      </c>
    </row>
    <row r="96" spans="1:25">
      <c r="A96" s="1051">
        <f t="shared" si="0"/>
        <v>92</v>
      </c>
      <c r="B96" s="697" t="s">
        <v>7</v>
      </c>
      <c r="C96" s="977" t="s">
        <v>314</v>
      </c>
      <c r="D96" s="697" t="s">
        <v>338</v>
      </c>
      <c r="E96" s="697" t="s">
        <v>178</v>
      </c>
      <c r="F96" s="1049">
        <f t="shared" si="4"/>
        <v>34</v>
      </c>
      <c r="G96" s="978" t="s">
        <v>179</v>
      </c>
      <c r="H96" s="978" t="s">
        <v>187</v>
      </c>
      <c r="I96" s="697" t="s">
        <v>178</v>
      </c>
      <c r="J96" s="704" t="s">
        <v>178</v>
      </c>
      <c r="K96" s="704" t="s">
        <v>178</v>
      </c>
      <c r="L96" s="704" t="s">
        <v>178</v>
      </c>
      <c r="M96" s="697"/>
      <c r="N96" s="697"/>
      <c r="O96" s="697"/>
      <c r="P96" s="697"/>
      <c r="Q96" s="697"/>
      <c r="R96" s="697" t="s">
        <v>178</v>
      </c>
      <c r="S96" s="697"/>
      <c r="T96" s="697"/>
      <c r="U96" s="697"/>
      <c r="V96" s="697"/>
      <c r="W96" s="697" t="s">
        <v>178</v>
      </c>
      <c r="X96" s="697"/>
      <c r="Y96" s="697"/>
    </row>
    <row r="97" spans="1:25">
      <c r="A97" s="1051">
        <f t="shared" si="0"/>
        <v>93</v>
      </c>
      <c r="B97" s="704" t="s">
        <v>175</v>
      </c>
      <c r="C97" s="977" t="s">
        <v>339</v>
      </c>
      <c r="D97" s="697" t="s">
        <v>340</v>
      </c>
      <c r="E97" s="697" t="s">
        <v>178</v>
      </c>
      <c r="F97" s="1049">
        <f t="shared" si="4"/>
        <v>34.1</v>
      </c>
      <c r="G97" s="978" t="s">
        <v>193</v>
      </c>
      <c r="H97" s="978" t="s">
        <v>180</v>
      </c>
      <c r="I97" s="704" t="s">
        <v>178</v>
      </c>
      <c r="J97" s="704" t="s">
        <v>178</v>
      </c>
      <c r="K97" s="704" t="s">
        <v>178</v>
      </c>
      <c r="L97" s="704" t="s">
        <v>178</v>
      </c>
      <c r="M97" s="697"/>
      <c r="N97" s="697"/>
      <c r="O97" s="697"/>
      <c r="P97" s="697"/>
      <c r="Q97" s="697"/>
      <c r="R97" s="697"/>
      <c r="S97" s="697"/>
      <c r="T97" s="697"/>
      <c r="U97" s="697"/>
      <c r="V97" s="697"/>
      <c r="W97" s="697"/>
      <c r="X97" s="697"/>
      <c r="Y97" s="697"/>
    </row>
    <row r="98" spans="1:25">
      <c r="A98" s="1051">
        <f t="shared" si="0"/>
        <v>94</v>
      </c>
      <c r="B98" s="697" t="s">
        <v>7</v>
      </c>
      <c r="C98" s="977" t="s">
        <v>324</v>
      </c>
      <c r="D98" s="697" t="s">
        <v>341</v>
      </c>
      <c r="E98" s="697" t="s">
        <v>178</v>
      </c>
      <c r="F98" s="1049">
        <f t="shared" si="4"/>
        <v>35</v>
      </c>
      <c r="G98" s="978" t="s">
        <v>179</v>
      </c>
      <c r="H98" s="978" t="s">
        <v>187</v>
      </c>
      <c r="I98" s="697" t="s">
        <v>178</v>
      </c>
      <c r="J98" s="697"/>
      <c r="K98" s="697"/>
      <c r="L98" s="697"/>
      <c r="M98" s="697"/>
      <c r="N98" s="697"/>
      <c r="O98" s="697"/>
      <c r="P98" s="704" t="s">
        <v>178</v>
      </c>
      <c r="Q98" s="697"/>
      <c r="R98" s="697"/>
      <c r="S98" s="697" t="s">
        <v>178</v>
      </c>
      <c r="T98" s="697"/>
      <c r="U98" s="697"/>
      <c r="V98" s="697" t="s">
        <v>178</v>
      </c>
      <c r="W98" s="697" t="s">
        <v>178</v>
      </c>
      <c r="X98" s="697" t="s">
        <v>178</v>
      </c>
      <c r="Y98" s="697" t="s">
        <v>178</v>
      </c>
    </row>
    <row r="99" spans="1:25">
      <c r="A99" s="1051">
        <f t="shared" si="0"/>
        <v>95</v>
      </c>
      <c r="B99" s="697" t="s">
        <v>7</v>
      </c>
      <c r="C99" s="979" t="s">
        <v>342</v>
      </c>
      <c r="D99" s="697" t="s">
        <v>343</v>
      </c>
      <c r="E99" s="697" t="s">
        <v>178</v>
      </c>
      <c r="F99" s="1049">
        <f t="shared" si="4"/>
        <v>36</v>
      </c>
      <c r="G99" s="978" t="s">
        <v>179</v>
      </c>
      <c r="H99" s="978" t="s">
        <v>187</v>
      </c>
      <c r="I99" s="697" t="s">
        <v>178</v>
      </c>
      <c r="J99" s="704" t="s">
        <v>178</v>
      </c>
      <c r="K99" s="704" t="s">
        <v>178</v>
      </c>
      <c r="L99" s="704" t="s">
        <v>178</v>
      </c>
      <c r="M99" s="697"/>
      <c r="N99" s="697"/>
      <c r="O99" s="704" t="s">
        <v>178</v>
      </c>
      <c r="P99" s="697"/>
      <c r="Q99" s="697"/>
      <c r="R99" s="697" t="s">
        <v>178</v>
      </c>
      <c r="S99" s="697" t="s">
        <v>178</v>
      </c>
      <c r="T99" s="697"/>
      <c r="U99" s="697"/>
      <c r="V99" s="697" t="s">
        <v>178</v>
      </c>
      <c r="W99" s="697" t="s">
        <v>178</v>
      </c>
      <c r="X99" s="697"/>
      <c r="Y99" s="697" t="s">
        <v>178</v>
      </c>
    </row>
    <row r="100" spans="1:25">
      <c r="A100" s="1051">
        <f t="shared" si="0"/>
        <v>96</v>
      </c>
      <c r="B100" s="697" t="s">
        <v>7</v>
      </c>
      <c r="C100" s="977" t="s">
        <v>344</v>
      </c>
      <c r="D100" s="697"/>
      <c r="E100" s="697" t="s">
        <v>178</v>
      </c>
      <c r="F100" s="1049">
        <f>F99</f>
        <v>36</v>
      </c>
      <c r="G100" s="978" t="s">
        <v>186</v>
      </c>
      <c r="H100" s="978" t="s">
        <v>187</v>
      </c>
      <c r="I100" s="697" t="s">
        <v>178</v>
      </c>
      <c r="J100" s="704" t="s">
        <v>178</v>
      </c>
      <c r="K100" s="704" t="s">
        <v>178</v>
      </c>
      <c r="L100" s="704" t="s">
        <v>178</v>
      </c>
      <c r="M100" s="697"/>
      <c r="N100" s="697"/>
      <c r="O100" s="704" t="s">
        <v>198</v>
      </c>
      <c r="P100" s="697"/>
      <c r="Q100" s="697"/>
      <c r="R100" s="697" t="s">
        <v>198</v>
      </c>
      <c r="S100" s="697" t="s">
        <v>178</v>
      </c>
      <c r="T100" s="697"/>
      <c r="U100" s="697"/>
      <c r="V100" s="697"/>
      <c r="W100" s="697"/>
      <c r="X100" s="697"/>
      <c r="Y100" s="697"/>
    </row>
    <row r="101" spans="1:25">
      <c r="A101" s="1051">
        <f t="shared" ref="A101:A185" si="6">ROW(A101)-4</f>
        <v>97</v>
      </c>
      <c r="B101" s="697" t="s">
        <v>7</v>
      </c>
      <c r="C101" s="977" t="s">
        <v>345</v>
      </c>
      <c r="D101" s="697"/>
      <c r="E101" s="697" t="s">
        <v>178</v>
      </c>
      <c r="F101" s="1049">
        <f>F99</f>
        <v>36</v>
      </c>
      <c r="G101" s="978" t="s">
        <v>186</v>
      </c>
      <c r="H101" s="978" t="s">
        <v>187</v>
      </c>
      <c r="I101" s="697" t="s">
        <v>178</v>
      </c>
      <c r="J101" s="704" t="s">
        <v>178</v>
      </c>
      <c r="K101" s="704" t="s">
        <v>178</v>
      </c>
      <c r="L101" s="704" t="s">
        <v>178</v>
      </c>
      <c r="M101" s="697"/>
      <c r="N101" s="697"/>
      <c r="O101" s="704" t="s">
        <v>198</v>
      </c>
      <c r="P101" s="697"/>
      <c r="Q101" s="697"/>
      <c r="R101" s="697" t="s">
        <v>198</v>
      </c>
      <c r="S101" s="697" t="s">
        <v>178</v>
      </c>
      <c r="T101" s="697"/>
      <c r="U101" s="697"/>
      <c r="V101" s="697"/>
      <c r="W101" s="697"/>
      <c r="X101" s="697"/>
      <c r="Y101" s="697"/>
    </row>
    <row r="102" spans="1:25">
      <c r="A102" s="1051">
        <f t="shared" si="6"/>
        <v>98</v>
      </c>
      <c r="B102" s="704" t="s">
        <v>175</v>
      </c>
      <c r="C102" s="978" t="s">
        <v>346</v>
      </c>
      <c r="D102" s="697" t="s">
        <v>347</v>
      </c>
      <c r="E102" s="697" t="s">
        <v>178</v>
      </c>
      <c r="F102" s="1049">
        <f t="shared" si="4"/>
        <v>36.1</v>
      </c>
      <c r="G102" s="978" t="s">
        <v>193</v>
      </c>
      <c r="H102" s="978" t="s">
        <v>180</v>
      </c>
      <c r="I102" s="704" t="s">
        <v>178</v>
      </c>
      <c r="J102" s="704" t="s">
        <v>178</v>
      </c>
      <c r="K102" s="704" t="s">
        <v>178</v>
      </c>
      <c r="L102" s="704" t="s">
        <v>178</v>
      </c>
      <c r="M102" s="697"/>
      <c r="N102" s="697"/>
      <c r="O102" s="697"/>
      <c r="P102" s="697"/>
      <c r="Q102" s="697"/>
      <c r="R102" s="697"/>
      <c r="S102" s="697"/>
      <c r="T102" s="697"/>
      <c r="U102" s="697"/>
      <c r="V102" s="697"/>
      <c r="W102" s="697" t="s">
        <v>178</v>
      </c>
      <c r="X102" s="697"/>
      <c r="Y102" s="697"/>
    </row>
    <row r="103" spans="1:25">
      <c r="A103" s="1051">
        <f t="shared" si="6"/>
        <v>99</v>
      </c>
      <c r="B103" s="704" t="s">
        <v>175</v>
      </c>
      <c r="C103" s="978" t="s">
        <v>348</v>
      </c>
      <c r="D103" s="697" t="s">
        <v>349</v>
      </c>
      <c r="E103" s="697" t="s">
        <v>178</v>
      </c>
      <c r="F103" s="1049">
        <f t="shared" si="4"/>
        <v>36.200000000000003</v>
      </c>
      <c r="G103" s="978" t="s">
        <v>193</v>
      </c>
      <c r="H103" s="978" t="s">
        <v>180</v>
      </c>
      <c r="I103" s="704" t="s">
        <v>178</v>
      </c>
      <c r="J103" s="704" t="s">
        <v>178</v>
      </c>
      <c r="K103" s="704" t="s">
        <v>178</v>
      </c>
      <c r="L103" s="704" t="s">
        <v>178</v>
      </c>
      <c r="M103" s="697"/>
      <c r="N103" s="697"/>
      <c r="O103" s="697"/>
      <c r="P103" s="697"/>
      <c r="Q103" s="697"/>
      <c r="R103" s="697"/>
      <c r="S103" s="697"/>
      <c r="T103" s="697"/>
      <c r="U103" s="697"/>
      <c r="V103" s="697"/>
      <c r="W103" s="697" t="s">
        <v>178</v>
      </c>
      <c r="X103" s="697"/>
      <c r="Y103" s="697"/>
    </row>
    <row r="104" spans="1:25">
      <c r="A104" s="1051">
        <f t="shared" si="6"/>
        <v>100</v>
      </c>
      <c r="B104" s="697" t="s">
        <v>7</v>
      </c>
      <c r="C104" s="977" t="s">
        <v>326</v>
      </c>
      <c r="D104" s="697" t="s">
        <v>350</v>
      </c>
      <c r="E104" s="697" t="s">
        <v>178</v>
      </c>
      <c r="F104" s="1049">
        <f t="shared" si="4"/>
        <v>37</v>
      </c>
      <c r="G104" s="978" t="s">
        <v>179</v>
      </c>
      <c r="H104" s="978" t="s">
        <v>187</v>
      </c>
      <c r="I104" s="697" t="s">
        <v>178</v>
      </c>
      <c r="J104" s="704" t="s">
        <v>178</v>
      </c>
      <c r="K104" s="704" t="s">
        <v>178</v>
      </c>
      <c r="L104" s="704" t="s">
        <v>178</v>
      </c>
      <c r="M104" s="697"/>
      <c r="N104" s="697"/>
      <c r="O104" s="697"/>
      <c r="P104" s="697"/>
      <c r="Q104" s="697"/>
      <c r="R104" s="697" t="s">
        <v>178</v>
      </c>
      <c r="S104" s="697"/>
      <c r="T104" s="697"/>
      <c r="U104" s="697"/>
      <c r="V104" s="697"/>
      <c r="W104" s="697"/>
      <c r="X104" s="697"/>
      <c r="Y104" s="697"/>
    </row>
    <row r="105" spans="1:25">
      <c r="A105" s="1051">
        <f t="shared" si="6"/>
        <v>101</v>
      </c>
      <c r="B105" s="697" t="s">
        <v>7</v>
      </c>
      <c r="C105" s="977" t="s">
        <v>351</v>
      </c>
      <c r="D105" s="697" t="s">
        <v>352</v>
      </c>
      <c r="E105" s="697" t="s">
        <v>178</v>
      </c>
      <c r="F105" s="1049">
        <f t="shared" si="4"/>
        <v>38</v>
      </c>
      <c r="G105" s="978" t="s">
        <v>179</v>
      </c>
      <c r="H105" s="978" t="s">
        <v>187</v>
      </c>
      <c r="I105" s="697" t="s">
        <v>178</v>
      </c>
      <c r="J105" s="704" t="s">
        <v>178</v>
      </c>
      <c r="K105" s="704" t="s">
        <v>178</v>
      </c>
      <c r="L105" s="704" t="s">
        <v>178</v>
      </c>
      <c r="M105" s="697"/>
      <c r="N105" s="697"/>
      <c r="O105" s="697"/>
      <c r="P105" s="697"/>
      <c r="Q105" s="697"/>
      <c r="R105" s="697" t="s">
        <v>178</v>
      </c>
      <c r="S105" s="697" t="s">
        <v>178</v>
      </c>
      <c r="T105" s="697"/>
      <c r="U105" s="697"/>
      <c r="V105" s="697" t="s">
        <v>178</v>
      </c>
      <c r="W105" s="697"/>
      <c r="X105" s="697" t="s">
        <v>178</v>
      </c>
      <c r="Y105" s="697" t="s">
        <v>178</v>
      </c>
    </row>
    <row r="106" spans="1:25">
      <c r="A106" s="1051">
        <f t="shared" si="6"/>
        <v>102</v>
      </c>
      <c r="B106" s="697" t="s">
        <v>7</v>
      </c>
      <c r="C106" s="978" t="s">
        <v>353</v>
      </c>
      <c r="D106" s="704" t="s">
        <v>354</v>
      </c>
      <c r="E106" s="704" t="s">
        <v>178</v>
      </c>
      <c r="F106" s="1049">
        <f t="shared" ref="F106:F108" si="7">IF(I106="Yes",IF(G106="Note",ROUNDDOWN(F105,0)+1,IF(G106="Sub Note",F105+0.1,F105)),F105)</f>
        <v>39</v>
      </c>
      <c r="G106" s="978" t="s">
        <v>179</v>
      </c>
      <c r="H106" s="978" t="s">
        <v>187</v>
      </c>
      <c r="I106" s="697" t="s">
        <v>178</v>
      </c>
      <c r="J106" s="704" t="s">
        <v>178</v>
      </c>
      <c r="K106" s="704" t="s">
        <v>178</v>
      </c>
      <c r="L106" s="704" t="s">
        <v>178</v>
      </c>
      <c r="M106" s="697"/>
      <c r="N106" s="697"/>
      <c r="O106" s="704" t="s">
        <v>178</v>
      </c>
      <c r="P106" s="697"/>
      <c r="Q106" s="697"/>
      <c r="R106" s="697" t="s">
        <v>178</v>
      </c>
      <c r="S106" s="697" t="s">
        <v>178</v>
      </c>
      <c r="T106" s="697"/>
      <c r="U106" s="697"/>
      <c r="V106" s="697"/>
      <c r="W106" s="697"/>
      <c r="X106" s="697" t="s">
        <v>178</v>
      </c>
      <c r="Y106" s="697" t="s">
        <v>178</v>
      </c>
    </row>
    <row r="107" spans="1:25">
      <c r="A107" s="1051">
        <f t="shared" si="6"/>
        <v>103</v>
      </c>
      <c r="B107" s="697" t="s">
        <v>7</v>
      </c>
      <c r="C107" s="977" t="s">
        <v>328</v>
      </c>
      <c r="D107" s="697" t="s">
        <v>355</v>
      </c>
      <c r="E107" s="697" t="s">
        <v>178</v>
      </c>
      <c r="F107" s="1049">
        <f t="shared" si="7"/>
        <v>40</v>
      </c>
      <c r="G107" s="978" t="s">
        <v>179</v>
      </c>
      <c r="H107" s="978" t="s">
        <v>187</v>
      </c>
      <c r="I107" s="697" t="s">
        <v>178</v>
      </c>
      <c r="J107" s="704" t="s">
        <v>178</v>
      </c>
      <c r="K107" s="704" t="s">
        <v>178</v>
      </c>
      <c r="L107" s="704" t="s">
        <v>178</v>
      </c>
      <c r="M107" s="697"/>
      <c r="N107" s="697"/>
      <c r="O107" s="704" t="s">
        <v>178</v>
      </c>
      <c r="P107" s="697"/>
      <c r="Q107" s="697"/>
      <c r="R107" s="697" t="s">
        <v>178</v>
      </c>
      <c r="S107" s="697"/>
      <c r="T107" s="697"/>
      <c r="U107" s="697"/>
      <c r="V107" s="697"/>
      <c r="W107" s="697"/>
      <c r="X107" s="697"/>
      <c r="Y107" s="697"/>
    </row>
    <row r="108" spans="1:25">
      <c r="A108" s="1051">
        <f t="shared" si="6"/>
        <v>104</v>
      </c>
      <c r="B108" s="704" t="s">
        <v>175</v>
      </c>
      <c r="C108" s="978" t="s">
        <v>212</v>
      </c>
      <c r="D108" s="697" t="s">
        <v>356</v>
      </c>
      <c r="E108" s="697" t="s">
        <v>178</v>
      </c>
      <c r="F108" s="1049">
        <f t="shared" si="7"/>
        <v>40.1</v>
      </c>
      <c r="G108" s="978" t="s">
        <v>193</v>
      </c>
      <c r="H108" s="978" t="s">
        <v>180</v>
      </c>
      <c r="I108" s="697" t="s">
        <v>178</v>
      </c>
      <c r="J108" s="704" t="s">
        <v>178</v>
      </c>
      <c r="K108" s="704" t="s">
        <v>178</v>
      </c>
      <c r="L108" s="704" t="s">
        <v>178</v>
      </c>
      <c r="M108" s="697"/>
      <c r="N108" s="697"/>
      <c r="O108" s="697"/>
      <c r="P108" s="697"/>
      <c r="Q108" s="697"/>
      <c r="R108" s="697"/>
      <c r="S108" s="697"/>
      <c r="T108" s="697"/>
      <c r="U108" s="697"/>
      <c r="V108" s="697"/>
      <c r="W108" s="697"/>
      <c r="X108" s="697"/>
      <c r="Y108" s="697"/>
    </row>
    <row r="109" spans="1:25">
      <c r="A109" s="1051">
        <f t="shared" si="6"/>
        <v>105</v>
      </c>
      <c r="B109" s="697" t="s">
        <v>7</v>
      </c>
      <c r="C109" s="979" t="s">
        <v>357</v>
      </c>
      <c r="D109" s="980"/>
      <c r="E109" s="980" t="s">
        <v>178</v>
      </c>
      <c r="F109" s="1049">
        <f t="shared" si="4"/>
        <v>40.1</v>
      </c>
      <c r="G109" s="978" t="s">
        <v>246</v>
      </c>
      <c r="H109" s="978" t="s">
        <v>187</v>
      </c>
      <c r="I109" s="697" t="s">
        <v>178</v>
      </c>
      <c r="J109" s="697" t="s">
        <v>246</v>
      </c>
      <c r="K109" s="697" t="s">
        <v>246</v>
      </c>
      <c r="L109" s="697" t="s">
        <v>246</v>
      </c>
      <c r="M109" s="697" t="s">
        <v>246</v>
      </c>
      <c r="N109" s="697" t="s">
        <v>246</v>
      </c>
      <c r="O109" s="697" t="s">
        <v>246</v>
      </c>
      <c r="P109" s="697" t="s">
        <v>246</v>
      </c>
      <c r="Q109" s="697" t="s">
        <v>246</v>
      </c>
      <c r="R109" s="697" t="s">
        <v>246</v>
      </c>
      <c r="S109" s="697" t="s">
        <v>246</v>
      </c>
      <c r="T109" s="697" t="s">
        <v>246</v>
      </c>
      <c r="U109" s="697" t="s">
        <v>246</v>
      </c>
      <c r="V109" s="697" t="s">
        <v>246</v>
      </c>
      <c r="W109" s="697" t="s">
        <v>246</v>
      </c>
      <c r="X109" s="697" t="s">
        <v>246</v>
      </c>
      <c r="Y109" s="697" t="s">
        <v>246</v>
      </c>
    </row>
    <row r="110" spans="1:25">
      <c r="A110" s="1051">
        <f t="shared" si="6"/>
        <v>106</v>
      </c>
      <c r="B110" s="697" t="s">
        <v>7</v>
      </c>
      <c r="C110" s="979" t="s">
        <v>358</v>
      </c>
      <c r="D110" s="980"/>
      <c r="E110" s="980" t="s">
        <v>178</v>
      </c>
      <c r="F110" s="1049">
        <f t="shared" si="4"/>
        <v>40.1</v>
      </c>
      <c r="G110" s="978" t="s">
        <v>246</v>
      </c>
      <c r="H110" s="978" t="s">
        <v>187</v>
      </c>
      <c r="I110" s="697" t="s">
        <v>178</v>
      </c>
      <c r="J110" s="697" t="s">
        <v>246</v>
      </c>
      <c r="K110" s="697" t="s">
        <v>246</v>
      </c>
      <c r="L110" s="697" t="s">
        <v>246</v>
      </c>
      <c r="M110" s="697" t="s">
        <v>246</v>
      </c>
      <c r="N110" s="697" t="s">
        <v>246</v>
      </c>
      <c r="O110" s="697" t="s">
        <v>246</v>
      </c>
      <c r="P110" s="697" t="s">
        <v>246</v>
      </c>
      <c r="Q110" s="697" t="s">
        <v>246</v>
      </c>
      <c r="R110" s="697" t="s">
        <v>246</v>
      </c>
      <c r="S110" s="697" t="s">
        <v>246</v>
      </c>
      <c r="T110" s="697" t="s">
        <v>246</v>
      </c>
      <c r="U110" s="697" t="s">
        <v>246</v>
      </c>
      <c r="V110" s="697" t="s">
        <v>246</v>
      </c>
      <c r="W110" s="697" t="s">
        <v>246</v>
      </c>
      <c r="X110" s="697" t="s">
        <v>246</v>
      </c>
      <c r="Y110" s="697" t="s">
        <v>246</v>
      </c>
    </row>
    <row r="111" spans="1:25">
      <c r="A111" s="1051">
        <f t="shared" si="6"/>
        <v>107</v>
      </c>
      <c r="B111" s="697" t="s">
        <v>7</v>
      </c>
      <c r="C111" s="979" t="s">
        <v>359</v>
      </c>
      <c r="D111" s="980"/>
      <c r="E111" s="980" t="s">
        <v>178</v>
      </c>
      <c r="F111" s="1049">
        <f t="shared" si="4"/>
        <v>40.1</v>
      </c>
      <c r="G111" s="978" t="s">
        <v>246</v>
      </c>
      <c r="H111" s="978" t="s">
        <v>187</v>
      </c>
      <c r="I111" s="697" t="s">
        <v>178</v>
      </c>
      <c r="J111" s="697" t="s">
        <v>246</v>
      </c>
      <c r="K111" s="697" t="s">
        <v>246</v>
      </c>
      <c r="L111" s="697" t="s">
        <v>246</v>
      </c>
      <c r="M111" s="697" t="s">
        <v>246</v>
      </c>
      <c r="N111" s="697" t="s">
        <v>246</v>
      </c>
      <c r="O111" s="697" t="s">
        <v>246</v>
      </c>
      <c r="P111" s="697" t="s">
        <v>246</v>
      </c>
      <c r="Q111" s="697" t="s">
        <v>246</v>
      </c>
      <c r="R111" s="697" t="s">
        <v>246</v>
      </c>
      <c r="S111" s="697" t="s">
        <v>246</v>
      </c>
      <c r="T111" s="697" t="s">
        <v>246</v>
      </c>
      <c r="U111" s="697" t="s">
        <v>246</v>
      </c>
      <c r="V111" s="697" t="s">
        <v>246</v>
      </c>
      <c r="W111" s="697" t="s">
        <v>246</v>
      </c>
      <c r="X111" s="697" t="s">
        <v>246</v>
      </c>
      <c r="Y111" s="697" t="s">
        <v>246</v>
      </c>
    </row>
    <row r="112" spans="1:25">
      <c r="A112" s="1051">
        <f t="shared" si="6"/>
        <v>108</v>
      </c>
      <c r="B112" s="704" t="s">
        <v>360</v>
      </c>
      <c r="C112" s="979" t="s">
        <v>361</v>
      </c>
      <c r="D112" s="980"/>
      <c r="E112" s="980" t="s">
        <v>178</v>
      </c>
      <c r="F112" s="1049">
        <f t="shared" si="4"/>
        <v>40.1</v>
      </c>
      <c r="G112" s="978" t="s">
        <v>186</v>
      </c>
      <c r="H112" s="978" t="s">
        <v>187</v>
      </c>
      <c r="I112" s="697" t="s">
        <v>178</v>
      </c>
      <c r="J112" s="697" t="s">
        <v>186</v>
      </c>
      <c r="K112" s="697" t="s">
        <v>186</v>
      </c>
      <c r="L112" s="697" t="s">
        <v>186</v>
      </c>
      <c r="M112" s="697" t="s">
        <v>186</v>
      </c>
      <c r="N112" s="697" t="s">
        <v>186</v>
      </c>
      <c r="O112" s="697" t="s">
        <v>186</v>
      </c>
      <c r="P112" s="697" t="s">
        <v>186</v>
      </c>
      <c r="Q112" s="697" t="s">
        <v>186</v>
      </c>
      <c r="R112" s="697" t="s">
        <v>186</v>
      </c>
      <c r="S112" s="697" t="s">
        <v>186</v>
      </c>
      <c r="T112" s="697" t="s">
        <v>186</v>
      </c>
      <c r="U112" s="697" t="s">
        <v>186</v>
      </c>
      <c r="V112" s="697" t="s">
        <v>186</v>
      </c>
      <c r="W112" s="697" t="s">
        <v>186</v>
      </c>
      <c r="X112" s="697" t="s">
        <v>186</v>
      </c>
      <c r="Y112" s="697" t="s">
        <v>186</v>
      </c>
    </row>
    <row r="113" spans="1:25">
      <c r="A113" s="1051">
        <f t="shared" si="6"/>
        <v>109</v>
      </c>
      <c r="B113" s="697" t="s">
        <v>360</v>
      </c>
      <c r="C113" s="978" t="s">
        <v>362</v>
      </c>
      <c r="D113" s="697" t="s">
        <v>363</v>
      </c>
      <c r="E113" s="697" t="s">
        <v>178</v>
      </c>
      <c r="F113" s="1049">
        <f t="shared" si="4"/>
        <v>41</v>
      </c>
      <c r="G113" s="978" t="s">
        <v>179</v>
      </c>
      <c r="H113" s="978" t="s">
        <v>187</v>
      </c>
      <c r="I113" s="697" t="s">
        <v>178</v>
      </c>
      <c r="J113" s="704" t="s">
        <v>178</v>
      </c>
      <c r="K113" s="704" t="s">
        <v>178</v>
      </c>
      <c r="L113" s="704" t="s">
        <v>178</v>
      </c>
      <c r="M113" s="697"/>
      <c r="N113" s="697"/>
      <c r="O113" s="704" t="s">
        <v>178</v>
      </c>
      <c r="P113" s="704" t="s">
        <v>178</v>
      </c>
      <c r="Q113" s="697"/>
      <c r="R113" s="697" t="s">
        <v>178</v>
      </c>
      <c r="S113" s="697" t="s">
        <v>178</v>
      </c>
      <c r="T113" s="697"/>
      <c r="U113" s="697"/>
      <c r="V113" s="697" t="s">
        <v>178</v>
      </c>
      <c r="W113" s="697" t="s">
        <v>178</v>
      </c>
      <c r="X113" s="697" t="s">
        <v>178</v>
      </c>
      <c r="Y113" s="697" t="s">
        <v>178</v>
      </c>
    </row>
    <row r="114" spans="1:25">
      <c r="A114" s="1051">
        <f t="shared" si="6"/>
        <v>110</v>
      </c>
      <c r="B114" s="704" t="s">
        <v>175</v>
      </c>
      <c r="C114" s="978" t="s">
        <v>364</v>
      </c>
      <c r="D114" s="697" t="s">
        <v>365</v>
      </c>
      <c r="E114" s="697" t="s">
        <v>178</v>
      </c>
      <c r="F114" s="1049">
        <f t="shared" si="4"/>
        <v>41.1</v>
      </c>
      <c r="G114" s="978" t="s">
        <v>193</v>
      </c>
      <c r="H114" s="978" t="s">
        <v>180</v>
      </c>
      <c r="I114" s="697" t="s">
        <v>178</v>
      </c>
      <c r="J114" s="704" t="s">
        <v>178</v>
      </c>
      <c r="K114" s="704" t="s">
        <v>178</v>
      </c>
      <c r="L114" s="704" t="s">
        <v>178</v>
      </c>
      <c r="M114" s="697"/>
      <c r="N114" s="697"/>
      <c r="O114" s="704" t="s">
        <v>178</v>
      </c>
      <c r="P114" s="697"/>
      <c r="Q114" s="697"/>
      <c r="R114" s="697" t="s">
        <v>178</v>
      </c>
      <c r="S114" s="697" t="s">
        <v>178</v>
      </c>
      <c r="T114" s="697"/>
      <c r="U114" s="697"/>
      <c r="V114" s="697" t="s">
        <v>178</v>
      </c>
      <c r="W114" s="697"/>
      <c r="X114" s="697" t="s">
        <v>178</v>
      </c>
      <c r="Y114" s="697" t="s">
        <v>178</v>
      </c>
    </row>
    <row r="115" spans="1:25">
      <c r="A115" s="1051">
        <f t="shared" si="6"/>
        <v>111</v>
      </c>
      <c r="B115" s="704" t="s">
        <v>175</v>
      </c>
      <c r="C115" s="978" t="s">
        <v>366</v>
      </c>
      <c r="D115" s="697" t="s">
        <v>367</v>
      </c>
      <c r="E115" s="697" t="s">
        <v>178</v>
      </c>
      <c r="F115" s="1049">
        <f t="shared" si="4"/>
        <v>41.2</v>
      </c>
      <c r="G115" s="978" t="s">
        <v>193</v>
      </c>
      <c r="H115" s="978" t="s">
        <v>180</v>
      </c>
      <c r="I115" s="697" t="s">
        <v>178</v>
      </c>
      <c r="J115" s="704" t="s">
        <v>178</v>
      </c>
      <c r="K115" s="704" t="s">
        <v>178</v>
      </c>
      <c r="L115" s="704" t="s">
        <v>178</v>
      </c>
      <c r="M115" s="697"/>
      <c r="N115" s="697"/>
      <c r="O115" s="704" t="s">
        <v>178</v>
      </c>
      <c r="P115" s="697"/>
      <c r="Q115" s="697"/>
      <c r="R115" s="697" t="s">
        <v>178</v>
      </c>
      <c r="S115" s="697" t="s">
        <v>178</v>
      </c>
      <c r="T115" s="697"/>
      <c r="U115" s="697"/>
      <c r="V115" s="697" t="s">
        <v>178</v>
      </c>
      <c r="W115" s="697"/>
      <c r="X115" s="697" t="s">
        <v>178</v>
      </c>
      <c r="Y115" s="697" t="s">
        <v>178</v>
      </c>
    </row>
    <row r="116" spans="1:25">
      <c r="A116" s="1051">
        <f t="shared" si="6"/>
        <v>112</v>
      </c>
      <c r="B116" s="704" t="s">
        <v>175</v>
      </c>
      <c r="C116" s="978" t="s">
        <v>368</v>
      </c>
      <c r="D116" s="697" t="s">
        <v>369</v>
      </c>
      <c r="E116" s="697" t="s">
        <v>178</v>
      </c>
      <c r="F116" s="1049">
        <f t="shared" si="4"/>
        <v>41.300000000000004</v>
      </c>
      <c r="G116" s="978" t="s">
        <v>193</v>
      </c>
      <c r="H116" s="978" t="s">
        <v>180</v>
      </c>
      <c r="I116" s="697" t="s">
        <v>178</v>
      </c>
      <c r="J116" s="704" t="s">
        <v>178</v>
      </c>
      <c r="K116" s="704" t="s">
        <v>178</v>
      </c>
      <c r="L116" s="704" t="s">
        <v>178</v>
      </c>
      <c r="M116" s="697"/>
      <c r="N116" s="697"/>
      <c r="O116" s="704" t="s">
        <v>178</v>
      </c>
      <c r="P116" s="697"/>
      <c r="Q116" s="697"/>
      <c r="R116" s="697" t="s">
        <v>178</v>
      </c>
      <c r="S116" s="697" t="s">
        <v>178</v>
      </c>
      <c r="T116" s="697"/>
      <c r="U116" s="697"/>
      <c r="V116" s="697" t="s">
        <v>178</v>
      </c>
      <c r="W116" s="697"/>
      <c r="X116" s="697" t="s">
        <v>178</v>
      </c>
      <c r="Y116" s="697" t="s">
        <v>178</v>
      </c>
    </row>
    <row r="117" spans="1:25">
      <c r="A117" s="1051">
        <f t="shared" si="6"/>
        <v>113</v>
      </c>
      <c r="B117" s="704" t="s">
        <v>175</v>
      </c>
      <c r="C117" s="978" t="s">
        <v>370</v>
      </c>
      <c r="D117" s="697" t="s">
        <v>371</v>
      </c>
      <c r="E117" s="697" t="s">
        <v>178</v>
      </c>
      <c r="F117" s="1049">
        <f t="shared" si="4"/>
        <v>41.400000000000006</v>
      </c>
      <c r="G117" s="978" t="s">
        <v>193</v>
      </c>
      <c r="H117" s="978" t="s">
        <v>180</v>
      </c>
      <c r="I117" s="697" t="s">
        <v>178</v>
      </c>
      <c r="J117" s="704" t="s">
        <v>178</v>
      </c>
      <c r="K117" s="704" t="s">
        <v>198</v>
      </c>
      <c r="L117" s="704" t="s">
        <v>198</v>
      </c>
      <c r="M117" s="697"/>
      <c r="N117" s="697"/>
      <c r="O117" s="704" t="s">
        <v>198</v>
      </c>
      <c r="P117" s="697"/>
      <c r="Q117" s="697"/>
      <c r="R117" s="697" t="s">
        <v>198</v>
      </c>
      <c r="S117" s="697" t="s">
        <v>198</v>
      </c>
      <c r="T117" s="697"/>
      <c r="U117" s="697"/>
      <c r="V117" s="697"/>
      <c r="W117" s="697"/>
      <c r="X117" s="697"/>
      <c r="Y117" s="697"/>
    </row>
    <row r="118" spans="1:25">
      <c r="A118" s="1051">
        <f t="shared" si="6"/>
        <v>114</v>
      </c>
      <c r="B118" s="697" t="s">
        <v>360</v>
      </c>
      <c r="C118" s="977" t="s">
        <v>372</v>
      </c>
      <c r="D118" s="697" t="s">
        <v>373</v>
      </c>
      <c r="E118" s="697" t="s">
        <v>178</v>
      </c>
      <c r="F118" s="1049">
        <f t="shared" si="4"/>
        <v>42</v>
      </c>
      <c r="G118" s="978" t="s">
        <v>179</v>
      </c>
      <c r="H118" s="978" t="s">
        <v>187</v>
      </c>
      <c r="I118" s="697" t="s">
        <v>178</v>
      </c>
      <c r="J118" s="704" t="s">
        <v>178</v>
      </c>
      <c r="K118" s="704" t="s">
        <v>178</v>
      </c>
      <c r="L118" s="704" t="s">
        <v>178</v>
      </c>
      <c r="M118" s="697"/>
      <c r="N118" s="697"/>
      <c r="O118" s="704" t="s">
        <v>178</v>
      </c>
      <c r="P118" s="704" t="s">
        <v>178</v>
      </c>
      <c r="Q118" s="697"/>
      <c r="R118" s="697" t="s">
        <v>178</v>
      </c>
      <c r="S118" s="697" t="s">
        <v>178</v>
      </c>
      <c r="T118" s="697"/>
      <c r="U118" s="697"/>
      <c r="V118" s="697" t="s">
        <v>178</v>
      </c>
      <c r="W118" s="697" t="s">
        <v>178</v>
      </c>
      <c r="X118" s="697" t="s">
        <v>178</v>
      </c>
      <c r="Y118" s="697" t="s">
        <v>178</v>
      </c>
    </row>
    <row r="119" spans="1:25">
      <c r="A119" s="1051">
        <f t="shared" si="6"/>
        <v>115</v>
      </c>
      <c r="B119" s="697" t="s">
        <v>360</v>
      </c>
      <c r="C119" s="979" t="s">
        <v>374</v>
      </c>
      <c r="D119" s="980"/>
      <c r="E119" s="980" t="s">
        <v>178</v>
      </c>
      <c r="F119" s="1049">
        <f t="shared" si="4"/>
        <v>42</v>
      </c>
      <c r="G119" s="978" t="s">
        <v>246</v>
      </c>
      <c r="H119" s="978" t="s">
        <v>187</v>
      </c>
      <c r="I119" s="697" t="s">
        <v>178</v>
      </c>
      <c r="J119" s="697" t="s">
        <v>246</v>
      </c>
      <c r="K119" s="697" t="s">
        <v>246</v>
      </c>
      <c r="L119" s="697" t="s">
        <v>246</v>
      </c>
      <c r="M119" s="697" t="s">
        <v>246</v>
      </c>
      <c r="N119" s="697" t="s">
        <v>246</v>
      </c>
      <c r="O119" s="697" t="s">
        <v>246</v>
      </c>
      <c r="P119" s="697" t="s">
        <v>246</v>
      </c>
      <c r="Q119" s="697" t="s">
        <v>246</v>
      </c>
      <c r="R119" s="697" t="s">
        <v>246</v>
      </c>
      <c r="S119" s="697" t="s">
        <v>246</v>
      </c>
      <c r="T119" s="697" t="s">
        <v>246</v>
      </c>
      <c r="U119" s="697" t="s">
        <v>246</v>
      </c>
      <c r="V119" s="697" t="s">
        <v>246</v>
      </c>
      <c r="W119" s="697" t="s">
        <v>246</v>
      </c>
      <c r="X119" s="697" t="s">
        <v>246</v>
      </c>
      <c r="Y119" s="697" t="s">
        <v>246</v>
      </c>
    </row>
    <row r="120" spans="1:25">
      <c r="A120" s="1051">
        <f t="shared" si="6"/>
        <v>116</v>
      </c>
      <c r="B120" s="697" t="s">
        <v>360</v>
      </c>
      <c r="C120" s="979" t="s">
        <v>375</v>
      </c>
      <c r="D120" s="980"/>
      <c r="E120" s="980" t="s">
        <v>178</v>
      </c>
      <c r="F120" s="1049">
        <f t="shared" si="4"/>
        <v>42</v>
      </c>
      <c r="G120" s="978" t="s">
        <v>186</v>
      </c>
      <c r="H120" s="978" t="s">
        <v>187</v>
      </c>
      <c r="I120" s="697" t="s">
        <v>178</v>
      </c>
      <c r="J120" s="697" t="s">
        <v>186</v>
      </c>
      <c r="K120" s="697" t="s">
        <v>186</v>
      </c>
      <c r="L120" s="697" t="s">
        <v>186</v>
      </c>
      <c r="M120" s="697" t="s">
        <v>186</v>
      </c>
      <c r="N120" s="697" t="s">
        <v>186</v>
      </c>
      <c r="O120" s="697" t="s">
        <v>186</v>
      </c>
      <c r="P120" s="697" t="s">
        <v>186</v>
      </c>
      <c r="Q120" s="697" t="s">
        <v>186</v>
      </c>
      <c r="R120" s="697" t="s">
        <v>186</v>
      </c>
      <c r="S120" s="697" t="s">
        <v>186</v>
      </c>
      <c r="T120" s="697" t="s">
        <v>186</v>
      </c>
      <c r="U120" s="697" t="s">
        <v>186</v>
      </c>
      <c r="V120" s="697" t="s">
        <v>186</v>
      </c>
      <c r="W120" s="697" t="s">
        <v>186</v>
      </c>
      <c r="X120" s="697" t="s">
        <v>186</v>
      </c>
      <c r="Y120" s="697" t="s">
        <v>186</v>
      </c>
    </row>
    <row r="121" spans="1:25">
      <c r="A121" s="1051">
        <f t="shared" si="6"/>
        <v>117</v>
      </c>
      <c r="B121" s="697" t="s">
        <v>360</v>
      </c>
      <c r="C121" s="977" t="s">
        <v>376</v>
      </c>
      <c r="D121" s="697" t="s">
        <v>377</v>
      </c>
      <c r="E121" s="697" t="s">
        <v>178</v>
      </c>
      <c r="F121" s="1049">
        <f t="shared" si="4"/>
        <v>43</v>
      </c>
      <c r="G121" s="978" t="s">
        <v>179</v>
      </c>
      <c r="H121" s="978" t="s">
        <v>187</v>
      </c>
      <c r="I121" s="697" t="s">
        <v>178</v>
      </c>
      <c r="J121" s="704" t="s">
        <v>178</v>
      </c>
      <c r="K121" s="704" t="s">
        <v>178</v>
      </c>
      <c r="L121" s="704" t="s">
        <v>178</v>
      </c>
      <c r="M121" s="697"/>
      <c r="N121" s="697"/>
      <c r="O121" s="704" t="s">
        <v>178</v>
      </c>
      <c r="P121" s="697"/>
      <c r="Q121" s="697"/>
      <c r="R121" s="697" t="s">
        <v>178</v>
      </c>
      <c r="S121" s="697"/>
      <c r="T121" s="697"/>
      <c r="U121" s="697"/>
      <c r="V121" s="697"/>
      <c r="W121" s="697"/>
      <c r="X121" s="697"/>
      <c r="Y121" s="697"/>
    </row>
    <row r="122" spans="1:25">
      <c r="A122" s="1051">
        <f t="shared" si="6"/>
        <v>118</v>
      </c>
      <c r="B122" s="697" t="s">
        <v>360</v>
      </c>
      <c r="C122" s="977" t="s">
        <v>378</v>
      </c>
      <c r="D122" s="697" t="s">
        <v>379</v>
      </c>
      <c r="E122" s="697" t="s">
        <v>178</v>
      </c>
      <c r="F122" s="1049">
        <f t="shared" si="4"/>
        <v>44</v>
      </c>
      <c r="G122" s="978" t="s">
        <v>179</v>
      </c>
      <c r="H122" s="978" t="s">
        <v>187</v>
      </c>
      <c r="I122" s="697" t="s">
        <v>178</v>
      </c>
      <c r="J122" s="704" t="s">
        <v>178</v>
      </c>
      <c r="K122" s="704" t="s">
        <v>178</v>
      </c>
      <c r="L122" s="704" t="s">
        <v>178</v>
      </c>
      <c r="M122" s="697"/>
      <c r="N122" s="697"/>
      <c r="O122" s="704" t="s">
        <v>178</v>
      </c>
      <c r="P122" s="697"/>
      <c r="Q122" s="697"/>
      <c r="R122" s="697" t="s">
        <v>178</v>
      </c>
      <c r="S122" s="697" t="s">
        <v>178</v>
      </c>
      <c r="T122" s="697"/>
      <c r="U122" s="697"/>
      <c r="V122" s="697" t="s">
        <v>178</v>
      </c>
      <c r="W122" s="697"/>
      <c r="X122" s="697" t="s">
        <v>178</v>
      </c>
      <c r="Y122" s="697" t="s">
        <v>178</v>
      </c>
    </row>
    <row r="123" spans="1:25" ht="26.45">
      <c r="A123" s="1051">
        <f t="shared" si="6"/>
        <v>119</v>
      </c>
      <c r="B123" s="697" t="s">
        <v>360</v>
      </c>
      <c r="C123" s="977" t="s">
        <v>380</v>
      </c>
      <c r="D123" s="697" t="s">
        <v>381</v>
      </c>
      <c r="E123" s="697" t="s">
        <v>178</v>
      </c>
      <c r="F123" s="1049">
        <f t="shared" si="4"/>
        <v>45</v>
      </c>
      <c r="G123" s="978" t="s">
        <v>179</v>
      </c>
      <c r="H123" s="978" t="s">
        <v>187</v>
      </c>
      <c r="I123" s="697" t="s">
        <v>178</v>
      </c>
      <c r="J123" s="704" t="s">
        <v>178</v>
      </c>
      <c r="K123" s="704" t="s">
        <v>178</v>
      </c>
      <c r="L123" s="704" t="s">
        <v>178</v>
      </c>
      <c r="M123" s="697"/>
      <c r="N123" s="697"/>
      <c r="O123" s="704" t="s">
        <v>178</v>
      </c>
      <c r="P123" s="697"/>
      <c r="Q123" s="697"/>
      <c r="R123" s="697" t="s">
        <v>178</v>
      </c>
      <c r="S123" s="697" t="s">
        <v>178</v>
      </c>
      <c r="T123" s="697"/>
      <c r="U123" s="697"/>
      <c r="V123" s="697" t="s">
        <v>178</v>
      </c>
      <c r="W123" s="697"/>
      <c r="X123" s="697" t="s">
        <v>178</v>
      </c>
      <c r="Y123" s="697" t="s">
        <v>178</v>
      </c>
    </row>
    <row r="124" spans="1:25">
      <c r="A124" s="1051">
        <f t="shared" si="6"/>
        <v>120</v>
      </c>
      <c r="B124" s="704" t="s">
        <v>175</v>
      </c>
      <c r="C124" s="978" t="s">
        <v>382</v>
      </c>
      <c r="D124" s="697" t="s">
        <v>383</v>
      </c>
      <c r="E124" s="697" t="s">
        <v>178</v>
      </c>
      <c r="F124" s="1049">
        <f t="shared" si="4"/>
        <v>46</v>
      </c>
      <c r="G124" s="978" t="s">
        <v>179</v>
      </c>
      <c r="H124" s="978" t="s">
        <v>180</v>
      </c>
      <c r="I124" s="697" t="s">
        <v>178</v>
      </c>
      <c r="J124" s="704" t="s">
        <v>178</v>
      </c>
      <c r="K124" s="704" t="s">
        <v>178</v>
      </c>
      <c r="L124" s="704" t="s">
        <v>178</v>
      </c>
      <c r="M124" s="697"/>
      <c r="N124" s="697"/>
      <c r="O124" s="704" t="s">
        <v>178</v>
      </c>
      <c r="P124" s="697"/>
      <c r="Q124" s="697"/>
      <c r="R124" s="697" t="s">
        <v>178</v>
      </c>
      <c r="S124" s="697" t="s">
        <v>178</v>
      </c>
      <c r="T124" s="697"/>
      <c r="U124" s="697"/>
      <c r="V124" s="697"/>
      <c r="W124" s="697"/>
      <c r="X124" s="697"/>
      <c r="Y124" s="697"/>
    </row>
    <row r="125" spans="1:25">
      <c r="A125" s="1051">
        <f t="shared" si="6"/>
        <v>121</v>
      </c>
      <c r="B125" s="697" t="s">
        <v>360</v>
      </c>
      <c r="C125" s="977" t="s">
        <v>384</v>
      </c>
      <c r="D125" s="697" t="s">
        <v>385</v>
      </c>
      <c r="E125" s="697" t="s">
        <v>178</v>
      </c>
      <c r="F125" s="1049">
        <f t="shared" si="4"/>
        <v>47</v>
      </c>
      <c r="G125" s="978" t="s">
        <v>179</v>
      </c>
      <c r="H125" s="978" t="s">
        <v>187</v>
      </c>
      <c r="I125" s="697" t="s">
        <v>178</v>
      </c>
      <c r="J125" s="704" t="s">
        <v>178</v>
      </c>
      <c r="K125" s="704" t="s">
        <v>178</v>
      </c>
      <c r="L125" s="704" t="s">
        <v>178</v>
      </c>
      <c r="M125" s="697"/>
      <c r="N125" s="697"/>
      <c r="O125" s="704" t="s">
        <v>178</v>
      </c>
      <c r="P125" s="704" t="s">
        <v>178</v>
      </c>
      <c r="Q125" s="697"/>
      <c r="R125" s="697" t="s">
        <v>178</v>
      </c>
      <c r="S125" s="697" t="s">
        <v>178</v>
      </c>
      <c r="T125" s="697"/>
      <c r="U125" s="697"/>
      <c r="V125" s="697" t="s">
        <v>178</v>
      </c>
      <c r="W125" s="697" t="s">
        <v>178</v>
      </c>
      <c r="X125" s="697" t="s">
        <v>178</v>
      </c>
      <c r="Y125" s="697" t="s">
        <v>178</v>
      </c>
    </row>
    <row r="126" spans="1:25">
      <c r="A126" s="1051">
        <f t="shared" si="6"/>
        <v>122</v>
      </c>
      <c r="B126" s="697" t="s">
        <v>360</v>
      </c>
      <c r="C126" s="977" t="s">
        <v>386</v>
      </c>
      <c r="D126" s="697" t="s">
        <v>387</v>
      </c>
      <c r="E126" s="697" t="s">
        <v>178</v>
      </c>
      <c r="F126" s="1049">
        <f t="shared" si="4"/>
        <v>48</v>
      </c>
      <c r="G126" s="978" t="s">
        <v>179</v>
      </c>
      <c r="H126" s="978" t="s">
        <v>187</v>
      </c>
      <c r="I126" s="697" t="s">
        <v>178</v>
      </c>
      <c r="J126" s="704" t="s">
        <v>178</v>
      </c>
      <c r="K126" s="704" t="s">
        <v>178</v>
      </c>
      <c r="L126" s="704" t="s">
        <v>178</v>
      </c>
      <c r="M126" s="697"/>
      <c r="N126" s="697"/>
      <c r="O126" s="704" t="s">
        <v>178</v>
      </c>
      <c r="P126" s="704" t="s">
        <v>178</v>
      </c>
      <c r="Q126" s="697"/>
      <c r="R126" s="697" t="s">
        <v>178</v>
      </c>
      <c r="S126" s="697" t="s">
        <v>178</v>
      </c>
      <c r="T126" s="697"/>
      <c r="U126" s="697"/>
      <c r="V126" s="697" t="s">
        <v>178</v>
      </c>
      <c r="W126" s="697" t="s">
        <v>178</v>
      </c>
      <c r="X126" s="697" t="s">
        <v>178</v>
      </c>
      <c r="Y126" s="697" t="s">
        <v>178</v>
      </c>
    </row>
    <row r="127" spans="1:25">
      <c r="A127" s="1051">
        <f t="shared" si="6"/>
        <v>123</v>
      </c>
      <c r="B127" s="697" t="s">
        <v>360</v>
      </c>
      <c r="C127" s="978" t="s">
        <v>388</v>
      </c>
      <c r="D127" s="697" t="s">
        <v>389</v>
      </c>
      <c r="E127" s="697" t="s">
        <v>178</v>
      </c>
      <c r="F127" s="1049">
        <f t="shared" si="4"/>
        <v>49</v>
      </c>
      <c r="G127" s="978" t="s">
        <v>179</v>
      </c>
      <c r="H127" s="978" t="s">
        <v>187</v>
      </c>
      <c r="I127" s="697" t="s">
        <v>178</v>
      </c>
      <c r="J127" s="704" t="s">
        <v>178</v>
      </c>
      <c r="K127" s="704" t="s">
        <v>178</v>
      </c>
      <c r="L127" s="704" t="s">
        <v>178</v>
      </c>
      <c r="M127" s="697"/>
      <c r="N127" s="697"/>
      <c r="O127" s="704" t="s">
        <v>178</v>
      </c>
      <c r="P127" s="697"/>
      <c r="Q127" s="697"/>
      <c r="R127" s="697" t="s">
        <v>178</v>
      </c>
      <c r="S127" s="697" t="s">
        <v>178</v>
      </c>
      <c r="T127" s="697"/>
      <c r="U127" s="697"/>
      <c r="V127" s="697" t="s">
        <v>178</v>
      </c>
      <c r="W127" s="697"/>
      <c r="X127" s="697" t="s">
        <v>178</v>
      </c>
      <c r="Y127" s="697" t="s">
        <v>178</v>
      </c>
    </row>
    <row r="128" spans="1:25">
      <c r="A128" s="1051">
        <f t="shared" si="6"/>
        <v>124</v>
      </c>
      <c r="B128" s="697" t="s">
        <v>360</v>
      </c>
      <c r="C128" s="977" t="s">
        <v>390</v>
      </c>
      <c r="D128" s="697" t="s">
        <v>391</v>
      </c>
      <c r="E128" s="697" t="s">
        <v>178</v>
      </c>
      <c r="F128" s="1049">
        <f t="shared" si="4"/>
        <v>50</v>
      </c>
      <c r="G128" s="978" t="s">
        <v>179</v>
      </c>
      <c r="H128" s="978" t="s">
        <v>187</v>
      </c>
      <c r="I128" s="697" t="s">
        <v>178</v>
      </c>
      <c r="J128" s="704" t="s">
        <v>178</v>
      </c>
      <c r="K128" s="704" t="s">
        <v>178</v>
      </c>
      <c r="L128" s="704" t="s">
        <v>178</v>
      </c>
      <c r="M128" s="697"/>
      <c r="N128" s="697"/>
      <c r="O128" s="704" t="s">
        <v>178</v>
      </c>
      <c r="P128" s="697"/>
      <c r="Q128" s="697"/>
      <c r="R128" s="697" t="s">
        <v>178</v>
      </c>
      <c r="S128" s="697" t="s">
        <v>178</v>
      </c>
      <c r="T128" s="697"/>
      <c r="U128" s="697"/>
      <c r="V128" s="697" t="s">
        <v>178</v>
      </c>
      <c r="W128" s="697"/>
      <c r="X128" s="697" t="s">
        <v>178</v>
      </c>
      <c r="Y128" s="697" t="s">
        <v>178</v>
      </c>
    </row>
    <row r="129" spans="1:25">
      <c r="A129" s="1051">
        <f t="shared" si="6"/>
        <v>125</v>
      </c>
      <c r="B129" s="697" t="s">
        <v>175</v>
      </c>
      <c r="C129" s="978" t="s">
        <v>392</v>
      </c>
      <c r="D129" s="697" t="s">
        <v>393</v>
      </c>
      <c r="E129" s="697" t="s">
        <v>178</v>
      </c>
      <c r="F129" s="1049">
        <f t="shared" si="4"/>
        <v>50.1</v>
      </c>
      <c r="G129" s="978" t="s">
        <v>193</v>
      </c>
      <c r="H129" s="978" t="s">
        <v>187</v>
      </c>
      <c r="I129" s="697" t="s">
        <v>178</v>
      </c>
      <c r="J129" s="697"/>
      <c r="K129" s="704" t="s">
        <v>178</v>
      </c>
      <c r="L129" s="704" t="s">
        <v>178</v>
      </c>
      <c r="M129" s="697"/>
      <c r="N129" s="697"/>
      <c r="O129" s="704" t="s">
        <v>178</v>
      </c>
      <c r="P129" s="697"/>
      <c r="Q129" s="697"/>
      <c r="R129" s="697"/>
      <c r="S129" s="697" t="s">
        <v>178</v>
      </c>
      <c r="T129" s="697"/>
      <c r="U129" s="697"/>
      <c r="V129" s="697"/>
      <c r="W129" s="697"/>
      <c r="X129" s="697"/>
      <c r="Y129" s="697"/>
    </row>
    <row r="130" spans="1:25">
      <c r="A130" s="1051">
        <f t="shared" si="6"/>
        <v>126</v>
      </c>
      <c r="B130" s="697" t="s">
        <v>175</v>
      </c>
      <c r="C130" s="978" t="s">
        <v>394</v>
      </c>
      <c r="D130" s="697" t="s">
        <v>395</v>
      </c>
      <c r="E130" s="697" t="s">
        <v>178</v>
      </c>
      <c r="F130" s="1049">
        <f t="shared" si="4"/>
        <v>50.2</v>
      </c>
      <c r="G130" s="978" t="s">
        <v>193</v>
      </c>
      <c r="H130" s="978" t="s">
        <v>187</v>
      </c>
      <c r="I130" s="697" t="s">
        <v>178</v>
      </c>
      <c r="J130" s="697"/>
      <c r="K130" s="704" t="s">
        <v>178</v>
      </c>
      <c r="L130" s="704" t="s">
        <v>178</v>
      </c>
      <c r="M130" s="697"/>
      <c r="N130" s="697"/>
      <c r="O130" s="704" t="s">
        <v>198</v>
      </c>
      <c r="P130" s="697"/>
      <c r="Q130" s="697"/>
      <c r="R130" s="697"/>
      <c r="S130" s="697"/>
      <c r="T130" s="697"/>
      <c r="U130" s="697"/>
      <c r="V130" s="697"/>
      <c r="W130" s="697"/>
      <c r="X130" s="697"/>
      <c r="Y130" s="697"/>
    </row>
    <row r="131" spans="1:25">
      <c r="A131" s="1051">
        <f t="shared" si="6"/>
        <v>127</v>
      </c>
      <c r="B131" s="697" t="s">
        <v>360</v>
      </c>
      <c r="C131" s="979" t="s">
        <v>396</v>
      </c>
      <c r="D131" s="980"/>
      <c r="E131" s="980" t="s">
        <v>178</v>
      </c>
      <c r="F131" s="1049">
        <f>IF(I131="Yes",IF(G131="Note",ROUNDDOWN(F130,0)+1,IF(G131="Sub Note",F130+0.1,F130)),F130)</f>
        <v>50.2</v>
      </c>
      <c r="G131" s="978" t="s">
        <v>246</v>
      </c>
      <c r="H131" s="978" t="s">
        <v>187</v>
      </c>
      <c r="I131" s="697" t="s">
        <v>178</v>
      </c>
      <c r="J131" s="697" t="s">
        <v>246</v>
      </c>
      <c r="K131" s="697" t="s">
        <v>246</v>
      </c>
      <c r="L131" s="697" t="s">
        <v>246</v>
      </c>
      <c r="M131" s="697" t="s">
        <v>246</v>
      </c>
      <c r="N131" s="697" t="s">
        <v>246</v>
      </c>
      <c r="O131" s="697" t="s">
        <v>246</v>
      </c>
      <c r="P131" s="697" t="s">
        <v>246</v>
      </c>
      <c r="Q131" s="697" t="s">
        <v>246</v>
      </c>
      <c r="R131" s="697" t="s">
        <v>246</v>
      </c>
      <c r="S131" s="697" t="s">
        <v>246</v>
      </c>
      <c r="T131" s="697" t="s">
        <v>246</v>
      </c>
      <c r="U131" s="697" t="s">
        <v>246</v>
      </c>
      <c r="V131" s="697" t="s">
        <v>246</v>
      </c>
      <c r="W131" s="697" t="s">
        <v>246</v>
      </c>
      <c r="X131" s="697" t="s">
        <v>246</v>
      </c>
      <c r="Y131" s="697" t="s">
        <v>246</v>
      </c>
    </row>
    <row r="132" spans="1:25">
      <c r="A132" s="1051">
        <f t="shared" si="6"/>
        <v>128</v>
      </c>
      <c r="B132" s="697" t="s">
        <v>360</v>
      </c>
      <c r="C132" s="979" t="s">
        <v>397</v>
      </c>
      <c r="D132" s="980"/>
      <c r="E132" s="980" t="s">
        <v>178</v>
      </c>
      <c r="F132" s="1049">
        <f t="shared" si="4"/>
        <v>50.2</v>
      </c>
      <c r="G132" s="978" t="s">
        <v>246</v>
      </c>
      <c r="H132" s="978" t="s">
        <v>187</v>
      </c>
      <c r="I132" s="697" t="s">
        <v>178</v>
      </c>
      <c r="J132" s="697" t="s">
        <v>186</v>
      </c>
      <c r="K132" s="697" t="s">
        <v>186</v>
      </c>
      <c r="L132" s="697" t="s">
        <v>186</v>
      </c>
      <c r="M132" s="697" t="s">
        <v>186</v>
      </c>
      <c r="N132" s="697" t="s">
        <v>186</v>
      </c>
      <c r="O132" s="697" t="s">
        <v>186</v>
      </c>
      <c r="P132" s="697" t="s">
        <v>186</v>
      </c>
      <c r="Q132" s="697" t="s">
        <v>186</v>
      </c>
      <c r="R132" s="697" t="s">
        <v>186</v>
      </c>
      <c r="S132" s="697" t="s">
        <v>186</v>
      </c>
      <c r="T132" s="697" t="s">
        <v>186</v>
      </c>
      <c r="U132" s="697" t="s">
        <v>186</v>
      </c>
      <c r="V132" s="697" t="s">
        <v>186</v>
      </c>
      <c r="W132" s="697" t="s">
        <v>186</v>
      </c>
      <c r="X132" s="697" t="s">
        <v>186</v>
      </c>
      <c r="Y132" s="697" t="s">
        <v>186</v>
      </c>
    </row>
    <row r="133" spans="1:25">
      <c r="A133" s="1051">
        <f t="shared" si="6"/>
        <v>129</v>
      </c>
      <c r="B133" s="697" t="s">
        <v>360</v>
      </c>
      <c r="C133" s="977" t="s">
        <v>398</v>
      </c>
      <c r="D133" s="697" t="s">
        <v>399</v>
      </c>
      <c r="E133" s="697" t="s">
        <v>178</v>
      </c>
      <c r="F133" s="1049">
        <f t="shared" si="4"/>
        <v>50.2</v>
      </c>
      <c r="G133" s="978" t="s">
        <v>179</v>
      </c>
      <c r="H133" s="978" t="s">
        <v>187</v>
      </c>
      <c r="I133" s="704" t="s">
        <v>198</v>
      </c>
      <c r="J133" s="697"/>
      <c r="K133" s="697"/>
      <c r="L133" s="697"/>
      <c r="M133" s="697"/>
      <c r="N133" s="697"/>
      <c r="O133" s="697"/>
      <c r="P133" s="697"/>
      <c r="Q133" s="697"/>
      <c r="R133" s="697"/>
      <c r="S133" s="697"/>
      <c r="T133" s="697"/>
      <c r="U133" s="697"/>
      <c r="V133" s="697"/>
      <c r="W133" s="697"/>
      <c r="X133" s="697"/>
      <c r="Y133" s="697"/>
    </row>
    <row r="134" spans="1:25">
      <c r="A134" s="1051">
        <f t="shared" si="6"/>
        <v>130</v>
      </c>
      <c r="B134" s="704" t="s">
        <v>175</v>
      </c>
      <c r="C134" s="978" t="s">
        <v>231</v>
      </c>
      <c r="D134" s="697"/>
      <c r="E134" s="697" t="s">
        <v>178</v>
      </c>
      <c r="F134" s="1049">
        <f t="shared" si="4"/>
        <v>50.2</v>
      </c>
      <c r="G134" s="978" t="s">
        <v>179</v>
      </c>
      <c r="H134" s="978" t="s">
        <v>180</v>
      </c>
      <c r="I134" s="704" t="s">
        <v>198</v>
      </c>
      <c r="J134" s="697"/>
      <c r="K134" s="697"/>
      <c r="L134" s="697"/>
      <c r="M134" s="697"/>
      <c r="N134" s="697"/>
      <c r="O134" s="697"/>
      <c r="P134" s="697"/>
      <c r="Q134" s="697"/>
      <c r="R134" s="697"/>
      <c r="S134" s="697"/>
      <c r="T134" s="697"/>
      <c r="U134" s="697"/>
      <c r="V134" s="697"/>
      <c r="W134" s="697"/>
      <c r="X134" s="697"/>
      <c r="Y134" s="697"/>
    </row>
    <row r="135" spans="1:25" ht="26.45">
      <c r="A135" s="1051">
        <f t="shared" si="6"/>
        <v>131</v>
      </c>
      <c r="B135" s="704" t="s">
        <v>175</v>
      </c>
      <c r="C135" s="978" t="s">
        <v>400</v>
      </c>
      <c r="D135" s="697"/>
      <c r="E135" s="697" t="s">
        <v>178</v>
      </c>
      <c r="F135" s="1049">
        <f t="shared" si="4"/>
        <v>50.300000000000004</v>
      </c>
      <c r="G135" s="978" t="s">
        <v>193</v>
      </c>
      <c r="H135" s="978" t="s">
        <v>180</v>
      </c>
      <c r="I135" s="697" t="s">
        <v>178</v>
      </c>
      <c r="J135" s="697"/>
      <c r="K135" s="697"/>
      <c r="L135" s="697"/>
      <c r="M135" s="697"/>
      <c r="N135" s="697"/>
      <c r="O135" s="697"/>
      <c r="P135" s="697"/>
      <c r="Q135" s="697"/>
      <c r="R135" s="697"/>
      <c r="S135" s="697"/>
      <c r="T135" s="697"/>
      <c r="U135" s="697"/>
      <c r="V135" s="697"/>
      <c r="W135" s="697"/>
      <c r="X135" s="697"/>
      <c r="Y135" s="697"/>
    </row>
    <row r="136" spans="1:25">
      <c r="A136" s="1051">
        <f t="shared" si="6"/>
        <v>132</v>
      </c>
      <c r="B136" s="704" t="s">
        <v>175</v>
      </c>
      <c r="C136" s="978" t="s">
        <v>401</v>
      </c>
      <c r="D136" s="697"/>
      <c r="E136" s="697" t="s">
        <v>178</v>
      </c>
      <c r="F136" s="1049">
        <f t="shared" si="4"/>
        <v>50.400000000000006</v>
      </c>
      <c r="G136" s="978" t="s">
        <v>193</v>
      </c>
      <c r="H136" s="978" t="s">
        <v>180</v>
      </c>
      <c r="I136" s="697" t="s">
        <v>178</v>
      </c>
      <c r="J136" s="697"/>
      <c r="K136" s="697"/>
      <c r="L136" s="697"/>
      <c r="M136" s="697"/>
      <c r="N136" s="697"/>
      <c r="O136" s="697"/>
      <c r="P136" s="697"/>
      <c r="Q136" s="697"/>
      <c r="R136" s="697"/>
      <c r="S136" s="697"/>
      <c r="T136" s="697"/>
      <c r="U136" s="697"/>
      <c r="V136" s="697"/>
      <c r="W136" s="697"/>
      <c r="X136" s="697"/>
      <c r="Y136" s="697"/>
    </row>
    <row r="137" spans="1:25">
      <c r="A137" s="1051">
        <f t="shared" si="6"/>
        <v>133</v>
      </c>
      <c r="B137" s="704" t="s">
        <v>360</v>
      </c>
      <c r="C137" s="979" t="s">
        <v>402</v>
      </c>
      <c r="D137" s="980"/>
      <c r="E137" s="980" t="s">
        <v>178</v>
      </c>
      <c r="F137" s="1049">
        <f t="shared" si="4"/>
        <v>50.400000000000006</v>
      </c>
      <c r="G137" s="978" t="s">
        <v>246</v>
      </c>
      <c r="H137" s="978" t="s">
        <v>187</v>
      </c>
      <c r="I137" s="697" t="s">
        <v>178</v>
      </c>
      <c r="J137" s="697" t="s">
        <v>186</v>
      </c>
      <c r="K137" s="697" t="s">
        <v>186</v>
      </c>
      <c r="L137" s="697" t="s">
        <v>186</v>
      </c>
      <c r="M137" s="697" t="s">
        <v>186</v>
      </c>
      <c r="N137" s="697" t="s">
        <v>186</v>
      </c>
      <c r="O137" s="697" t="s">
        <v>186</v>
      </c>
      <c r="P137" s="697" t="s">
        <v>186</v>
      </c>
      <c r="Q137" s="697" t="s">
        <v>186</v>
      </c>
      <c r="R137" s="697" t="s">
        <v>186</v>
      </c>
      <c r="S137" s="697" t="s">
        <v>186</v>
      </c>
      <c r="T137" s="697" t="s">
        <v>186</v>
      </c>
      <c r="U137" s="697" t="s">
        <v>186</v>
      </c>
      <c r="V137" s="697" t="s">
        <v>186</v>
      </c>
      <c r="W137" s="697" t="s">
        <v>186</v>
      </c>
      <c r="X137" s="697" t="s">
        <v>186</v>
      </c>
      <c r="Y137" s="697" t="s">
        <v>186</v>
      </c>
    </row>
    <row r="138" spans="1:25">
      <c r="A138" s="1051">
        <f t="shared" si="6"/>
        <v>134</v>
      </c>
      <c r="B138" s="704" t="s">
        <v>360</v>
      </c>
      <c r="C138" s="979" t="s">
        <v>403</v>
      </c>
      <c r="D138" s="980"/>
      <c r="E138" s="980" t="s">
        <v>178</v>
      </c>
      <c r="F138" s="1049">
        <f t="shared" si="4"/>
        <v>50.400000000000006</v>
      </c>
      <c r="G138" s="978" t="s">
        <v>246</v>
      </c>
      <c r="H138" s="978" t="s">
        <v>187</v>
      </c>
      <c r="I138" s="697" t="s">
        <v>178</v>
      </c>
      <c r="J138" s="697" t="s">
        <v>186</v>
      </c>
      <c r="K138" s="697" t="s">
        <v>186</v>
      </c>
      <c r="L138" s="697" t="s">
        <v>186</v>
      </c>
      <c r="M138" s="697" t="s">
        <v>186</v>
      </c>
      <c r="N138" s="697" t="s">
        <v>186</v>
      </c>
      <c r="O138" s="697" t="s">
        <v>186</v>
      </c>
      <c r="P138" s="697" t="s">
        <v>186</v>
      </c>
      <c r="Q138" s="697" t="s">
        <v>186</v>
      </c>
      <c r="R138" s="697" t="s">
        <v>186</v>
      </c>
      <c r="S138" s="697" t="s">
        <v>186</v>
      </c>
      <c r="T138" s="697" t="s">
        <v>186</v>
      </c>
      <c r="U138" s="697" t="s">
        <v>186</v>
      </c>
      <c r="V138" s="697" t="s">
        <v>186</v>
      </c>
      <c r="W138" s="697" t="s">
        <v>186</v>
      </c>
      <c r="X138" s="697" t="s">
        <v>186</v>
      </c>
      <c r="Y138" s="697" t="s">
        <v>186</v>
      </c>
    </row>
    <row r="139" spans="1:25">
      <c r="A139" s="1051">
        <f t="shared" si="6"/>
        <v>135</v>
      </c>
      <c r="B139" s="704" t="s">
        <v>360</v>
      </c>
      <c r="C139" s="978" t="s">
        <v>404</v>
      </c>
      <c r="D139" s="697" t="s">
        <v>405</v>
      </c>
      <c r="E139" s="697" t="s">
        <v>178</v>
      </c>
      <c r="F139" s="1049">
        <f t="shared" si="4"/>
        <v>50.500000000000007</v>
      </c>
      <c r="G139" s="978" t="s">
        <v>193</v>
      </c>
      <c r="H139" s="978" t="s">
        <v>187</v>
      </c>
      <c r="I139" s="697" t="s">
        <v>178</v>
      </c>
      <c r="J139" s="697"/>
      <c r="K139" s="697"/>
      <c r="L139" s="697"/>
      <c r="M139" s="697"/>
      <c r="N139" s="697"/>
      <c r="O139" s="697"/>
      <c r="P139" s="697"/>
      <c r="Q139" s="697"/>
      <c r="R139" s="697"/>
      <c r="S139" s="697"/>
      <c r="T139" s="697"/>
      <c r="U139" s="697"/>
      <c r="V139" s="697"/>
      <c r="W139" s="697"/>
      <c r="X139" s="697"/>
      <c r="Y139" s="697"/>
    </row>
    <row r="140" spans="1:25">
      <c r="A140" s="1051">
        <f t="shared" si="6"/>
        <v>136</v>
      </c>
      <c r="B140" s="704" t="s">
        <v>360</v>
      </c>
      <c r="C140" s="978" t="s">
        <v>406</v>
      </c>
      <c r="D140" s="697" t="s">
        <v>407</v>
      </c>
      <c r="E140" s="697" t="s">
        <v>178</v>
      </c>
      <c r="F140" s="1049">
        <f t="shared" si="4"/>
        <v>50.600000000000009</v>
      </c>
      <c r="G140" s="978" t="s">
        <v>193</v>
      </c>
      <c r="H140" s="978" t="s">
        <v>187</v>
      </c>
      <c r="I140" s="697" t="s">
        <v>178</v>
      </c>
      <c r="J140" s="697"/>
      <c r="K140" s="697"/>
      <c r="L140" s="697"/>
      <c r="M140" s="697"/>
      <c r="N140" s="697"/>
      <c r="O140" s="697"/>
      <c r="P140" s="697"/>
      <c r="Q140" s="697"/>
      <c r="R140" s="697"/>
      <c r="S140" s="697"/>
      <c r="T140" s="697"/>
      <c r="U140" s="697"/>
      <c r="V140" s="697"/>
      <c r="W140" s="697"/>
      <c r="X140" s="697"/>
      <c r="Y140" s="697"/>
    </row>
    <row r="141" spans="1:25">
      <c r="A141" s="1051">
        <f t="shared" si="6"/>
        <v>137</v>
      </c>
      <c r="B141" s="704" t="s">
        <v>360</v>
      </c>
      <c r="C141" s="979" t="s">
        <v>408</v>
      </c>
      <c r="D141" s="980"/>
      <c r="E141" s="980" t="s">
        <v>178</v>
      </c>
      <c r="F141" s="1049">
        <f t="shared" si="4"/>
        <v>50.600000000000009</v>
      </c>
      <c r="G141" s="978" t="s">
        <v>246</v>
      </c>
      <c r="H141" s="978" t="s">
        <v>187</v>
      </c>
      <c r="I141" s="697" t="s">
        <v>178</v>
      </c>
      <c r="J141" s="697" t="s">
        <v>246</v>
      </c>
      <c r="K141" s="697" t="s">
        <v>246</v>
      </c>
      <c r="L141" s="697" t="s">
        <v>246</v>
      </c>
      <c r="M141" s="697" t="s">
        <v>246</v>
      </c>
      <c r="N141" s="697" t="s">
        <v>246</v>
      </c>
      <c r="O141" s="697" t="s">
        <v>246</v>
      </c>
      <c r="P141" s="697" t="s">
        <v>246</v>
      </c>
      <c r="Q141" s="697" t="s">
        <v>246</v>
      </c>
      <c r="R141" s="697" t="s">
        <v>246</v>
      </c>
      <c r="S141" s="697" t="s">
        <v>246</v>
      </c>
      <c r="T141" s="697" t="s">
        <v>246</v>
      </c>
      <c r="U141" s="697" t="s">
        <v>246</v>
      </c>
      <c r="V141" s="697" t="s">
        <v>246</v>
      </c>
      <c r="W141" s="697" t="s">
        <v>246</v>
      </c>
      <c r="X141" s="697" t="s">
        <v>246</v>
      </c>
      <c r="Y141" s="697" t="s">
        <v>246</v>
      </c>
    </row>
    <row r="142" spans="1:25">
      <c r="A142" s="1051">
        <f t="shared" si="6"/>
        <v>138</v>
      </c>
      <c r="B142" s="704" t="s">
        <v>360</v>
      </c>
      <c r="C142" s="979" t="s">
        <v>409</v>
      </c>
      <c r="D142" s="980"/>
      <c r="E142" s="980" t="s">
        <v>178</v>
      </c>
      <c r="F142" s="1049">
        <f t="shared" si="4"/>
        <v>50.600000000000009</v>
      </c>
      <c r="G142" s="978" t="s">
        <v>246</v>
      </c>
      <c r="H142" s="978" t="s">
        <v>187</v>
      </c>
      <c r="I142" s="697" t="s">
        <v>178</v>
      </c>
      <c r="J142" s="697" t="s">
        <v>186</v>
      </c>
      <c r="K142" s="697" t="s">
        <v>186</v>
      </c>
      <c r="L142" s="697" t="s">
        <v>186</v>
      </c>
      <c r="M142" s="697" t="s">
        <v>186</v>
      </c>
      <c r="N142" s="697" t="s">
        <v>186</v>
      </c>
      <c r="O142" s="697" t="s">
        <v>186</v>
      </c>
      <c r="P142" s="697" t="s">
        <v>186</v>
      </c>
      <c r="Q142" s="697" t="s">
        <v>186</v>
      </c>
      <c r="R142" s="697" t="s">
        <v>186</v>
      </c>
      <c r="S142" s="697" t="s">
        <v>186</v>
      </c>
      <c r="T142" s="697" t="s">
        <v>186</v>
      </c>
      <c r="U142" s="697" t="s">
        <v>186</v>
      </c>
      <c r="V142" s="697" t="s">
        <v>186</v>
      </c>
      <c r="W142" s="697" t="s">
        <v>186</v>
      </c>
      <c r="X142" s="697" t="s">
        <v>186</v>
      </c>
      <c r="Y142" s="697" t="s">
        <v>186</v>
      </c>
    </row>
    <row r="143" spans="1:25">
      <c r="A143" s="1051">
        <f t="shared" si="6"/>
        <v>139</v>
      </c>
      <c r="B143" s="704" t="s">
        <v>360</v>
      </c>
      <c r="C143" s="979" t="s">
        <v>410</v>
      </c>
      <c r="D143" s="980"/>
      <c r="E143" s="980" t="s">
        <v>178</v>
      </c>
      <c r="F143" s="1049">
        <f t="shared" si="4"/>
        <v>50.600000000000009</v>
      </c>
      <c r="G143" s="978" t="s">
        <v>186</v>
      </c>
      <c r="H143" s="978" t="s">
        <v>187</v>
      </c>
      <c r="I143" s="697" t="s">
        <v>178</v>
      </c>
      <c r="J143" s="697" t="s">
        <v>186</v>
      </c>
      <c r="K143" s="697" t="s">
        <v>186</v>
      </c>
      <c r="L143" s="697" t="s">
        <v>186</v>
      </c>
      <c r="M143" s="697" t="s">
        <v>186</v>
      </c>
      <c r="N143" s="697" t="s">
        <v>186</v>
      </c>
      <c r="O143" s="697" t="s">
        <v>186</v>
      </c>
      <c r="P143" s="697" t="s">
        <v>186</v>
      </c>
      <c r="Q143" s="697" t="s">
        <v>186</v>
      </c>
      <c r="R143" s="697" t="s">
        <v>186</v>
      </c>
      <c r="S143" s="697" t="s">
        <v>186</v>
      </c>
      <c r="T143" s="697" t="s">
        <v>186</v>
      </c>
      <c r="U143" s="697" t="s">
        <v>186</v>
      </c>
      <c r="V143" s="697" t="s">
        <v>186</v>
      </c>
      <c r="W143" s="697" t="s">
        <v>186</v>
      </c>
      <c r="X143" s="697" t="s">
        <v>186</v>
      </c>
      <c r="Y143" s="697" t="s">
        <v>186</v>
      </c>
    </row>
    <row r="144" spans="1:25">
      <c r="A144" s="1051">
        <f t="shared" si="6"/>
        <v>140</v>
      </c>
      <c r="B144" s="704" t="s">
        <v>360</v>
      </c>
      <c r="C144" s="978" t="s">
        <v>411</v>
      </c>
      <c r="D144" s="697"/>
      <c r="E144" s="697" t="s">
        <v>178</v>
      </c>
      <c r="F144" s="1049">
        <f t="shared" si="4"/>
        <v>50.600000000000009</v>
      </c>
      <c r="G144" s="978" t="s">
        <v>179</v>
      </c>
      <c r="H144" s="978" t="s">
        <v>187</v>
      </c>
      <c r="I144" s="704" t="s">
        <v>198</v>
      </c>
      <c r="J144" s="697"/>
      <c r="K144" s="697"/>
      <c r="L144" s="697"/>
      <c r="M144" s="697"/>
      <c r="N144" s="697"/>
      <c r="O144" s="697"/>
      <c r="P144" s="697"/>
      <c r="Q144" s="697"/>
      <c r="R144" s="697"/>
      <c r="S144" s="697"/>
      <c r="T144" s="697"/>
      <c r="U144" s="697"/>
      <c r="V144" s="697"/>
      <c r="W144" s="697"/>
      <c r="X144" s="697"/>
      <c r="Y144" s="697"/>
    </row>
    <row r="145" spans="1:25">
      <c r="A145" s="1051">
        <f t="shared" si="6"/>
        <v>141</v>
      </c>
      <c r="B145" s="704" t="s">
        <v>360</v>
      </c>
      <c r="C145" s="978" t="s">
        <v>412</v>
      </c>
      <c r="D145" s="697"/>
      <c r="E145" s="697"/>
      <c r="F145" s="977"/>
      <c r="G145" s="978"/>
      <c r="H145" s="978"/>
      <c r="I145" s="697"/>
      <c r="J145" s="697"/>
      <c r="K145" s="697"/>
      <c r="L145" s="697"/>
      <c r="M145" s="697"/>
      <c r="N145" s="697"/>
      <c r="O145" s="697"/>
      <c r="P145" s="697"/>
      <c r="Q145" s="697"/>
      <c r="R145" s="697"/>
      <c r="S145" s="697"/>
      <c r="T145" s="697"/>
      <c r="U145" s="697"/>
      <c r="V145" s="697"/>
      <c r="W145" s="697"/>
      <c r="X145" s="697"/>
      <c r="Y145" s="697"/>
    </row>
    <row r="146" spans="1:25" ht="26.45">
      <c r="A146" s="1051">
        <f t="shared" si="6"/>
        <v>142</v>
      </c>
      <c r="B146" s="704" t="s">
        <v>360</v>
      </c>
      <c r="C146" s="978" t="s">
        <v>413</v>
      </c>
      <c r="D146" s="697"/>
      <c r="E146" s="697" t="s">
        <v>178</v>
      </c>
      <c r="F146" s="1049">
        <f>IF(I146="Yes",IF(G146="Note",ROUNDDOWN(F144,0)+1,IF(G146="Sub Note",F144+0.1,F144)),F144)</f>
        <v>50.600000000000009</v>
      </c>
      <c r="G146" s="978" t="s">
        <v>179</v>
      </c>
      <c r="H146" s="978" t="s">
        <v>187</v>
      </c>
      <c r="I146" s="704" t="s">
        <v>198</v>
      </c>
      <c r="J146" s="697"/>
      <c r="K146" s="697"/>
      <c r="L146" s="697"/>
      <c r="M146" s="697"/>
      <c r="N146" s="697"/>
      <c r="O146" s="697"/>
      <c r="P146" s="697"/>
      <c r="Q146" s="697"/>
      <c r="R146" s="697"/>
      <c r="S146" s="697"/>
      <c r="T146" s="697"/>
      <c r="U146" s="697"/>
      <c r="V146" s="697"/>
      <c r="W146" s="697"/>
      <c r="X146" s="697"/>
      <c r="Y146" s="697"/>
    </row>
    <row r="147" spans="1:25">
      <c r="A147" s="1051">
        <f t="shared" si="6"/>
        <v>143</v>
      </c>
      <c r="B147" s="704" t="s">
        <v>360</v>
      </c>
      <c r="C147" s="978" t="s">
        <v>414</v>
      </c>
      <c r="D147" s="697"/>
      <c r="E147" s="697"/>
      <c r="F147" s="977"/>
      <c r="G147" s="978"/>
      <c r="H147" s="978"/>
      <c r="I147" s="704" t="s">
        <v>198</v>
      </c>
      <c r="J147" s="697"/>
      <c r="K147" s="697"/>
      <c r="L147" s="697"/>
      <c r="M147" s="697"/>
      <c r="N147" s="697"/>
      <c r="O147" s="697"/>
      <c r="P147" s="697"/>
      <c r="Q147" s="697"/>
      <c r="R147" s="697"/>
      <c r="S147" s="697"/>
      <c r="T147" s="697"/>
      <c r="U147" s="697"/>
      <c r="V147" s="697"/>
      <c r="W147" s="697"/>
      <c r="X147" s="697"/>
      <c r="Y147" s="697"/>
    </row>
    <row r="148" spans="1:25">
      <c r="A148" s="1051">
        <f t="shared" si="6"/>
        <v>144</v>
      </c>
      <c r="B148" s="704" t="s">
        <v>360</v>
      </c>
      <c r="C148" s="978" t="s">
        <v>306</v>
      </c>
      <c r="D148" s="697"/>
      <c r="E148" s="697" t="s">
        <v>178</v>
      </c>
      <c r="F148" s="1049">
        <f>IF(I148="Yes",IF(G148="Note",ROUNDDOWN(F146,0)+1,IF(G148="Sub Note",F146+0.1,F146)),F146)</f>
        <v>50.600000000000009</v>
      </c>
      <c r="G148" s="978" t="s">
        <v>179</v>
      </c>
      <c r="H148" s="978" t="s">
        <v>187</v>
      </c>
      <c r="I148" s="704" t="s">
        <v>198</v>
      </c>
      <c r="J148" s="697"/>
      <c r="K148" s="697"/>
      <c r="L148" s="697"/>
      <c r="M148" s="697"/>
      <c r="N148" s="697"/>
      <c r="O148" s="697"/>
      <c r="P148" s="697"/>
      <c r="Q148" s="697"/>
      <c r="R148" s="697"/>
      <c r="S148" s="697"/>
      <c r="T148" s="697"/>
      <c r="U148" s="697"/>
      <c r="V148" s="697"/>
      <c r="W148" s="697"/>
      <c r="X148" s="697"/>
      <c r="Y148" s="697"/>
    </row>
    <row r="149" spans="1:25">
      <c r="A149" s="1051">
        <f t="shared" si="6"/>
        <v>145</v>
      </c>
      <c r="B149" s="704" t="s">
        <v>360</v>
      </c>
      <c r="C149" s="979" t="s">
        <v>415</v>
      </c>
      <c r="D149" s="980"/>
      <c r="E149" s="980" t="s">
        <v>178</v>
      </c>
      <c r="F149" s="1049">
        <f>IF(I149="Yes",IF(G149="Note",ROUNDDOWN(F148,0)+1,IF(G149="Sub Note",F148+0.1,F148)),F148)</f>
        <v>50.600000000000009</v>
      </c>
      <c r="G149" s="978" t="s">
        <v>246</v>
      </c>
      <c r="H149" s="978" t="s">
        <v>187</v>
      </c>
      <c r="I149" s="697" t="s">
        <v>178</v>
      </c>
      <c r="J149" s="697" t="s">
        <v>246</v>
      </c>
      <c r="K149" s="697" t="s">
        <v>246</v>
      </c>
      <c r="L149" s="697" t="s">
        <v>246</v>
      </c>
      <c r="M149" s="697" t="s">
        <v>246</v>
      </c>
      <c r="N149" s="697" t="s">
        <v>246</v>
      </c>
      <c r="O149" s="697" t="s">
        <v>246</v>
      </c>
      <c r="P149" s="697" t="s">
        <v>246</v>
      </c>
      <c r="Q149" s="697" t="s">
        <v>246</v>
      </c>
      <c r="R149" s="697" t="s">
        <v>246</v>
      </c>
      <c r="S149" s="697" t="s">
        <v>246</v>
      </c>
      <c r="T149" s="697" t="s">
        <v>246</v>
      </c>
      <c r="U149" s="697" t="s">
        <v>246</v>
      </c>
      <c r="V149" s="697" t="s">
        <v>246</v>
      </c>
      <c r="W149" s="697" t="s">
        <v>246</v>
      </c>
      <c r="X149" s="697" t="s">
        <v>246</v>
      </c>
      <c r="Y149" s="697" t="s">
        <v>246</v>
      </c>
    </row>
    <row r="150" spans="1:25">
      <c r="A150" s="1051">
        <f t="shared" si="6"/>
        <v>146</v>
      </c>
      <c r="B150" s="704" t="s">
        <v>360</v>
      </c>
      <c r="C150" s="979" t="s">
        <v>416</v>
      </c>
      <c r="D150" s="980"/>
      <c r="E150" s="980" t="s">
        <v>178</v>
      </c>
      <c r="F150" s="1049">
        <f t="shared" si="4"/>
        <v>50.600000000000009</v>
      </c>
      <c r="G150" s="978" t="s">
        <v>246</v>
      </c>
      <c r="H150" s="978" t="s">
        <v>187</v>
      </c>
      <c r="I150" s="697" t="s">
        <v>178</v>
      </c>
      <c r="J150" s="697" t="s">
        <v>246</v>
      </c>
      <c r="K150" s="697" t="s">
        <v>246</v>
      </c>
      <c r="L150" s="697" t="s">
        <v>246</v>
      </c>
      <c r="M150" s="697" t="s">
        <v>246</v>
      </c>
      <c r="N150" s="697" t="s">
        <v>246</v>
      </c>
      <c r="O150" s="697" t="s">
        <v>246</v>
      </c>
      <c r="P150" s="697" t="s">
        <v>246</v>
      </c>
      <c r="Q150" s="697" t="s">
        <v>246</v>
      </c>
      <c r="R150" s="697" t="s">
        <v>246</v>
      </c>
      <c r="S150" s="697" t="s">
        <v>246</v>
      </c>
      <c r="T150" s="697" t="s">
        <v>246</v>
      </c>
      <c r="U150" s="697" t="s">
        <v>246</v>
      </c>
      <c r="V150" s="697" t="s">
        <v>246</v>
      </c>
      <c r="W150" s="697" t="s">
        <v>246</v>
      </c>
      <c r="X150" s="697" t="s">
        <v>246</v>
      </c>
      <c r="Y150" s="697" t="s">
        <v>246</v>
      </c>
    </row>
    <row r="151" spans="1:25">
      <c r="A151" s="1051">
        <f t="shared" si="6"/>
        <v>147</v>
      </c>
      <c r="B151" s="704" t="s">
        <v>360</v>
      </c>
      <c r="C151" s="979" t="s">
        <v>417</v>
      </c>
      <c r="D151" s="980"/>
      <c r="E151" s="980" t="s">
        <v>178</v>
      </c>
      <c r="F151" s="1049">
        <f t="shared" si="4"/>
        <v>50.600000000000009</v>
      </c>
      <c r="G151" s="978" t="s">
        <v>186</v>
      </c>
      <c r="H151" s="978" t="s">
        <v>187</v>
      </c>
      <c r="I151" s="697" t="s">
        <v>178</v>
      </c>
      <c r="J151" s="697" t="s">
        <v>186</v>
      </c>
      <c r="K151" s="697" t="s">
        <v>186</v>
      </c>
      <c r="L151" s="697" t="s">
        <v>186</v>
      </c>
      <c r="M151" s="697" t="s">
        <v>186</v>
      </c>
      <c r="N151" s="697" t="s">
        <v>186</v>
      </c>
      <c r="O151" s="697" t="s">
        <v>186</v>
      </c>
      <c r="P151" s="697" t="s">
        <v>186</v>
      </c>
      <c r="Q151" s="697" t="s">
        <v>186</v>
      </c>
      <c r="R151" s="697" t="s">
        <v>186</v>
      </c>
      <c r="S151" s="697" t="s">
        <v>186</v>
      </c>
      <c r="T151" s="697" t="s">
        <v>186</v>
      </c>
      <c r="U151" s="697" t="s">
        <v>186</v>
      </c>
      <c r="V151" s="697" t="s">
        <v>186</v>
      </c>
      <c r="W151" s="697" t="s">
        <v>186</v>
      </c>
      <c r="X151" s="697" t="s">
        <v>186</v>
      </c>
      <c r="Y151" s="710" t="s">
        <v>186</v>
      </c>
    </row>
    <row r="152" spans="1:25">
      <c r="A152" s="1051">
        <f t="shared" si="6"/>
        <v>148</v>
      </c>
      <c r="B152" s="704" t="s">
        <v>360</v>
      </c>
      <c r="C152" s="978" t="s">
        <v>418</v>
      </c>
      <c r="D152" s="980"/>
      <c r="E152" s="980" t="s">
        <v>178</v>
      </c>
      <c r="F152" s="1049">
        <f t="shared" si="4"/>
        <v>50.600000000000009</v>
      </c>
      <c r="G152" s="978" t="s">
        <v>186</v>
      </c>
      <c r="H152" s="978" t="s">
        <v>187</v>
      </c>
      <c r="I152" s="704" t="s">
        <v>178</v>
      </c>
      <c r="J152" s="697"/>
      <c r="K152" s="697"/>
      <c r="L152" s="697"/>
      <c r="M152" s="697"/>
      <c r="N152" s="697"/>
      <c r="O152" s="697"/>
      <c r="P152" s="697"/>
      <c r="Q152" s="697"/>
      <c r="R152" s="697"/>
      <c r="S152" s="697"/>
      <c r="T152" s="697"/>
      <c r="U152" s="697"/>
      <c r="V152" s="697"/>
      <c r="W152" s="697"/>
      <c r="X152" s="697"/>
      <c r="Y152" s="710"/>
    </row>
    <row r="153" spans="1:25">
      <c r="A153" s="1051">
        <f t="shared" si="6"/>
        <v>149</v>
      </c>
      <c r="B153" s="704" t="s">
        <v>360</v>
      </c>
      <c r="C153" s="978" t="s">
        <v>419</v>
      </c>
      <c r="D153" s="980"/>
      <c r="E153" s="980" t="s">
        <v>178</v>
      </c>
      <c r="F153" s="1049">
        <f t="shared" si="4"/>
        <v>50.600000000000009</v>
      </c>
      <c r="G153" s="978" t="s">
        <v>186</v>
      </c>
      <c r="H153" s="978" t="s">
        <v>187</v>
      </c>
      <c r="I153" s="697" t="s">
        <v>178</v>
      </c>
      <c r="J153" s="697"/>
      <c r="K153" s="697"/>
      <c r="L153" s="697"/>
      <c r="M153" s="697"/>
      <c r="N153" s="697"/>
      <c r="O153" s="697"/>
      <c r="P153" s="697"/>
      <c r="Q153" s="697"/>
      <c r="R153" s="697"/>
      <c r="S153" s="697"/>
      <c r="T153" s="697"/>
      <c r="U153" s="697"/>
      <c r="V153" s="697"/>
      <c r="W153" s="697"/>
      <c r="X153" s="697"/>
      <c r="Y153" s="710"/>
    </row>
    <row r="154" spans="1:25">
      <c r="A154" s="1051">
        <f t="shared" si="6"/>
        <v>150</v>
      </c>
      <c r="B154" s="704" t="s">
        <v>360</v>
      </c>
      <c r="C154" s="979" t="s">
        <v>420</v>
      </c>
      <c r="D154" s="980"/>
      <c r="E154" s="980" t="s">
        <v>178</v>
      </c>
      <c r="F154" s="1049">
        <f t="shared" si="4"/>
        <v>50.600000000000009</v>
      </c>
      <c r="G154" s="978" t="s">
        <v>186</v>
      </c>
      <c r="H154" s="978" t="s">
        <v>187</v>
      </c>
      <c r="I154" s="697" t="s">
        <v>178</v>
      </c>
      <c r="J154" s="697" t="s">
        <v>186</v>
      </c>
      <c r="K154" s="697" t="s">
        <v>186</v>
      </c>
      <c r="L154" s="697" t="s">
        <v>186</v>
      </c>
      <c r="M154" s="697" t="s">
        <v>186</v>
      </c>
      <c r="N154" s="697" t="s">
        <v>186</v>
      </c>
      <c r="O154" s="697" t="s">
        <v>186</v>
      </c>
      <c r="P154" s="697" t="s">
        <v>186</v>
      </c>
      <c r="Q154" s="697" t="s">
        <v>186</v>
      </c>
      <c r="R154" s="697" t="s">
        <v>186</v>
      </c>
      <c r="S154" s="697" t="s">
        <v>186</v>
      </c>
      <c r="T154" s="697" t="s">
        <v>186</v>
      </c>
      <c r="U154" s="697" t="s">
        <v>186</v>
      </c>
      <c r="V154" s="697" t="s">
        <v>186</v>
      </c>
      <c r="W154" s="697" t="s">
        <v>186</v>
      </c>
      <c r="X154" s="697" t="s">
        <v>186</v>
      </c>
      <c r="Y154" s="710" t="s">
        <v>186</v>
      </c>
    </row>
    <row r="155" spans="1:25">
      <c r="A155" s="1051">
        <f t="shared" si="6"/>
        <v>151</v>
      </c>
      <c r="B155" s="704" t="s">
        <v>360</v>
      </c>
      <c r="C155" s="978" t="s">
        <v>418</v>
      </c>
      <c r="D155" s="980"/>
      <c r="E155" s="980" t="s">
        <v>178</v>
      </c>
      <c r="F155" s="1049">
        <f t="shared" si="4"/>
        <v>50.600000000000009</v>
      </c>
      <c r="G155" s="978" t="s">
        <v>186</v>
      </c>
      <c r="H155" s="978" t="s">
        <v>187</v>
      </c>
      <c r="I155" s="697" t="s">
        <v>178</v>
      </c>
      <c r="J155" s="697"/>
      <c r="K155" s="697"/>
      <c r="L155" s="697"/>
      <c r="M155" s="697"/>
      <c r="N155" s="697"/>
      <c r="O155" s="697"/>
      <c r="P155" s="697"/>
      <c r="Q155" s="697"/>
      <c r="R155" s="697"/>
      <c r="S155" s="697"/>
      <c r="T155" s="697"/>
      <c r="U155" s="697"/>
      <c r="V155" s="697"/>
      <c r="W155" s="697"/>
      <c r="X155" s="697"/>
      <c r="Y155" s="710"/>
    </row>
    <row r="156" spans="1:25">
      <c r="A156" s="1051">
        <f t="shared" si="6"/>
        <v>152</v>
      </c>
      <c r="B156" s="704" t="s">
        <v>360</v>
      </c>
      <c r="C156" s="978" t="s">
        <v>419</v>
      </c>
      <c r="D156" s="980"/>
      <c r="E156" s="980" t="s">
        <v>178</v>
      </c>
      <c r="F156" s="1049">
        <f t="shared" si="4"/>
        <v>50.600000000000009</v>
      </c>
      <c r="G156" s="978" t="s">
        <v>186</v>
      </c>
      <c r="H156" s="978" t="s">
        <v>187</v>
      </c>
      <c r="I156" s="697" t="s">
        <v>178</v>
      </c>
      <c r="J156" s="697"/>
      <c r="K156" s="697"/>
      <c r="L156" s="697"/>
      <c r="M156" s="697"/>
      <c r="N156" s="697"/>
      <c r="O156" s="697"/>
      <c r="P156" s="697"/>
      <c r="Q156" s="697"/>
      <c r="R156" s="697"/>
      <c r="S156" s="697"/>
      <c r="T156" s="697"/>
      <c r="U156" s="697"/>
      <c r="V156" s="697"/>
      <c r="W156" s="697"/>
      <c r="X156" s="697"/>
      <c r="Y156" s="710"/>
    </row>
    <row r="157" spans="1:25">
      <c r="A157" s="1051">
        <f t="shared" si="6"/>
        <v>153</v>
      </c>
      <c r="B157" s="704" t="s">
        <v>360</v>
      </c>
      <c r="C157" s="979" t="s">
        <v>421</v>
      </c>
      <c r="D157" s="980"/>
      <c r="E157" s="980" t="s">
        <v>178</v>
      </c>
      <c r="F157" s="1049">
        <f t="shared" si="4"/>
        <v>50.600000000000009</v>
      </c>
      <c r="G157" s="978" t="s">
        <v>186</v>
      </c>
      <c r="H157" s="978" t="s">
        <v>187</v>
      </c>
      <c r="I157" s="697" t="s">
        <v>178</v>
      </c>
      <c r="J157" s="697" t="s">
        <v>246</v>
      </c>
      <c r="K157" s="697" t="s">
        <v>246</v>
      </c>
      <c r="L157" s="697" t="s">
        <v>246</v>
      </c>
      <c r="M157" s="697" t="s">
        <v>246</v>
      </c>
      <c r="N157" s="697" t="s">
        <v>246</v>
      </c>
      <c r="O157" s="697" t="s">
        <v>246</v>
      </c>
      <c r="P157" s="697" t="s">
        <v>246</v>
      </c>
      <c r="Q157" s="697" t="s">
        <v>246</v>
      </c>
      <c r="R157" s="697" t="s">
        <v>246</v>
      </c>
      <c r="S157" s="697" t="s">
        <v>246</v>
      </c>
      <c r="T157" s="697" t="s">
        <v>246</v>
      </c>
      <c r="U157" s="697" t="s">
        <v>246</v>
      </c>
      <c r="V157" s="697" t="s">
        <v>246</v>
      </c>
      <c r="W157" s="697" t="s">
        <v>246</v>
      </c>
      <c r="X157" s="697" t="s">
        <v>246</v>
      </c>
      <c r="Y157" s="710" t="s">
        <v>246</v>
      </c>
    </row>
    <row r="158" spans="1:25">
      <c r="A158" s="1051">
        <f t="shared" si="6"/>
        <v>154</v>
      </c>
      <c r="B158" s="704" t="s">
        <v>360</v>
      </c>
      <c r="C158" s="978" t="s">
        <v>418</v>
      </c>
      <c r="D158" s="980"/>
      <c r="E158" s="980" t="s">
        <v>178</v>
      </c>
      <c r="F158" s="1049">
        <f t="shared" si="4"/>
        <v>50.600000000000009</v>
      </c>
      <c r="G158" s="978" t="s">
        <v>186</v>
      </c>
      <c r="H158" s="978" t="s">
        <v>187</v>
      </c>
      <c r="I158" s="697" t="s">
        <v>178</v>
      </c>
      <c r="J158" s="697"/>
      <c r="K158" s="697"/>
      <c r="L158" s="697"/>
      <c r="M158" s="697"/>
      <c r="N158" s="697"/>
      <c r="O158" s="697"/>
      <c r="P158" s="697"/>
      <c r="Q158" s="697"/>
      <c r="R158" s="697"/>
      <c r="S158" s="697"/>
      <c r="T158" s="697"/>
      <c r="U158" s="697"/>
      <c r="V158" s="697"/>
      <c r="W158" s="697"/>
      <c r="X158" s="697"/>
      <c r="Y158" s="710"/>
    </row>
    <row r="159" spans="1:25">
      <c r="A159" s="1051">
        <f t="shared" si="6"/>
        <v>155</v>
      </c>
      <c r="B159" s="704" t="s">
        <v>360</v>
      </c>
      <c r="C159" s="978" t="s">
        <v>419</v>
      </c>
      <c r="D159" s="980"/>
      <c r="E159" s="980" t="s">
        <v>178</v>
      </c>
      <c r="F159" s="1049">
        <f t="shared" si="4"/>
        <v>50.600000000000009</v>
      </c>
      <c r="G159" s="978" t="s">
        <v>186</v>
      </c>
      <c r="H159" s="978" t="s">
        <v>187</v>
      </c>
      <c r="I159" s="697" t="s">
        <v>178</v>
      </c>
      <c r="J159" s="697"/>
      <c r="K159" s="697"/>
      <c r="L159" s="697"/>
      <c r="M159" s="697"/>
      <c r="N159" s="697"/>
      <c r="O159" s="697"/>
      <c r="P159" s="697"/>
      <c r="Q159" s="697"/>
      <c r="R159" s="697"/>
      <c r="S159" s="697"/>
      <c r="T159" s="697"/>
      <c r="U159" s="697"/>
      <c r="V159" s="697"/>
      <c r="W159" s="697"/>
      <c r="X159" s="697"/>
      <c r="Y159" s="710"/>
    </row>
    <row r="160" spans="1:25">
      <c r="A160" s="1051">
        <f t="shared" si="6"/>
        <v>156</v>
      </c>
      <c r="B160" s="704" t="s">
        <v>360</v>
      </c>
      <c r="C160" s="978" t="s">
        <v>422</v>
      </c>
      <c r="D160" s="704"/>
      <c r="E160" s="704" t="s">
        <v>178</v>
      </c>
      <c r="F160" s="1049">
        <f t="shared" si="4"/>
        <v>50.600000000000009</v>
      </c>
      <c r="G160" s="978" t="s">
        <v>186</v>
      </c>
      <c r="H160" s="978" t="s">
        <v>187</v>
      </c>
      <c r="I160" s="697" t="s">
        <v>178</v>
      </c>
      <c r="J160" s="697"/>
      <c r="K160" s="697"/>
      <c r="L160" s="697"/>
      <c r="M160" s="697"/>
      <c r="N160" s="697"/>
      <c r="O160" s="697"/>
      <c r="P160" s="697"/>
      <c r="Q160" s="697"/>
      <c r="R160" s="697"/>
      <c r="S160" s="697"/>
      <c r="T160" s="697"/>
      <c r="U160" s="697"/>
      <c r="V160" s="697"/>
      <c r="W160" s="697"/>
      <c r="X160" s="697"/>
      <c r="Y160" s="710"/>
    </row>
    <row r="161" spans="1:25">
      <c r="A161" s="1051">
        <f t="shared" si="6"/>
        <v>157</v>
      </c>
      <c r="B161" s="704" t="s">
        <v>360</v>
      </c>
      <c r="C161" s="978" t="s">
        <v>423</v>
      </c>
      <c r="D161" s="704"/>
      <c r="E161" s="704"/>
      <c r="F161" s="977"/>
      <c r="G161" s="978"/>
      <c r="H161" s="978"/>
      <c r="I161" s="697"/>
      <c r="J161" s="697"/>
      <c r="K161" s="697"/>
      <c r="L161" s="697"/>
      <c r="M161" s="697"/>
      <c r="N161" s="697"/>
      <c r="O161" s="697"/>
      <c r="P161" s="697"/>
      <c r="Q161" s="697"/>
      <c r="R161" s="697"/>
      <c r="S161" s="697"/>
      <c r="T161" s="697"/>
      <c r="U161" s="697"/>
      <c r="V161" s="697"/>
      <c r="W161" s="697"/>
      <c r="X161" s="697"/>
      <c r="Y161" s="710"/>
    </row>
    <row r="162" spans="1:25">
      <c r="A162" s="1051">
        <f t="shared" si="6"/>
        <v>158</v>
      </c>
      <c r="B162" s="704" t="s">
        <v>360</v>
      </c>
      <c r="C162" s="978" t="s">
        <v>424</v>
      </c>
      <c r="D162" s="704"/>
      <c r="E162" s="704"/>
      <c r="F162" s="977"/>
      <c r="G162" s="978"/>
      <c r="H162" s="978"/>
      <c r="I162" s="697"/>
      <c r="J162" s="697"/>
      <c r="K162" s="697"/>
      <c r="L162" s="697"/>
      <c r="M162" s="697"/>
      <c r="N162" s="697"/>
      <c r="O162" s="697"/>
      <c r="P162" s="697"/>
      <c r="Q162" s="697"/>
      <c r="R162" s="697"/>
      <c r="S162" s="697"/>
      <c r="T162" s="697"/>
      <c r="U162" s="697"/>
      <c r="V162" s="697"/>
      <c r="W162" s="697"/>
      <c r="X162" s="697"/>
      <c r="Y162" s="710"/>
    </row>
    <row r="163" spans="1:25" ht="26.45">
      <c r="A163" s="1051">
        <f t="shared" si="6"/>
        <v>159</v>
      </c>
      <c r="B163" s="704" t="s">
        <v>175</v>
      </c>
      <c r="C163" s="978" t="s">
        <v>425</v>
      </c>
      <c r="D163" s="697" t="s">
        <v>426</v>
      </c>
      <c r="E163" s="697" t="s">
        <v>178</v>
      </c>
      <c r="F163" s="1049">
        <f>IF(I163="Yes",IF(G163="Note",ROUNDDOWN(F160,0)+1,IF(G163="Sub Note",F160+0.1,F160)),F160)</f>
        <v>51</v>
      </c>
      <c r="G163" s="978" t="s">
        <v>179</v>
      </c>
      <c r="H163" s="704" t="s">
        <v>180</v>
      </c>
      <c r="I163" s="697" t="s">
        <v>178</v>
      </c>
      <c r="J163" s="697"/>
      <c r="K163" s="704" t="s">
        <v>178</v>
      </c>
      <c r="L163" s="704" t="s">
        <v>178</v>
      </c>
      <c r="M163" s="697"/>
      <c r="N163" s="697"/>
      <c r="O163" s="697"/>
      <c r="P163" s="697"/>
      <c r="Q163" s="697"/>
      <c r="R163" s="697"/>
      <c r="S163" s="697"/>
      <c r="T163" s="697"/>
      <c r="U163" s="697"/>
      <c r="V163" s="697"/>
      <c r="W163" s="697"/>
      <c r="X163" s="697"/>
      <c r="Y163" s="710"/>
    </row>
    <row r="164" spans="1:25">
      <c r="A164" s="1051">
        <f t="shared" si="6"/>
        <v>160</v>
      </c>
      <c r="B164" s="704" t="s">
        <v>175</v>
      </c>
      <c r="C164" s="978" t="s">
        <v>427</v>
      </c>
      <c r="D164" s="704" t="s">
        <v>428</v>
      </c>
      <c r="E164" s="704" t="s">
        <v>178</v>
      </c>
      <c r="F164" s="1049">
        <f t="shared" si="4"/>
        <v>52</v>
      </c>
      <c r="G164" s="978" t="s">
        <v>179</v>
      </c>
      <c r="H164" s="704" t="s">
        <v>180</v>
      </c>
      <c r="I164" s="697" t="s">
        <v>178</v>
      </c>
      <c r="J164" s="697"/>
      <c r="K164" s="704" t="s">
        <v>178</v>
      </c>
      <c r="L164" s="704" t="s">
        <v>198</v>
      </c>
      <c r="M164" s="697"/>
      <c r="N164" s="697"/>
      <c r="O164" s="697"/>
      <c r="P164" s="697"/>
      <c r="Q164" s="697"/>
      <c r="R164" s="697"/>
      <c r="S164" s="697"/>
      <c r="T164" s="697"/>
      <c r="U164" s="697"/>
      <c r="V164" s="697"/>
      <c r="W164" s="697"/>
      <c r="X164" s="697"/>
      <c r="Y164" s="710"/>
    </row>
    <row r="165" spans="1:25">
      <c r="A165" s="1051">
        <f t="shared" si="6"/>
        <v>161</v>
      </c>
      <c r="B165" s="704" t="s">
        <v>175</v>
      </c>
      <c r="C165" s="977" t="s">
        <v>429</v>
      </c>
      <c r="D165" s="697" t="s">
        <v>430</v>
      </c>
      <c r="E165" s="697" t="s">
        <v>178</v>
      </c>
      <c r="F165" s="1049">
        <f t="shared" si="4"/>
        <v>53</v>
      </c>
      <c r="G165" s="978" t="s">
        <v>179</v>
      </c>
      <c r="H165" s="704" t="s">
        <v>180</v>
      </c>
      <c r="I165" s="697" t="s">
        <v>178</v>
      </c>
      <c r="J165" s="704" t="s">
        <v>178</v>
      </c>
      <c r="K165" s="704" t="s">
        <v>178</v>
      </c>
      <c r="L165" s="704" t="s">
        <v>178</v>
      </c>
      <c r="M165" s="697"/>
      <c r="N165" s="697"/>
      <c r="O165" s="697"/>
      <c r="P165" s="697"/>
      <c r="Q165" s="697"/>
      <c r="R165" s="697" t="s">
        <v>178</v>
      </c>
      <c r="S165" s="697"/>
      <c r="T165" s="697"/>
      <c r="U165" s="697"/>
      <c r="V165" s="697" t="s">
        <v>178</v>
      </c>
      <c r="W165" s="697"/>
      <c r="X165" s="697"/>
      <c r="Y165" s="710"/>
    </row>
    <row r="166" spans="1:25">
      <c r="A166" s="1051">
        <f t="shared" si="6"/>
        <v>162</v>
      </c>
      <c r="B166" s="704" t="s">
        <v>175</v>
      </c>
      <c r="C166" s="978" t="s">
        <v>431</v>
      </c>
      <c r="D166" s="697" t="s">
        <v>432</v>
      </c>
      <c r="E166" s="697" t="s">
        <v>178</v>
      </c>
      <c r="F166" s="1049">
        <f t="shared" ref="F166" si="8">IF(I166="Yes",IF(G166="Note",ROUNDDOWN(F165,0)+1,IF(G166="Sub Note",F165+0.1,F165)),F165)</f>
        <v>54</v>
      </c>
      <c r="G166" s="978" t="s">
        <v>179</v>
      </c>
      <c r="H166" s="704" t="s">
        <v>180</v>
      </c>
      <c r="I166" s="697" t="s">
        <v>178</v>
      </c>
      <c r="J166" s="704" t="s">
        <v>178</v>
      </c>
      <c r="K166" s="704" t="s">
        <v>178</v>
      </c>
      <c r="L166" s="704" t="s">
        <v>178</v>
      </c>
      <c r="M166" s="697"/>
      <c r="N166" s="697"/>
      <c r="O166" s="704" t="s">
        <v>178</v>
      </c>
      <c r="P166" s="697"/>
      <c r="Q166" s="697"/>
      <c r="R166" s="697" t="s">
        <v>178</v>
      </c>
      <c r="S166" s="697"/>
      <c r="T166" s="697"/>
      <c r="U166" s="697"/>
      <c r="V166" s="697" t="s">
        <v>178</v>
      </c>
      <c r="W166" s="697"/>
      <c r="X166" s="697"/>
      <c r="Y166" s="710"/>
    </row>
    <row r="167" spans="1:25">
      <c r="A167" s="1051">
        <f t="shared" si="6"/>
        <v>163</v>
      </c>
      <c r="B167" s="704" t="s">
        <v>175</v>
      </c>
      <c r="C167" s="978" t="s">
        <v>433</v>
      </c>
      <c r="D167" s="697" t="s">
        <v>434</v>
      </c>
      <c r="E167" s="697" t="s">
        <v>178</v>
      </c>
      <c r="F167" s="1049">
        <f t="shared" ref="F167:F184" si="9">IF(I167="Yes",IF(G167="Note",ROUNDDOWN(F166,0)+1,IF(G167="Sub Note",F166+0.1,F166)),F166)</f>
        <v>55</v>
      </c>
      <c r="G167" s="978" t="s">
        <v>179</v>
      </c>
      <c r="H167" s="704" t="s">
        <v>180</v>
      </c>
      <c r="I167" s="697" t="s">
        <v>178</v>
      </c>
      <c r="J167" s="704" t="s">
        <v>178</v>
      </c>
      <c r="K167" s="704" t="s">
        <v>178</v>
      </c>
      <c r="L167" s="704" t="s">
        <v>178</v>
      </c>
      <c r="M167" s="697"/>
      <c r="N167" s="697"/>
      <c r="O167" s="697"/>
      <c r="P167" s="697"/>
      <c r="Q167" s="697"/>
      <c r="R167" s="697"/>
      <c r="S167" s="697"/>
      <c r="T167" s="697"/>
      <c r="U167" s="697"/>
      <c r="V167" s="697"/>
      <c r="W167" s="697"/>
      <c r="X167" s="697"/>
      <c r="Y167" s="710"/>
    </row>
    <row r="168" spans="1:25">
      <c r="A168" s="1051">
        <f t="shared" si="6"/>
        <v>164</v>
      </c>
      <c r="B168" s="704" t="s">
        <v>175</v>
      </c>
      <c r="C168" s="978" t="s">
        <v>435</v>
      </c>
      <c r="D168" s="697" t="s">
        <v>436</v>
      </c>
      <c r="E168" s="697" t="s">
        <v>178</v>
      </c>
      <c r="F168" s="1049">
        <f t="shared" si="9"/>
        <v>55.1</v>
      </c>
      <c r="G168" s="978" t="s">
        <v>193</v>
      </c>
      <c r="H168" s="704" t="s">
        <v>180</v>
      </c>
      <c r="I168" s="697" t="s">
        <v>178</v>
      </c>
      <c r="J168" s="704" t="s">
        <v>178</v>
      </c>
      <c r="K168" s="704" t="s">
        <v>178</v>
      </c>
      <c r="L168" s="704" t="s">
        <v>178</v>
      </c>
      <c r="M168" s="697"/>
      <c r="N168" s="697"/>
      <c r="O168" s="697"/>
      <c r="P168" s="697"/>
      <c r="Q168" s="697"/>
      <c r="R168" s="697"/>
      <c r="S168" s="697"/>
      <c r="T168" s="697"/>
      <c r="U168" s="697"/>
      <c r="V168" s="697"/>
      <c r="W168" s="697"/>
      <c r="X168" s="697"/>
      <c r="Y168" s="710"/>
    </row>
    <row r="169" spans="1:25">
      <c r="A169" s="1051">
        <f t="shared" si="6"/>
        <v>165</v>
      </c>
      <c r="B169" s="704" t="s">
        <v>175</v>
      </c>
      <c r="C169" s="978" t="s">
        <v>437</v>
      </c>
      <c r="D169" s="697" t="s">
        <v>438</v>
      </c>
      <c r="E169" s="697" t="s">
        <v>178</v>
      </c>
      <c r="F169" s="1049">
        <f t="shared" si="9"/>
        <v>55.2</v>
      </c>
      <c r="G169" s="978" t="s">
        <v>193</v>
      </c>
      <c r="H169" s="704" t="s">
        <v>180</v>
      </c>
      <c r="I169" s="697" t="s">
        <v>178</v>
      </c>
      <c r="J169" s="704" t="s">
        <v>178</v>
      </c>
      <c r="K169" s="704" t="s">
        <v>178</v>
      </c>
      <c r="L169" s="704" t="s">
        <v>178</v>
      </c>
      <c r="M169" s="697"/>
      <c r="N169" s="697"/>
      <c r="O169" s="697"/>
      <c r="P169" s="697"/>
      <c r="Q169" s="697"/>
      <c r="R169" s="697"/>
      <c r="S169" s="697"/>
      <c r="T169" s="697"/>
      <c r="U169" s="697"/>
      <c r="V169" s="697"/>
      <c r="W169" s="697"/>
      <c r="X169" s="697"/>
      <c r="Y169" s="710"/>
    </row>
    <row r="170" spans="1:25">
      <c r="A170" s="1051">
        <f t="shared" si="6"/>
        <v>166</v>
      </c>
      <c r="B170" s="704" t="s">
        <v>175</v>
      </c>
      <c r="C170" s="978" t="s">
        <v>439</v>
      </c>
      <c r="D170" s="697" t="s">
        <v>440</v>
      </c>
      <c r="E170" s="697" t="s">
        <v>178</v>
      </c>
      <c r="F170" s="1049">
        <f t="shared" si="9"/>
        <v>55.300000000000004</v>
      </c>
      <c r="G170" s="978" t="s">
        <v>193</v>
      </c>
      <c r="H170" s="704" t="s">
        <v>180</v>
      </c>
      <c r="I170" s="697" t="s">
        <v>178</v>
      </c>
      <c r="J170" s="704" t="s">
        <v>178</v>
      </c>
      <c r="K170" s="704" t="s">
        <v>178</v>
      </c>
      <c r="L170" s="704" t="s">
        <v>178</v>
      </c>
      <c r="M170" s="697"/>
      <c r="N170" s="697"/>
      <c r="O170" s="697"/>
      <c r="P170" s="697"/>
      <c r="Q170" s="697"/>
      <c r="R170" s="697"/>
      <c r="S170" s="697"/>
      <c r="T170" s="697"/>
      <c r="U170" s="697"/>
      <c r="V170" s="697"/>
      <c r="W170" s="697"/>
      <c r="X170" s="697"/>
      <c r="Y170" s="710"/>
    </row>
    <row r="171" spans="1:25">
      <c r="A171" s="1051">
        <f t="shared" si="6"/>
        <v>167</v>
      </c>
      <c r="B171" s="704" t="s">
        <v>175</v>
      </c>
      <c r="C171" s="978" t="s">
        <v>441</v>
      </c>
      <c r="D171" s="697" t="s">
        <v>442</v>
      </c>
      <c r="E171" s="697" t="s">
        <v>178</v>
      </c>
      <c r="F171" s="1049">
        <f t="shared" si="9"/>
        <v>56</v>
      </c>
      <c r="G171" s="978" t="s">
        <v>179</v>
      </c>
      <c r="H171" s="704" t="s">
        <v>180</v>
      </c>
      <c r="I171" s="697" t="s">
        <v>178</v>
      </c>
      <c r="J171" s="704" t="s">
        <v>178</v>
      </c>
      <c r="K171" s="704" t="s">
        <v>178</v>
      </c>
      <c r="L171" s="704" t="s">
        <v>178</v>
      </c>
      <c r="M171" s="697"/>
      <c r="N171" s="697"/>
      <c r="O171" s="704" t="s">
        <v>178</v>
      </c>
      <c r="P171" s="697"/>
      <c r="Q171" s="697"/>
      <c r="R171" s="697" t="s">
        <v>178</v>
      </c>
      <c r="S171" s="697"/>
      <c r="T171" s="697"/>
      <c r="U171" s="697"/>
      <c r="V171" s="697" t="s">
        <v>178</v>
      </c>
      <c r="W171" s="697"/>
      <c r="X171" s="697" t="s">
        <v>178</v>
      </c>
      <c r="Y171" s="710" t="s">
        <v>178</v>
      </c>
    </row>
    <row r="172" spans="1:25" ht="26.45">
      <c r="A172" s="1051">
        <f t="shared" si="6"/>
        <v>168</v>
      </c>
      <c r="B172" s="704" t="s">
        <v>175</v>
      </c>
      <c r="C172" s="978" t="s">
        <v>443</v>
      </c>
      <c r="D172" s="697" t="s">
        <v>444</v>
      </c>
      <c r="E172" s="697" t="s">
        <v>178</v>
      </c>
      <c r="F172" s="1049">
        <f t="shared" si="9"/>
        <v>57</v>
      </c>
      <c r="G172" s="978" t="s">
        <v>179</v>
      </c>
      <c r="H172" s="704" t="s">
        <v>180</v>
      </c>
      <c r="I172" s="697" t="s">
        <v>178</v>
      </c>
      <c r="J172" s="697"/>
      <c r="K172" s="697"/>
      <c r="L172" s="697"/>
      <c r="M172" s="697"/>
      <c r="N172" s="697"/>
      <c r="O172" s="697"/>
      <c r="P172" s="697"/>
      <c r="Q172" s="697"/>
      <c r="R172" s="697"/>
      <c r="S172" s="697"/>
      <c r="T172" s="697"/>
      <c r="U172" s="697"/>
      <c r="V172" s="697"/>
      <c r="W172" s="697"/>
      <c r="X172" s="697"/>
      <c r="Y172" s="710"/>
    </row>
    <row r="173" spans="1:25">
      <c r="A173" s="1051">
        <f t="shared" si="6"/>
        <v>169</v>
      </c>
      <c r="B173" s="704" t="s">
        <v>175</v>
      </c>
      <c r="C173" s="978" t="s">
        <v>445</v>
      </c>
      <c r="D173" s="697" t="s">
        <v>446</v>
      </c>
      <c r="E173" s="697" t="s">
        <v>178</v>
      </c>
      <c r="F173" s="1049">
        <f t="shared" si="9"/>
        <v>58</v>
      </c>
      <c r="G173" s="978" t="s">
        <v>179</v>
      </c>
      <c r="H173" s="704" t="s">
        <v>180</v>
      </c>
      <c r="I173" s="697" t="s">
        <v>178</v>
      </c>
      <c r="J173" s="704" t="s">
        <v>178</v>
      </c>
      <c r="K173" s="704" t="s">
        <v>178</v>
      </c>
      <c r="L173" s="704" t="s">
        <v>178</v>
      </c>
      <c r="M173" s="697"/>
      <c r="N173" s="697"/>
      <c r="O173" s="704" t="s">
        <v>178</v>
      </c>
      <c r="P173" s="697"/>
      <c r="Q173" s="697"/>
      <c r="R173" s="697" t="s">
        <v>178</v>
      </c>
      <c r="S173" s="697" t="s">
        <v>178</v>
      </c>
      <c r="T173" s="697"/>
      <c r="U173" s="697"/>
      <c r="V173" s="697" t="s">
        <v>178</v>
      </c>
      <c r="W173" s="697"/>
      <c r="X173" s="697" t="s">
        <v>178</v>
      </c>
      <c r="Y173" s="710" t="s">
        <v>178</v>
      </c>
    </row>
    <row r="174" spans="1:25">
      <c r="A174" s="1051">
        <f t="shared" si="6"/>
        <v>170</v>
      </c>
      <c r="B174" s="704" t="s">
        <v>175</v>
      </c>
      <c r="C174" s="1050" t="e">
        <f ca="1">"The following is the breakup of current and non-current lease liabilities as at "&amp;Current_Date</f>
        <v>#NAME?</v>
      </c>
      <c r="D174" s="697" t="s">
        <v>447</v>
      </c>
      <c r="E174" s="697" t="s">
        <v>178</v>
      </c>
      <c r="F174" s="1049">
        <f t="shared" si="9"/>
        <v>58.1</v>
      </c>
      <c r="G174" s="978" t="s">
        <v>193</v>
      </c>
      <c r="H174" s="704" t="s">
        <v>180</v>
      </c>
      <c r="I174" s="697" t="s">
        <v>178</v>
      </c>
      <c r="J174" s="704" t="s">
        <v>178</v>
      </c>
      <c r="K174" s="704" t="s">
        <v>178</v>
      </c>
      <c r="L174" s="704" t="s">
        <v>178</v>
      </c>
      <c r="M174" s="697"/>
      <c r="N174" s="697"/>
      <c r="O174" s="704" t="s">
        <v>178</v>
      </c>
      <c r="P174" s="697"/>
      <c r="Q174" s="697"/>
      <c r="R174" s="697" t="s">
        <v>178</v>
      </c>
      <c r="S174" s="697"/>
      <c r="T174" s="697"/>
      <c r="U174" s="697"/>
      <c r="V174" s="697"/>
      <c r="W174" s="697"/>
      <c r="X174" s="697"/>
      <c r="Y174" s="710"/>
    </row>
    <row r="175" spans="1:25">
      <c r="A175" s="1051">
        <f t="shared" si="6"/>
        <v>171</v>
      </c>
      <c r="B175" s="704" t="s">
        <v>175</v>
      </c>
      <c r="C175" s="1050" t="e">
        <f ca="1">"The contractual maturities of lease liabilities as at "&amp;Current_Date&amp;" on an undiscounted basis is as follows:"</f>
        <v>#NAME?</v>
      </c>
      <c r="D175" s="697" t="s">
        <v>448</v>
      </c>
      <c r="E175" s="697" t="s">
        <v>178</v>
      </c>
      <c r="F175" s="1049">
        <f t="shared" si="9"/>
        <v>58.2</v>
      </c>
      <c r="G175" s="978" t="s">
        <v>193</v>
      </c>
      <c r="H175" s="704" t="s">
        <v>180</v>
      </c>
      <c r="I175" s="697" t="s">
        <v>178</v>
      </c>
      <c r="J175" s="704" t="s">
        <v>178</v>
      </c>
      <c r="K175" s="704" t="s">
        <v>178</v>
      </c>
      <c r="L175" s="704" t="s">
        <v>178</v>
      </c>
      <c r="M175" s="697"/>
      <c r="N175" s="697"/>
      <c r="O175" s="697"/>
      <c r="P175" s="697"/>
      <c r="Q175" s="697"/>
      <c r="R175" s="697" t="s">
        <v>178</v>
      </c>
      <c r="S175" s="697"/>
      <c r="T175" s="697"/>
      <c r="U175" s="697"/>
      <c r="V175" s="697"/>
      <c r="W175" s="697"/>
      <c r="X175" s="697"/>
      <c r="Y175" s="710"/>
    </row>
    <row r="176" spans="1:25">
      <c r="A176" s="1051">
        <f t="shared" si="6"/>
        <v>172</v>
      </c>
      <c r="B176" s="704" t="s">
        <v>175</v>
      </c>
      <c r="C176" s="978" t="s">
        <v>449</v>
      </c>
      <c r="D176" s="697" t="s">
        <v>450</v>
      </c>
      <c r="E176" s="697" t="s">
        <v>178</v>
      </c>
      <c r="F176" s="1049">
        <f t="shared" si="9"/>
        <v>58.300000000000004</v>
      </c>
      <c r="G176" s="978" t="s">
        <v>193</v>
      </c>
      <c r="H176" s="704" t="s">
        <v>180</v>
      </c>
      <c r="I176" s="697" t="s">
        <v>178</v>
      </c>
      <c r="J176" s="704" t="s">
        <v>178</v>
      </c>
      <c r="K176" s="704" t="s">
        <v>178</v>
      </c>
      <c r="L176" s="704" t="s">
        <v>178</v>
      </c>
      <c r="M176" s="697"/>
      <c r="N176" s="697"/>
      <c r="O176" s="704" t="s">
        <v>178</v>
      </c>
      <c r="P176" s="697"/>
      <c r="Q176" s="697"/>
      <c r="R176" s="697" t="s">
        <v>178</v>
      </c>
      <c r="S176" s="697"/>
      <c r="T176" s="697"/>
      <c r="U176" s="697"/>
      <c r="V176" s="697"/>
      <c r="W176" s="697"/>
      <c r="X176" s="697"/>
      <c r="Y176" s="710"/>
    </row>
    <row r="177" spans="1:25">
      <c r="A177" s="1051">
        <f t="shared" si="6"/>
        <v>173</v>
      </c>
      <c r="B177" s="704" t="s">
        <v>175</v>
      </c>
      <c r="C177" s="978" t="s">
        <v>451</v>
      </c>
      <c r="D177" s="697" t="s">
        <v>452</v>
      </c>
      <c r="E177" s="697" t="s">
        <v>178</v>
      </c>
      <c r="F177" s="1049">
        <f t="shared" si="9"/>
        <v>58.400000000000006</v>
      </c>
      <c r="G177" s="978" t="s">
        <v>193</v>
      </c>
      <c r="H177" s="704" t="s">
        <v>180</v>
      </c>
      <c r="I177" s="697" t="s">
        <v>178</v>
      </c>
      <c r="J177" s="704" t="s">
        <v>178</v>
      </c>
      <c r="K177" s="704" t="s">
        <v>178</v>
      </c>
      <c r="L177" s="704" t="s">
        <v>178</v>
      </c>
      <c r="M177" s="697"/>
      <c r="N177" s="697"/>
      <c r="O177" s="704" t="s">
        <v>178</v>
      </c>
      <c r="P177" s="697"/>
      <c r="Q177" s="697"/>
      <c r="R177" s="697" t="s">
        <v>178</v>
      </c>
      <c r="S177" s="697"/>
      <c r="T177" s="697"/>
      <c r="U177" s="697"/>
      <c r="V177" s="697"/>
      <c r="W177" s="697"/>
      <c r="X177" s="697"/>
      <c r="Y177" s="710"/>
    </row>
    <row r="178" spans="1:25">
      <c r="A178" s="1051">
        <f t="shared" si="6"/>
        <v>174</v>
      </c>
      <c r="B178" s="704" t="s">
        <v>175</v>
      </c>
      <c r="C178" s="978" t="s">
        <v>453</v>
      </c>
      <c r="D178" s="697" t="s">
        <v>454</v>
      </c>
      <c r="E178" s="697" t="s">
        <v>178</v>
      </c>
      <c r="F178" s="1049">
        <f t="shared" ref="F178" si="10">IF(I178="Yes",IF(G178="Note",ROUNDDOWN(F177,0)+1,IF(G178="Sub Note",F177+0.1,F177)),F177)</f>
        <v>58.500000000000007</v>
      </c>
      <c r="G178" s="978" t="s">
        <v>193</v>
      </c>
      <c r="H178" s="704" t="s">
        <v>180</v>
      </c>
      <c r="I178" s="697" t="s">
        <v>178</v>
      </c>
      <c r="J178" s="697"/>
      <c r="K178" s="697"/>
      <c r="L178" s="697"/>
      <c r="M178" s="697"/>
      <c r="N178" s="697"/>
      <c r="O178" s="697"/>
      <c r="P178" s="697"/>
      <c r="Q178" s="697"/>
      <c r="R178" s="697"/>
      <c r="S178" s="697"/>
      <c r="T178" s="697"/>
      <c r="U178" s="697"/>
      <c r="V178" s="697"/>
      <c r="W178" s="697"/>
      <c r="X178" s="697"/>
      <c r="Y178" s="710"/>
    </row>
    <row r="179" spans="1:25">
      <c r="A179" s="1051">
        <f t="shared" si="6"/>
        <v>175</v>
      </c>
      <c r="B179" s="704" t="s">
        <v>175</v>
      </c>
      <c r="C179" s="978" t="s">
        <v>455</v>
      </c>
      <c r="D179" s="697" t="s">
        <v>456</v>
      </c>
      <c r="E179" s="697" t="s">
        <v>178</v>
      </c>
      <c r="F179" s="1049">
        <f>IF(I179="Yes",IF(G179="Note",ROUNDDOWN(F178,0)+1,IF(G179="Sub Note",F178+0.1,F178)),F178)</f>
        <v>59</v>
      </c>
      <c r="G179" s="978" t="s">
        <v>179</v>
      </c>
      <c r="H179" s="704" t="s">
        <v>180</v>
      </c>
      <c r="I179" s="697" t="s">
        <v>178</v>
      </c>
      <c r="J179" s="704" t="s">
        <v>178</v>
      </c>
      <c r="K179" s="704" t="s">
        <v>178</v>
      </c>
      <c r="L179" s="704" t="s">
        <v>178</v>
      </c>
      <c r="M179" s="697"/>
      <c r="N179" s="697"/>
      <c r="O179" s="697"/>
      <c r="P179" s="697"/>
      <c r="Q179" s="697"/>
      <c r="R179" s="697"/>
      <c r="S179" s="697"/>
      <c r="T179" s="697"/>
      <c r="U179" s="697"/>
      <c r="V179" s="697"/>
      <c r="W179" s="697"/>
      <c r="X179" s="697"/>
      <c r="Y179" s="710"/>
    </row>
    <row r="180" spans="1:25">
      <c r="A180" s="1051">
        <f t="shared" si="6"/>
        <v>176</v>
      </c>
      <c r="B180" s="704" t="s">
        <v>175</v>
      </c>
      <c r="C180" s="978" t="s">
        <v>457</v>
      </c>
      <c r="D180" s="697" t="s">
        <v>458</v>
      </c>
      <c r="E180" s="697" t="s">
        <v>178</v>
      </c>
      <c r="F180" s="1049">
        <f t="shared" ref="F180:F181" si="11">IF(I180="Yes",IF(G180="Note",ROUNDDOWN(F179,0)+1,IF(G180="Sub Note",F179+0.1,F179)),F179)</f>
        <v>59.1</v>
      </c>
      <c r="G180" s="978" t="s">
        <v>193</v>
      </c>
      <c r="H180" s="704" t="s">
        <v>180</v>
      </c>
      <c r="I180" s="697" t="s">
        <v>178</v>
      </c>
      <c r="J180" s="704" t="s">
        <v>178</v>
      </c>
      <c r="K180" s="704" t="s">
        <v>178</v>
      </c>
      <c r="L180" s="704" t="s">
        <v>178</v>
      </c>
      <c r="M180" s="697"/>
      <c r="N180" s="697"/>
      <c r="O180" s="697"/>
      <c r="P180" s="697"/>
      <c r="Q180" s="697"/>
      <c r="R180" s="697"/>
      <c r="S180" s="697"/>
      <c r="T180" s="697"/>
      <c r="U180" s="697"/>
      <c r="V180" s="697"/>
      <c r="W180" s="697"/>
      <c r="X180" s="697"/>
      <c r="Y180" s="710"/>
    </row>
    <row r="181" spans="1:25">
      <c r="A181" s="1051">
        <f t="shared" si="6"/>
        <v>177</v>
      </c>
      <c r="B181" s="704" t="s">
        <v>175</v>
      </c>
      <c r="C181" s="978" t="s">
        <v>459</v>
      </c>
      <c r="D181" s="697" t="s">
        <v>460</v>
      </c>
      <c r="E181" s="697" t="s">
        <v>178</v>
      </c>
      <c r="F181" s="1049">
        <f t="shared" si="11"/>
        <v>59.2</v>
      </c>
      <c r="G181" s="978" t="s">
        <v>193</v>
      </c>
      <c r="H181" s="704" t="s">
        <v>180</v>
      </c>
      <c r="I181" s="697" t="s">
        <v>178</v>
      </c>
      <c r="J181" s="704" t="s">
        <v>178</v>
      </c>
      <c r="K181" s="704" t="s">
        <v>178</v>
      </c>
      <c r="L181" s="704" t="s">
        <v>178</v>
      </c>
      <c r="M181" s="697"/>
      <c r="N181" s="697"/>
      <c r="O181" s="697"/>
      <c r="P181" s="697"/>
      <c r="Q181" s="697"/>
      <c r="R181" s="697"/>
      <c r="S181" s="697"/>
      <c r="T181" s="697"/>
      <c r="U181" s="697"/>
      <c r="V181" s="697"/>
      <c r="W181" s="697"/>
      <c r="X181" s="697"/>
      <c r="Y181" s="710"/>
    </row>
    <row r="182" spans="1:25">
      <c r="A182" s="1051">
        <f t="shared" si="6"/>
        <v>178</v>
      </c>
      <c r="B182" s="704" t="s">
        <v>175</v>
      </c>
      <c r="C182" s="978" t="s">
        <v>461</v>
      </c>
      <c r="D182" s="697" t="s">
        <v>462</v>
      </c>
      <c r="E182" s="697" t="s">
        <v>178</v>
      </c>
      <c r="F182" s="1049">
        <f t="shared" si="9"/>
        <v>59.300000000000004</v>
      </c>
      <c r="G182" s="978" t="s">
        <v>193</v>
      </c>
      <c r="H182" s="704" t="s">
        <v>180</v>
      </c>
      <c r="I182" s="697" t="s">
        <v>178</v>
      </c>
      <c r="J182" s="704" t="s">
        <v>178</v>
      </c>
      <c r="K182" s="704" t="s">
        <v>178</v>
      </c>
      <c r="L182" s="704" t="s">
        <v>178</v>
      </c>
      <c r="M182" s="697"/>
      <c r="N182" s="697"/>
      <c r="O182" s="697"/>
      <c r="P182" s="697"/>
      <c r="Q182" s="697"/>
      <c r="R182" s="697"/>
      <c r="S182" s="697"/>
      <c r="T182" s="697"/>
      <c r="U182" s="697"/>
      <c r="V182" s="697"/>
      <c r="W182" s="697"/>
      <c r="X182" s="697"/>
      <c r="Y182" s="710"/>
    </row>
    <row r="183" spans="1:25" ht="26.45">
      <c r="A183" s="1051">
        <f t="shared" si="6"/>
        <v>179</v>
      </c>
      <c r="B183" s="704" t="s">
        <v>175</v>
      </c>
      <c r="C183" s="978" t="s">
        <v>463</v>
      </c>
      <c r="D183" s="697" t="s">
        <v>464</v>
      </c>
      <c r="E183" s="697" t="s">
        <v>178</v>
      </c>
      <c r="F183" s="1049">
        <f t="shared" si="9"/>
        <v>59.400000000000006</v>
      </c>
      <c r="G183" s="978" t="s">
        <v>193</v>
      </c>
      <c r="H183" s="704" t="s">
        <v>180</v>
      </c>
      <c r="I183" s="697" t="s">
        <v>178</v>
      </c>
      <c r="J183" s="704" t="s">
        <v>178</v>
      </c>
      <c r="K183" s="704" t="s">
        <v>178</v>
      </c>
      <c r="L183" s="704" t="s">
        <v>178</v>
      </c>
      <c r="M183" s="697"/>
      <c r="N183" s="697"/>
      <c r="O183" s="697"/>
      <c r="P183" s="697"/>
      <c r="Q183" s="697"/>
      <c r="R183" s="697"/>
      <c r="S183" s="697"/>
      <c r="T183" s="697"/>
      <c r="U183" s="697"/>
      <c r="V183" s="697"/>
      <c r="W183" s="697"/>
      <c r="X183" s="697"/>
      <c r="Y183" s="710"/>
    </row>
    <row r="184" spans="1:25">
      <c r="A184" s="1051">
        <f t="shared" si="6"/>
        <v>180</v>
      </c>
      <c r="B184" s="704" t="s">
        <v>175</v>
      </c>
      <c r="C184" s="978" t="s">
        <v>465</v>
      </c>
      <c r="D184" s="697" t="s">
        <v>466</v>
      </c>
      <c r="E184" s="697" t="s">
        <v>178</v>
      </c>
      <c r="F184" s="1049">
        <f t="shared" si="9"/>
        <v>60</v>
      </c>
      <c r="G184" s="978" t="s">
        <v>179</v>
      </c>
      <c r="H184" s="704" t="s">
        <v>180</v>
      </c>
      <c r="I184" s="697" t="s">
        <v>178</v>
      </c>
      <c r="J184" s="704" t="s">
        <v>178</v>
      </c>
      <c r="K184" s="704" t="s">
        <v>178</v>
      </c>
      <c r="L184" s="704" t="s">
        <v>178</v>
      </c>
      <c r="M184" s="697"/>
      <c r="N184" s="697"/>
      <c r="O184" s="704" t="s">
        <v>178</v>
      </c>
      <c r="P184" s="697"/>
      <c r="Q184" s="697"/>
      <c r="R184" s="697" t="s">
        <v>178</v>
      </c>
      <c r="S184" s="697"/>
      <c r="T184" s="697"/>
      <c r="U184" s="697"/>
      <c r="V184" s="697" t="s">
        <v>178</v>
      </c>
      <c r="W184" s="697"/>
      <c r="X184" s="697" t="s">
        <v>178</v>
      </c>
      <c r="Y184" s="710" t="s">
        <v>178</v>
      </c>
    </row>
    <row r="185" spans="1:25">
      <c r="A185" s="1051">
        <f t="shared" si="6"/>
        <v>181</v>
      </c>
      <c r="B185" s="704" t="s">
        <v>175</v>
      </c>
      <c r="C185" s="978" t="s">
        <v>467</v>
      </c>
      <c r="D185" s="697" t="s">
        <v>468</v>
      </c>
      <c r="E185" s="697" t="s">
        <v>178</v>
      </c>
      <c r="F185" s="1049">
        <f t="shared" ref="F185:F186" si="12">IF(I185="Yes",IF(G185="Note",ROUNDDOWN(F184,0)+1,IF(G185="Sub Note",F184+0.1,F184)),F184)</f>
        <v>61</v>
      </c>
      <c r="G185" s="978" t="s">
        <v>179</v>
      </c>
      <c r="H185" s="704" t="s">
        <v>180</v>
      </c>
      <c r="I185" s="697" t="s">
        <v>178</v>
      </c>
      <c r="J185" s="704" t="s">
        <v>178</v>
      </c>
      <c r="K185" s="704" t="s">
        <v>178</v>
      </c>
      <c r="L185" s="704" t="s">
        <v>178</v>
      </c>
      <c r="M185" s="697"/>
      <c r="N185" s="697"/>
      <c r="O185" s="697"/>
      <c r="P185" s="697"/>
      <c r="Q185" s="697"/>
      <c r="R185" s="697"/>
      <c r="S185" s="697"/>
      <c r="T185" s="697"/>
      <c r="U185" s="697"/>
      <c r="V185" s="697" t="s">
        <v>178</v>
      </c>
      <c r="W185" s="697" t="s">
        <v>178</v>
      </c>
      <c r="X185" s="697"/>
      <c r="Y185" s="710"/>
    </row>
    <row r="186" spans="1:25">
      <c r="A186" s="1051">
        <f t="shared" ref="A186:A196" si="13">ROW(A186)-4</f>
        <v>182</v>
      </c>
      <c r="B186" s="704" t="s">
        <v>175</v>
      </c>
      <c r="C186" s="978" t="s">
        <v>469</v>
      </c>
      <c r="D186" s="697" t="s">
        <v>470</v>
      </c>
      <c r="E186" s="697" t="s">
        <v>178</v>
      </c>
      <c r="F186" s="1049">
        <f t="shared" si="12"/>
        <v>61.1</v>
      </c>
      <c r="G186" s="978" t="s">
        <v>193</v>
      </c>
      <c r="H186" s="704" t="s">
        <v>180</v>
      </c>
      <c r="I186" s="697" t="s">
        <v>178</v>
      </c>
      <c r="J186" s="704" t="s">
        <v>178</v>
      </c>
      <c r="K186" s="704" t="s">
        <v>178</v>
      </c>
      <c r="L186" s="704" t="s">
        <v>178</v>
      </c>
      <c r="M186" s="697"/>
      <c r="N186" s="697"/>
      <c r="O186" s="697"/>
      <c r="P186" s="697"/>
      <c r="Q186" s="697"/>
      <c r="R186" s="697"/>
      <c r="S186" s="697"/>
      <c r="T186" s="697"/>
      <c r="U186" s="697"/>
      <c r="V186" s="697"/>
      <c r="W186" s="697"/>
      <c r="X186" s="697"/>
      <c r="Y186" s="710"/>
    </row>
    <row r="187" spans="1:25">
      <c r="A187" s="1051">
        <f t="shared" si="13"/>
        <v>183</v>
      </c>
      <c r="B187" s="704" t="s">
        <v>175</v>
      </c>
      <c r="C187" s="978" t="s">
        <v>471</v>
      </c>
      <c r="D187" s="697" t="s">
        <v>472</v>
      </c>
      <c r="E187" s="697" t="s">
        <v>178</v>
      </c>
      <c r="F187" s="1049">
        <f t="shared" ref="F187:F190" si="14">IF(I187="Yes",IF(G187="Note",ROUNDDOWN(F186,0)+1,IF(G187="Sub Note",F186+0.1,F186)),F186)</f>
        <v>61.2</v>
      </c>
      <c r="G187" s="978" t="s">
        <v>193</v>
      </c>
      <c r="H187" s="704" t="s">
        <v>180</v>
      </c>
      <c r="I187" s="697" t="s">
        <v>178</v>
      </c>
      <c r="J187" s="704" t="s">
        <v>178</v>
      </c>
      <c r="K187" s="704" t="s">
        <v>178</v>
      </c>
      <c r="L187" s="704" t="s">
        <v>178</v>
      </c>
      <c r="M187" s="697"/>
      <c r="N187" s="697"/>
      <c r="O187" s="697"/>
      <c r="P187" s="697"/>
      <c r="Q187" s="697"/>
      <c r="R187" s="697"/>
      <c r="S187" s="697"/>
      <c r="T187" s="697"/>
      <c r="U187" s="697"/>
      <c r="V187" s="697"/>
      <c r="W187" s="697"/>
      <c r="X187" s="697"/>
      <c r="Y187" s="710"/>
    </row>
    <row r="188" spans="1:25">
      <c r="A188" s="1051">
        <f t="shared" si="13"/>
        <v>184</v>
      </c>
      <c r="B188" s="704" t="s">
        <v>175</v>
      </c>
      <c r="C188" s="978" t="s">
        <v>473</v>
      </c>
      <c r="D188" s="697" t="s">
        <v>474</v>
      </c>
      <c r="E188" s="697" t="s">
        <v>178</v>
      </c>
      <c r="F188" s="1049">
        <f t="shared" si="14"/>
        <v>61.300000000000004</v>
      </c>
      <c r="G188" s="978" t="s">
        <v>193</v>
      </c>
      <c r="H188" s="704" t="s">
        <v>180</v>
      </c>
      <c r="I188" s="697" t="s">
        <v>178</v>
      </c>
      <c r="J188" s="704" t="s">
        <v>178</v>
      </c>
      <c r="K188" s="704" t="s">
        <v>178</v>
      </c>
      <c r="L188" s="704" t="s">
        <v>178</v>
      </c>
      <c r="M188" s="697"/>
      <c r="N188" s="697"/>
      <c r="O188" s="697"/>
      <c r="P188" s="697"/>
      <c r="Q188" s="697"/>
      <c r="R188" s="697"/>
      <c r="S188" s="697"/>
      <c r="T188" s="697"/>
      <c r="U188" s="697"/>
      <c r="V188" s="697"/>
      <c r="W188" s="697"/>
      <c r="X188" s="697"/>
      <c r="Y188" s="710"/>
    </row>
    <row r="189" spans="1:25" ht="26.45">
      <c r="A189" s="1051">
        <f t="shared" si="13"/>
        <v>185</v>
      </c>
      <c r="B189" s="704" t="s">
        <v>175</v>
      </c>
      <c r="C189" s="978" t="s">
        <v>475</v>
      </c>
      <c r="D189" s="697" t="s">
        <v>476</v>
      </c>
      <c r="E189" s="697" t="s">
        <v>178</v>
      </c>
      <c r="F189" s="1049">
        <f t="shared" si="14"/>
        <v>61.400000000000006</v>
      </c>
      <c r="G189" s="978" t="s">
        <v>193</v>
      </c>
      <c r="H189" s="704" t="s">
        <v>180</v>
      </c>
      <c r="I189" s="697" t="s">
        <v>178</v>
      </c>
      <c r="J189" s="704" t="s">
        <v>178</v>
      </c>
      <c r="K189" s="704" t="s">
        <v>178</v>
      </c>
      <c r="L189" s="704" t="s">
        <v>178</v>
      </c>
      <c r="M189" s="697"/>
      <c r="N189" s="697"/>
      <c r="O189" s="697"/>
      <c r="P189" s="697"/>
      <c r="Q189" s="697"/>
      <c r="R189" s="697"/>
      <c r="S189" s="697"/>
      <c r="T189" s="697"/>
      <c r="U189" s="697"/>
      <c r="V189" s="697"/>
      <c r="W189" s="697"/>
      <c r="X189" s="697"/>
      <c r="Y189" s="710"/>
    </row>
    <row r="190" spans="1:25">
      <c r="A190" s="1051">
        <f t="shared" si="13"/>
        <v>186</v>
      </c>
      <c r="B190" s="704" t="s">
        <v>175</v>
      </c>
      <c r="C190" s="978" t="s">
        <v>477</v>
      </c>
      <c r="D190" s="697" t="s">
        <v>478</v>
      </c>
      <c r="E190" s="697" t="s">
        <v>178</v>
      </c>
      <c r="F190" s="1049">
        <f t="shared" si="14"/>
        <v>61.500000000000007</v>
      </c>
      <c r="G190" s="978" t="s">
        <v>193</v>
      </c>
      <c r="H190" s="704" t="s">
        <v>180</v>
      </c>
      <c r="I190" s="697" t="s">
        <v>178</v>
      </c>
      <c r="J190" s="704" t="s">
        <v>178</v>
      </c>
      <c r="K190" s="704" t="s">
        <v>178</v>
      </c>
      <c r="L190" s="704" t="s">
        <v>178</v>
      </c>
      <c r="M190" s="697"/>
      <c r="N190" s="697"/>
      <c r="O190" s="697"/>
      <c r="P190" s="697"/>
      <c r="Q190" s="697"/>
      <c r="R190" s="697"/>
      <c r="S190" s="697"/>
      <c r="T190" s="697"/>
      <c r="U190" s="697"/>
      <c r="V190" s="697"/>
      <c r="W190" s="697"/>
      <c r="X190" s="697"/>
      <c r="Y190" s="710"/>
    </row>
    <row r="191" spans="1:25">
      <c r="A191" s="1051">
        <f t="shared" si="13"/>
        <v>187</v>
      </c>
      <c r="B191" s="704" t="s">
        <v>175</v>
      </c>
      <c r="C191" s="978" t="s">
        <v>479</v>
      </c>
      <c r="D191" s="978" t="s">
        <v>480</v>
      </c>
      <c r="E191" s="978" t="s">
        <v>178</v>
      </c>
      <c r="F191" s="1049">
        <f t="shared" ref="F191:F196" si="15">IF(I191="Yes",IF(G191="Note",ROUNDDOWN(F190,0)+1,IF(G191="Sub Note",F190+0.1,F190)),F190)</f>
        <v>61.600000000000009</v>
      </c>
      <c r="G191" s="978" t="s">
        <v>193</v>
      </c>
      <c r="H191" s="704" t="s">
        <v>180</v>
      </c>
      <c r="I191" s="697" t="s">
        <v>178</v>
      </c>
      <c r="J191" s="704" t="s">
        <v>178</v>
      </c>
      <c r="K191" s="704" t="s">
        <v>178</v>
      </c>
      <c r="L191" s="704" t="s">
        <v>178</v>
      </c>
    </row>
    <row r="192" spans="1:25">
      <c r="A192" s="1051">
        <f t="shared" si="13"/>
        <v>188</v>
      </c>
      <c r="B192" s="704" t="s">
        <v>175</v>
      </c>
      <c r="C192" s="978" t="s">
        <v>481</v>
      </c>
      <c r="D192" s="978" t="s">
        <v>482</v>
      </c>
      <c r="E192" s="978" t="s">
        <v>178</v>
      </c>
      <c r="F192" s="1049">
        <f t="shared" si="15"/>
        <v>62</v>
      </c>
      <c r="G192" s="982" t="s">
        <v>179</v>
      </c>
      <c r="H192" s="704" t="s">
        <v>180</v>
      </c>
      <c r="I192" s="697" t="s">
        <v>178</v>
      </c>
      <c r="J192" s="1529" t="s">
        <v>178</v>
      </c>
      <c r="K192" s="1529" t="s">
        <v>178</v>
      </c>
      <c r="L192" s="1529" t="s">
        <v>178</v>
      </c>
      <c r="S192" s="2" t="s">
        <v>178</v>
      </c>
      <c r="W192" s="2" t="s">
        <v>178</v>
      </c>
    </row>
    <row r="193" spans="1:23">
      <c r="A193" s="1051">
        <f t="shared" si="13"/>
        <v>189</v>
      </c>
      <c r="B193" s="704" t="s">
        <v>175</v>
      </c>
      <c r="C193" s="978" t="s">
        <v>483</v>
      </c>
      <c r="D193" s="978"/>
      <c r="E193" s="978" t="s">
        <v>178</v>
      </c>
      <c r="F193" s="1049">
        <f t="shared" si="15"/>
        <v>62.1</v>
      </c>
      <c r="G193" s="982" t="s">
        <v>193</v>
      </c>
      <c r="H193" s="704" t="s">
        <v>180</v>
      </c>
      <c r="I193" s="697" t="s">
        <v>178</v>
      </c>
      <c r="J193" s="1529" t="s">
        <v>178</v>
      </c>
      <c r="K193" s="1529" t="s">
        <v>178</v>
      </c>
      <c r="L193" s="1529" t="s">
        <v>178</v>
      </c>
    </row>
    <row r="194" spans="1:23" ht="26.45">
      <c r="A194" s="1051">
        <f t="shared" si="13"/>
        <v>190</v>
      </c>
      <c r="B194" s="704" t="s">
        <v>175</v>
      </c>
      <c r="C194" s="978" t="s">
        <v>484</v>
      </c>
      <c r="D194" s="978"/>
      <c r="E194" s="978" t="s">
        <v>178</v>
      </c>
      <c r="F194" s="1049">
        <f t="shared" si="15"/>
        <v>62.2</v>
      </c>
      <c r="G194" s="982" t="s">
        <v>193</v>
      </c>
      <c r="H194" s="704" t="s">
        <v>180</v>
      </c>
      <c r="I194" s="697" t="s">
        <v>178</v>
      </c>
      <c r="J194" s="1529" t="s">
        <v>178</v>
      </c>
      <c r="K194" s="1529" t="s">
        <v>178</v>
      </c>
      <c r="L194" s="1529" t="s">
        <v>178</v>
      </c>
    </row>
    <row r="195" spans="1:23">
      <c r="A195" s="1051">
        <f t="shared" si="13"/>
        <v>191</v>
      </c>
      <c r="B195" s="704" t="s">
        <v>175</v>
      </c>
      <c r="C195" s="978" t="s">
        <v>485</v>
      </c>
      <c r="D195" s="978"/>
      <c r="E195" s="978" t="s">
        <v>178</v>
      </c>
      <c r="F195" s="1049">
        <f t="shared" si="15"/>
        <v>62.300000000000004</v>
      </c>
      <c r="G195" s="982" t="s">
        <v>193</v>
      </c>
      <c r="H195" s="704" t="s">
        <v>180</v>
      </c>
      <c r="I195" s="697" t="s">
        <v>178</v>
      </c>
      <c r="J195" s="1529" t="s">
        <v>178</v>
      </c>
      <c r="K195" s="1529" t="s">
        <v>178</v>
      </c>
      <c r="L195" s="1529" t="s">
        <v>178</v>
      </c>
    </row>
    <row r="196" spans="1:23">
      <c r="A196" s="1051">
        <f t="shared" si="13"/>
        <v>192</v>
      </c>
      <c r="B196" s="704" t="s">
        <v>175</v>
      </c>
      <c r="C196" s="978" t="s">
        <v>486</v>
      </c>
      <c r="D196" s="978"/>
      <c r="E196" s="978" t="s">
        <v>178</v>
      </c>
      <c r="F196" s="1049">
        <f t="shared" si="15"/>
        <v>62.400000000000006</v>
      </c>
      <c r="G196" s="982" t="s">
        <v>193</v>
      </c>
      <c r="H196" s="704" t="s">
        <v>180</v>
      </c>
      <c r="I196" s="697" t="s">
        <v>178</v>
      </c>
      <c r="J196" s="1529" t="s">
        <v>178</v>
      </c>
      <c r="K196" s="1529" t="s">
        <v>178</v>
      </c>
      <c r="L196" s="1529" t="s">
        <v>178</v>
      </c>
      <c r="S196" s="2" t="s">
        <v>178</v>
      </c>
      <c r="W196" s="2" t="s">
        <v>178</v>
      </c>
    </row>
  </sheetData>
  <sheetProtection algorithmName="SHA-512" hashValue="GDrVocCQmVe1x1oGXxPTpAT8n/PkI++Q87BGKt+nY73i6M1WJSE01r3WYbnVTYkm34qyKZhV8wSMGZL+hQjAZg==" saltValue="mVhhh1hzLav9Y33S3yhhOw==" spinCount="100000" sheet="1" objects="1" scenarios="1"/>
  <autoFilter ref="A3:Y196" xr:uid="{5689EA56-7582-4F50-83E9-86C0D0DB00D5}">
    <filterColumn colId="8" showButton="0"/>
    <filterColumn colId="9" hiddenButton="1"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autoFilter>
  <mergeCells count="4">
    <mergeCell ref="A3:A4"/>
    <mergeCell ref="B3:B4"/>
    <mergeCell ref="C3:C4"/>
    <mergeCell ref="I3:Y3"/>
  </mergeCells>
  <dataValidations count="2">
    <dataValidation type="list" allowBlank="1" showInputMessage="1" showErrorMessage="1" sqref="H5:H196" xr:uid="{381BD1B7-0B50-4A34-8052-79BC0A9999F2}">
      <formula1>"TB,Non-TB"</formula1>
    </dataValidation>
    <dataValidation type="list" allowBlank="1" showInputMessage="1" showErrorMessage="1" sqref="G5:G202" xr:uid="{6592AEE7-960C-4973-9421-1DC4955BDC35}">
      <formula1>"Note,Sub Note,Header,Total"</formula1>
    </dataValidation>
  </dataValidations>
  <hyperlinks>
    <hyperlink ref="C10" location="BS_NCA_PPE" display="Property, Plant and Equipment" xr:uid="{BBF555F1-87E9-41D8-B645-F6158541905D}"/>
    <hyperlink ref="C12" location="BS_NCA_ROU" display="Right to Use Assets" xr:uid="{90218E51-742F-4199-854D-45B91FAE2D8F}"/>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38833-5C08-4816-8768-521F1EC52663}">
  <sheetPr codeName="Sheet7"/>
  <dimension ref="C8:O22"/>
  <sheetViews>
    <sheetView showGridLines="0" tabSelected="1" view="pageBreakPreview" topLeftCell="B1" zoomScaleNormal="100" zoomScaleSheetLayoutView="100" workbookViewId="0">
      <selection activeCell="H15" sqref="H15"/>
    </sheetView>
  </sheetViews>
  <sheetFormatPr defaultColWidth="8.85546875" defaultRowHeight="13.15"/>
  <cols>
    <col min="1" max="2" style="2" width="8.85546875"/>
    <col min="3" max="3" bestFit="true" customWidth="true" style="2" width="77.5703125"/>
    <col min="4" max="16384" style="2" width="8.85546875"/>
  </cols>
  <sheetData>
    <row r="8" spans="3:6" ht="20.45">
      <c r="C8" s="1052" t="e">
        <f ca="1">UPPER(Company)</f>
        <v>#NAME?</v>
      </c>
    </row>
    <row r="9" spans="3:6" ht="20.45">
      <c r="C9" s="712"/>
      <c r="F9" s="713"/>
    </row>
    <row r="10" spans="3:6" ht="20.45">
      <c r="C10" s="712" t="s">
        <v>487</v>
      </c>
    </row>
    <row r="11" spans="3:6" ht="20.45">
      <c r="C11" s="712"/>
    </row>
    <row r="12" spans="3:6" ht="20.45">
      <c r="C12" s="1052" t="e">
        <f ca="1">"FOR THE YEAR ENDED "&amp;UPPER(Current_Date)</f>
        <v>#NAME?</v>
      </c>
    </row>
    <row r="22" spans="15:15">
      <c r="O22" s="2" t="s">
        <v>488</v>
      </c>
    </row>
  </sheetData>
  <sheetProtection algorithmName="SHA-512" hashValue="1/qMT8CtNZK1uh1zaFBkklR67CM2x2W2aEqIysJmf4+t8ov5Jemnmd0aEqzw/TqY+S2/Vi8FJ0lUOxGsIufsmg==" saltValue="swWNQ89JWIsgEAyBjheJ8g=="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08D7E-997D-404B-A1BA-2C308A8CDC9A}">
  <sheetPr codeName="Sheet5"/>
  <dimension ref="B2:C7"/>
  <sheetViews>
    <sheetView view="pageBreakPreview" zoomScaleNormal="100" zoomScaleSheetLayoutView="100" workbookViewId="0">
      <selection activeCell="C19" sqref="C19"/>
    </sheetView>
  </sheetViews>
  <sheetFormatPr defaultColWidth="8.85546875" defaultRowHeight="13.15"/>
  <cols>
    <col min="1" max="1" style="2" width="8.85546875"/>
    <col min="2" max="2" bestFit="true" customWidth="true" style="2" width="12.0"/>
    <col min="3" max="3" bestFit="true" customWidth="true" style="2" width="69.0"/>
    <col min="4" max="16384" style="2" width="8.85546875"/>
  </cols>
  <sheetData>
    <row r="2" spans="2:3">
      <c r="B2" s="25" t="s">
        <v>489</v>
      </c>
      <c r="C2" s="25" t="s">
        <v>490</v>
      </c>
    </row>
    <row r="3" spans="2:3">
      <c r="B3" s="15" t="s">
        <v>7</v>
      </c>
      <c r="C3" s="2" t="s">
        <v>334</v>
      </c>
    </row>
    <row r="4" spans="2:3">
      <c r="B4" s="15" t="s">
        <v>360</v>
      </c>
      <c r="C4" s="2" t="s">
        <v>398</v>
      </c>
    </row>
    <row r="5" spans="2:3">
      <c r="C5" s="2" t="s">
        <v>411</v>
      </c>
    </row>
    <row r="6" spans="2:3">
      <c r="C6" s="2" t="s">
        <v>413</v>
      </c>
    </row>
    <row r="7" spans="2:3">
      <c r="B7" s="15" t="s">
        <v>491</v>
      </c>
      <c r="C7" s="2" t="s">
        <v>334</v>
      </c>
    </row>
  </sheetData>
  <sheetProtection algorithmName="SHA-512" hashValue="wL1pTk6u9WmfArIjUkJVNQ4FOFD2h1IJbGsK0rU7u2MtHbXwtWVyHpIWYTrltDIcV30+N+AsNZPRigbz0clWNw==" saltValue="JcfB2yA+ehYv1/hZtWisB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4794B-F65B-4F5F-96A0-8EA28E9AD906}">
  <sheetPr codeName="Sheet10">
    <tabColor theme="5" tint="0.59999389629810485"/>
    <pageSetUpPr fitToPage="1"/>
  </sheetPr>
  <dimension ref="A1:AB98"/>
  <sheetViews>
    <sheetView showGridLines="0" view="pageBreakPreview" topLeftCell="B14" zoomScaleNormal="100" zoomScaleSheetLayoutView="100" workbookViewId="0">
      <selection activeCell="Z14" sqref="Z14"/>
    </sheetView>
  </sheetViews>
  <sheetFormatPr defaultColWidth="0" defaultRowHeight="13.9" outlineLevelRow="1" outlineLevelCol="1"/>
  <cols>
    <col min="1" max="1" customWidth="true" style="44" width="61.42578125"/>
    <col min="2" max="2" customWidth="true" style="108" width="7.5703125"/>
    <col min="3" max="3" customWidth="true" style="44" width="20.28515625"/>
    <col min="4" max="4" customWidth="true" style="44" width="18.7109375"/>
    <col min="5" max="5" customWidth="true" style="44" width="4.7109375"/>
    <col min="6" max="6" customWidth="true" style="44" width="6.42578125"/>
    <col min="7" max="8" customWidth="true" style="44" width="3.5703125"/>
    <col min="9" max="9" customWidth="true" style="44" width="5.28515625"/>
    <col min="10" max="10" customWidth="true" hidden="true" style="44" width="11.42578125" outlineLevel="1"/>
    <col min="11" max="11" customWidth="true" hidden="true" style="44" width="12.42578125" outlineLevel="1"/>
    <col min="12" max="12" customWidth="true" hidden="true" style="44" width="2.5703125" outlineLevel="1"/>
    <col min="13" max="13" customWidth="true" hidden="true" style="44" width="18.7109375" outlineLevel="1"/>
    <col min="14" max="14" customWidth="true" hidden="true" style="44" width="18.28515625" outlineLevel="1"/>
    <col min="15" max="15" customWidth="true" hidden="true" style="44" width="2.0" outlineLevel="1"/>
    <col min="16" max="17" customWidth="true" hidden="true" style="109" width="18.7109375" outlineLevel="1"/>
    <col min="18" max="18" customWidth="true" hidden="true" style="44" width="13.7109375" outlineLevel="1"/>
    <col min="19" max="19" customWidth="true" hidden="true" style="44" width="20.42578125" outlineLevel="1"/>
    <col min="20" max="20" customWidth="true" hidden="true" style="44" width="18.42578125" outlineLevel="1"/>
    <col min="21" max="21" customWidth="true" hidden="true" style="44" width="3.5703125" outlineLevel="1"/>
    <col min="22" max="22" customWidth="true" style="44" width="3.5703125" collapsed="true"/>
    <col min="23" max="25" customWidth="true" style="2" width="9.42578125"/>
    <col min="26" max="28" customWidth="true" style="39" width="9.42578125"/>
    <col min="29" max="29" customWidth="true" style="44" width="9.42578125"/>
    <col min="30" max="30" bestFit="true" customWidth="true" style="44" width="20.42578125"/>
    <col min="31" max="31" customWidth="true" style="44" width="18.42578125"/>
    <col min="32" max="51" customWidth="true" hidden="true" style="44" width="0.0"/>
    <col min="52" max="16384" hidden="true" style="44" width="9.42578125"/>
  </cols>
  <sheetData>
    <row r="1" spans="1:28" hidden="1" outlineLevel="1">
      <c r="B1" s="44"/>
      <c r="C1" s="1053" t="str">
        <f>'Master Sheet'!G52</f>
        <v>7756|001|INR|Actual|Standalone</v>
      </c>
      <c r="D1" s="1054" t="str">
        <f>'Master Sheet'!G53</f>
        <v>7756|002|INR|Actual|Standalone</v>
      </c>
      <c r="E1" s="1055" t="str">
        <f>'Master Sheet'!G54</f>
        <v>7756|003|INR|Actual|Standalone</v>
      </c>
      <c r="F1" s="45"/>
      <c r="G1" s="46"/>
      <c r="H1" s="49" t="s">
        <v>492</v>
      </c>
      <c r="J1" s="21"/>
      <c r="K1" s="21" t="s">
        <v>493</v>
      </c>
      <c r="M1" s="47"/>
      <c r="N1" s="20"/>
      <c r="P1" s="1530"/>
      <c r="Q1" s="1530"/>
      <c r="S1" s="20"/>
      <c r="T1" s="20"/>
      <c r="W1" s="44"/>
      <c r="X1" s="44"/>
      <c r="Y1" s="44"/>
      <c r="Z1" s="44"/>
      <c r="AA1" s="44"/>
      <c r="AB1" s="44"/>
    </row>
    <row r="2" spans="1:28" hidden="1" outlineLevel="1">
      <c r="B2" s="48"/>
      <c r="C2" s="47"/>
      <c r="D2" s="20"/>
      <c r="G2" s="49"/>
      <c r="H2" s="49"/>
      <c r="J2" s="21"/>
      <c r="K2" s="21"/>
      <c r="M2" s="47" t="s">
        <v>494</v>
      </c>
      <c r="N2" s="20" t="s">
        <v>495</v>
      </c>
      <c r="P2" s="1530"/>
      <c r="Q2" s="1530"/>
      <c r="S2" s="20"/>
      <c r="T2" s="20"/>
      <c r="W2" s="44"/>
      <c r="X2" s="44"/>
      <c r="Y2" s="44"/>
      <c r="Z2" s="44"/>
      <c r="AA2" s="44"/>
      <c r="AB2" s="44"/>
    </row>
    <row r="3" spans="1:28" collapsed="1">
      <c r="A3" s="581"/>
      <c r="B3" s="582" t="s">
        <v>496</v>
      </c>
      <c r="C3" s="1056">
        <f ca="1">C37-C70</f>
        <v>0</v>
      </c>
      <c r="D3" s="1056">
        <f ca="1">D37-D70</f>
        <v>0</v>
      </c>
      <c r="H3" s="49"/>
      <c r="J3" s="21"/>
      <c r="K3" s="21"/>
      <c r="M3" s="645">
        <f ca="1">M37-M70</f>
        <v>0</v>
      </c>
      <c r="N3" s="645">
        <f ca="1">N37-N70</f>
        <v>0</v>
      </c>
      <c r="O3" s="20"/>
      <c r="P3" s="645">
        <f ca="1">P37-P70</f>
        <v>0</v>
      </c>
      <c r="Q3" s="645">
        <f ca="1">Q37-Q70</f>
        <v>0</v>
      </c>
      <c r="S3" s="20"/>
      <c r="T3" s="20"/>
      <c r="W3" s="44"/>
      <c r="X3" s="44"/>
      <c r="Y3" s="44"/>
      <c r="Z3" s="44"/>
      <c r="AA3" s="44"/>
      <c r="AB3" s="44"/>
    </row>
    <row r="4" spans="1:28" s="20" customFormat="1" ht="17.45">
      <c r="A4" s="1057" t="e">
        <f ca="1">Company</f>
        <v>#NAME?</v>
      </c>
      <c r="B4" s="50"/>
      <c r="C4" s="21"/>
      <c r="M4" s="1054">
        <f ca="1">COUNTA(BS!P11:P70)-COUNTIF(BS!P11:P70,"=0")+COUNTA(BS!I70)-COUNTIF(BS!I70,"=0")</f>
        <v>0</v>
      </c>
      <c r="N4" s="1054">
        <f ca="1">COUNTA(BS!Q11:Q70)-COUNTIF(BS!Q11:Q70,"=0")+COUNTA(BS!J70)-COUNTIF(BS!J70,"=0")</f>
        <v>0</v>
      </c>
      <c r="P4" s="1531"/>
      <c r="Q4" s="1530"/>
      <c r="S4" s="21"/>
    </row>
    <row r="5" spans="1:28" s="20" customFormat="1" ht="15.6">
      <c r="A5" s="1058" t="e">
        <f ca="1">BS_Name</f>
        <v>#NAME?</v>
      </c>
      <c r="B5" s="50"/>
      <c r="G5" s="52"/>
      <c r="H5" s="52"/>
      <c r="I5" s="52"/>
      <c r="J5" s="52"/>
      <c r="L5" s="52"/>
      <c r="P5" s="1530"/>
      <c r="Q5" s="1530"/>
      <c r="U5" s="52"/>
      <c r="V5" s="52"/>
    </row>
    <row r="6" spans="1:28" s="20" customFormat="1" ht="15.6">
      <c r="A6" s="51"/>
      <c r="B6" s="50"/>
      <c r="E6" s="52"/>
      <c r="F6" s="52"/>
      <c r="G6" s="52"/>
      <c r="H6" s="52"/>
      <c r="I6" s="52"/>
      <c r="J6" s="52"/>
      <c r="L6" s="52"/>
      <c r="M6" s="1289" t="s">
        <v>497</v>
      </c>
      <c r="N6" s="1290"/>
      <c r="P6" s="1289" t="s">
        <v>498</v>
      </c>
      <c r="Q6" s="1290"/>
      <c r="S6" s="1291" t="s">
        <v>499</v>
      </c>
      <c r="T6" s="1292"/>
      <c r="U6" s="52"/>
      <c r="V6" s="52"/>
    </row>
    <row r="7" spans="1:28" s="20" customFormat="1" ht="13.15">
      <c r="B7" s="50"/>
      <c r="D7" s="1059" t="str">
        <f>+'Master Sheet'!$C$65</f>
        <v>(Amount in INR)</v>
      </c>
      <c r="E7" s="52"/>
      <c r="F7" s="52"/>
      <c r="G7" s="52"/>
      <c r="H7" s="52"/>
      <c r="I7" s="52"/>
      <c r="J7" s="52"/>
      <c r="L7" s="52"/>
      <c r="N7" s="53"/>
      <c r="P7" s="1530"/>
      <c r="Q7" s="1532"/>
      <c r="T7" s="53"/>
      <c r="U7" s="52"/>
      <c r="V7" s="52"/>
    </row>
    <row r="8" spans="1:28" s="20" customFormat="1" ht="31.5" customHeight="1">
      <c r="A8" s="54" t="s">
        <v>500</v>
      </c>
      <c r="B8" s="1248" t="s">
        <v>501</v>
      </c>
      <c r="C8" s="1060" t="e">
        <f ca="1">BS_CY</f>
        <v>#NAME?</v>
      </c>
      <c r="D8" s="1061" t="e">
        <f ca="1">BS_PY</f>
        <v>#NAME?</v>
      </c>
      <c r="M8" s="1062" t="str">
        <f>"As at "&amp;FZ_Reference_Master!D15</f>
        <v>As at 31st March 2024</v>
      </c>
      <c r="N8" s="1062" t="str">
        <f>"As at "&amp;FZ_Reference_Master!E15</f>
        <v>As at 31st March 2023</v>
      </c>
      <c r="P8" s="1062" t="str">
        <f>"As at "&amp;FZ_Reference_Master!D15</f>
        <v>As at 31st March 2024</v>
      </c>
      <c r="Q8" s="1062" t="str">
        <f>"As at "&amp;FZ_Reference_Master!E15</f>
        <v>As at 31st March 2023</v>
      </c>
      <c r="S8" s="1062" t="str">
        <f>"As at "&amp;FZ_Reference_Master!D15</f>
        <v>As at 31st March 2024</v>
      </c>
      <c r="T8" s="1062" t="str">
        <f>"As at "&amp;FZ_Reference_Master!E15</f>
        <v>As at 31st March 2023</v>
      </c>
    </row>
    <row r="9" spans="1:28" s="20" customFormat="1" ht="15" customHeight="1">
      <c r="A9" s="1064" t="str">
        <f>NTA!C8</f>
        <v>ASSETS</v>
      </c>
      <c r="B9" s="46"/>
      <c r="C9" s="55"/>
      <c r="M9" s="55"/>
      <c r="P9" s="1533"/>
      <c r="Q9" s="1530"/>
      <c r="S9" s="55"/>
    </row>
    <row r="10" spans="1:28" s="20" customFormat="1" ht="15" customHeight="1">
      <c r="A10" s="1065" t="str">
        <f>NTA!C9</f>
        <v>NON-CURRENT ASSETS</v>
      </c>
      <c r="B10" s="56"/>
      <c r="C10" s="57"/>
      <c r="D10" s="58"/>
      <c r="M10" s="184"/>
      <c r="N10" s="169"/>
      <c r="P10" s="1533"/>
      <c r="Q10" s="1530"/>
      <c r="S10" s="55"/>
    </row>
    <row r="11" spans="1:28" s="20" customFormat="1" ht="13.15">
      <c r="A11" s="1066" t="str">
        <f>NTA!C10</f>
        <v>Property, Plant and Equipment</v>
      </c>
      <c r="B11" s="718">
        <f>NTA!F10</f>
        <v>4</v>
      </c>
      <c r="C11" s="342">
        <f ca="1">'NT PPE'!K43</f>
        <v>0</v>
      </c>
      <c r="D11" s="719">
        <f ca="1">'NT PPE'!K42</f>
        <v>0</v>
      </c>
      <c r="H11" s="1054" t="str">
        <f ca="1">IF(C11=0,IF(D11=0,"##H",""),"")</f>
        <v>##H</v>
      </c>
      <c r="J11" s="20" t="s">
        <v>502</v>
      </c>
      <c r="K11" s="20" t="s">
        <v>50</v>
      </c>
      <c r="M11" s="342">
        <f t="shared" ref="M11:N16" ca="1" si="0">IFERROR(INDEX(INDIRECT(VLOOKUP($K11,Source_Master,2,0),),MATCH(TEXT($J11,0),INDIRECT(VLOOKUP($K11,Source_Master,4,0)),0),MATCH(C$1,INDIRECT(VLOOKUP($K11,Source_Master,3,0),),0)),0)</f>
        <v>0</v>
      </c>
      <c r="N11" s="342">
        <f t="shared" ca="1" si="0"/>
        <v>0</v>
      </c>
      <c r="O11" s="60"/>
      <c r="P11" s="342">
        <f t="shared" ref="P11:Q16" ca="1" si="1">C11-M11</f>
        <v>0</v>
      </c>
      <c r="Q11" s="342">
        <f t="shared" ca="1" si="1"/>
        <v>0</v>
      </c>
      <c r="R11" s="60"/>
      <c r="S11" s="1534">
        <f t="shared" ref="S11:T16" ca="1" si="2">IF(P11=0,0,1)</f>
        <v>0</v>
      </c>
      <c r="T11" s="1535">
        <f t="shared" ca="1" si="2"/>
        <v>0</v>
      </c>
    </row>
    <row r="12" spans="1:28" s="20" customFormat="1" ht="15" customHeight="1">
      <c r="A12" s="1066" t="str">
        <f>NTA!C12</f>
        <v>Right to Use Assets</v>
      </c>
      <c r="B12" s="718">
        <f>NTA!F12</f>
        <v>5</v>
      </c>
      <c r="C12" s="342">
        <f ca="1">'NT ROU'!F46</f>
        <v>0</v>
      </c>
      <c r="D12" s="719">
        <f ca="1">'NT ROU'!F45</f>
        <v>0</v>
      </c>
      <c r="H12" s="1054" t="str">
        <f t="shared" ref="H12:H37" ca="1" si="3">IF(C12=0,IF(D12=0,"##H",""),"")</f>
        <v>##H</v>
      </c>
      <c r="J12" s="20" t="s">
        <v>503</v>
      </c>
      <c r="K12" s="20" t="s">
        <v>50</v>
      </c>
      <c r="M12" s="342">
        <f t="shared" ca="1" si="0"/>
        <v>0</v>
      </c>
      <c r="N12" s="342">
        <f t="shared" ca="1" si="0"/>
        <v>0</v>
      </c>
      <c r="O12" s="60"/>
      <c r="P12" s="342">
        <f t="shared" ca="1" si="1"/>
        <v>0</v>
      </c>
      <c r="Q12" s="342">
        <f t="shared" ca="1" si="1"/>
        <v>0</v>
      </c>
      <c r="R12" s="60"/>
      <c r="S12" s="1536"/>
      <c r="T12" s="1528"/>
    </row>
    <row r="13" spans="1:28" s="20" customFormat="1" ht="15" customHeight="1">
      <c r="A13" s="1066" t="str">
        <f>NTA!C13</f>
        <v>Capital Work-In-Progress</v>
      </c>
      <c r="B13" s="718">
        <f>NTA!F13</f>
        <v>6</v>
      </c>
      <c r="C13" s="61">
        <f ca="1">'NT CWIP'!D10</f>
        <v>0</v>
      </c>
      <c r="D13" s="62">
        <f ca="1">'NT CWIP'!E10</f>
        <v>0</v>
      </c>
      <c r="H13" s="1054" t="str">
        <f t="shared" ca="1" si="3"/>
        <v>##H</v>
      </c>
      <c r="J13" s="20" t="s">
        <v>504</v>
      </c>
      <c r="K13" s="20" t="s">
        <v>50</v>
      </c>
      <c r="M13" s="342">
        <f t="shared" ca="1" si="0"/>
        <v>0</v>
      </c>
      <c r="N13" s="342">
        <f t="shared" ca="1" si="0"/>
        <v>0</v>
      </c>
      <c r="O13" s="60"/>
      <c r="P13" s="342">
        <f t="shared" ca="1" si="1"/>
        <v>0</v>
      </c>
      <c r="Q13" s="342">
        <f t="shared" ca="1" si="1"/>
        <v>0</v>
      </c>
      <c r="R13" s="60"/>
      <c r="S13" s="1534">
        <f t="shared" ca="1" si="2"/>
        <v>0</v>
      </c>
      <c r="T13" s="1535">
        <f t="shared" ca="1" si="2"/>
        <v>0</v>
      </c>
    </row>
    <row r="14" spans="1:28" s="20" customFormat="1" ht="15" customHeight="1">
      <c r="A14" s="1067" t="str">
        <f>NTA!C16</f>
        <v>Goodwill</v>
      </c>
      <c r="B14" s="718">
        <f>NTA!F16</f>
        <v>7</v>
      </c>
      <c r="C14" s="720">
        <f ca="1">'NT Intangible Assets'!E57</f>
        <v>0</v>
      </c>
      <c r="D14" s="62">
        <f ca="1">'NT Intangible Assets'!E56</f>
        <v>0</v>
      </c>
      <c r="H14" s="1054" t="str">
        <f t="shared" ca="1" si="3"/>
        <v>##H</v>
      </c>
      <c r="J14" s="20" t="s">
        <v>505</v>
      </c>
      <c r="K14" s="20" t="s">
        <v>50</v>
      </c>
      <c r="M14" s="342">
        <f t="shared" ca="1" si="0"/>
        <v>0</v>
      </c>
      <c r="N14" s="342">
        <f t="shared" ca="1" si="0"/>
        <v>0</v>
      </c>
      <c r="O14" s="60"/>
      <c r="P14" s="342">
        <f t="shared" ca="1" si="1"/>
        <v>0</v>
      </c>
      <c r="Q14" s="342">
        <f t="shared" ca="1" si="1"/>
        <v>0</v>
      </c>
      <c r="R14" s="60"/>
      <c r="S14" s="1534">
        <f t="shared" ca="1" si="2"/>
        <v>0</v>
      </c>
      <c r="T14" s="1535">
        <f t="shared" ca="1" si="2"/>
        <v>0</v>
      </c>
    </row>
    <row r="15" spans="1:28" s="20" customFormat="1" ht="15" customHeight="1">
      <c r="A15" s="1066" t="str">
        <f>NTA!C17</f>
        <v>Other Intangible Assets</v>
      </c>
      <c r="B15" s="718">
        <f>NTA!F17</f>
        <v>7</v>
      </c>
      <c r="C15" s="61">
        <f ca="1">'NT Intangible Assets'!J57</f>
        <v>0</v>
      </c>
      <c r="D15" s="62">
        <f ca="1">'NT Intangible Assets'!J56</f>
        <v>0</v>
      </c>
      <c r="H15" s="1054" t="str">
        <f t="shared" ca="1" si="3"/>
        <v>##H</v>
      </c>
      <c r="J15" s="20" t="s">
        <v>506</v>
      </c>
      <c r="K15" s="20" t="s">
        <v>50</v>
      </c>
      <c r="M15" s="342">
        <f t="shared" ca="1" si="0"/>
        <v>0</v>
      </c>
      <c r="N15" s="342">
        <f t="shared" ca="1" si="0"/>
        <v>0</v>
      </c>
      <c r="O15" s="60"/>
      <c r="P15" s="342">
        <f t="shared" ca="1" si="1"/>
        <v>0</v>
      </c>
      <c r="Q15" s="342">
        <f t="shared" ca="1" si="1"/>
        <v>0</v>
      </c>
      <c r="R15" s="60"/>
      <c r="S15" s="1534">
        <f t="shared" ca="1" si="2"/>
        <v>0</v>
      </c>
      <c r="T15" s="1535">
        <f t="shared" ca="1" si="2"/>
        <v>0</v>
      </c>
    </row>
    <row r="16" spans="1:28" s="20" customFormat="1" ht="15" hidden="1" customHeight="1">
      <c r="A16" s="1067" t="str">
        <f>NTA!C22</f>
        <v>Intangible Assets Under Development</v>
      </c>
      <c r="B16" s="718">
        <f>NTA!F22</f>
        <v>8</v>
      </c>
      <c r="C16" s="61">
        <f ca="1">'NT ITA Under Dvlpmt'!D10</f>
        <v>0</v>
      </c>
      <c r="D16" s="62">
        <f ca="1">'NT ITA Under Dvlpmt'!E10</f>
        <v>0</v>
      </c>
      <c r="H16" s="1054" t="str">
        <f t="shared" ca="1" si="3"/>
        <v>##H</v>
      </c>
      <c r="J16" s="20" t="s">
        <v>507</v>
      </c>
      <c r="K16" s="20" t="s">
        <v>50</v>
      </c>
      <c r="M16" s="342">
        <f t="shared" ca="1" si="0"/>
        <v>0</v>
      </c>
      <c r="N16" s="342">
        <f t="shared" ca="1" si="0"/>
        <v>0</v>
      </c>
      <c r="O16" s="60"/>
      <c r="P16" s="342">
        <f t="shared" ca="1" si="1"/>
        <v>0</v>
      </c>
      <c r="Q16" s="342">
        <f t="shared" ca="1" si="1"/>
        <v>0</v>
      </c>
      <c r="R16" s="60"/>
      <c r="S16" s="1534">
        <f t="shared" ca="1" si="2"/>
        <v>0</v>
      </c>
      <c r="T16" s="1535">
        <f t="shared" ca="1" si="2"/>
        <v>0</v>
      </c>
    </row>
    <row r="17" spans="1:20" s="20" customFormat="1" ht="15" customHeight="1">
      <c r="A17" s="1066" t="str">
        <f>NTA!C25</f>
        <v>Financial Assets</v>
      </c>
      <c r="B17" s="59"/>
      <c r="C17" s="63"/>
      <c r="D17" s="64"/>
      <c r="M17" s="65"/>
      <c r="N17" s="65"/>
      <c r="O17" s="60"/>
      <c r="P17" s="65"/>
      <c r="Q17" s="65"/>
      <c r="R17" s="60"/>
      <c r="S17" s="1536"/>
      <c r="T17" s="1528"/>
    </row>
    <row r="18" spans="1:20" s="20" customFormat="1" ht="15" hidden="1" customHeight="1">
      <c r="A18" s="1068" t="str">
        <f>NTA!C26</f>
        <v>Investments</v>
      </c>
      <c r="B18" s="718">
        <f>NTA!F26</f>
        <v>9</v>
      </c>
      <c r="C18" s="61">
        <f ca="1">'NT BS1'!H9</f>
        <v>0</v>
      </c>
      <c r="D18" s="62">
        <f ca="1">'NT BS1'!J9</f>
        <v>0</v>
      </c>
      <c r="H18" s="1054" t="str">
        <f t="shared" ca="1" si="3"/>
        <v>##H</v>
      </c>
      <c r="J18" s="20" t="s">
        <v>508</v>
      </c>
      <c r="K18" s="20" t="s">
        <v>50</v>
      </c>
      <c r="M18" s="342">
        <f t="shared" ref="M18:N23" ca="1" si="4">IFERROR(INDEX(INDIRECT(VLOOKUP($K18,Source_Master,2,0),),MATCH(TEXT($J18,0),INDIRECT(VLOOKUP($K18,Source_Master,4,0)),0),MATCH(C$1,INDIRECT(VLOOKUP($K18,Source_Master,3,0),),0)),0)</f>
        <v>0</v>
      </c>
      <c r="N18" s="342">
        <f t="shared" ca="1" si="4"/>
        <v>0</v>
      </c>
      <c r="O18" s="60"/>
      <c r="P18" s="342">
        <f t="shared" ref="P18:Q20" ca="1" si="5">C18-M18</f>
        <v>0</v>
      </c>
      <c r="Q18" s="342">
        <f t="shared" ca="1" si="5"/>
        <v>0</v>
      </c>
      <c r="R18" s="60"/>
      <c r="S18" s="1534">
        <f t="shared" ref="S18:T23" ca="1" si="6">IF(P18=0,0,1)</f>
        <v>0</v>
      </c>
      <c r="T18" s="1535">
        <f t="shared" ca="1" si="6"/>
        <v>0</v>
      </c>
    </row>
    <row r="19" spans="1:20" s="20" customFormat="1" ht="15" customHeight="1">
      <c r="A19" s="1069" t="str">
        <f>NTA!C28</f>
        <v>Loans</v>
      </c>
      <c r="B19" s="718">
        <f>NTA!F28</f>
        <v>10</v>
      </c>
      <c r="C19" s="61">
        <f ca="1">+'NT BS1'!H17</f>
        <v>0</v>
      </c>
      <c r="D19" s="62">
        <f ca="1">+'NT BS1'!J17</f>
        <v>0</v>
      </c>
      <c r="H19" s="1054" t="str">
        <f t="shared" ca="1" si="3"/>
        <v>##H</v>
      </c>
      <c r="J19" s="20" t="s">
        <v>509</v>
      </c>
      <c r="K19" s="20" t="s">
        <v>50</v>
      </c>
      <c r="M19" s="342">
        <f t="shared" ca="1" si="4"/>
        <v>0</v>
      </c>
      <c r="N19" s="342">
        <f t="shared" ca="1" si="4"/>
        <v>0</v>
      </c>
      <c r="O19" s="60"/>
      <c r="P19" s="342">
        <f t="shared" ca="1" si="5"/>
        <v>0</v>
      </c>
      <c r="Q19" s="342">
        <f t="shared" ca="1" si="5"/>
        <v>0</v>
      </c>
      <c r="R19" s="60"/>
      <c r="S19" s="1534">
        <f t="shared" ca="1" si="6"/>
        <v>0</v>
      </c>
      <c r="T19" s="1535">
        <f t="shared" ca="1" si="6"/>
        <v>0</v>
      </c>
    </row>
    <row r="20" spans="1:20" s="20" customFormat="1" ht="15" customHeight="1">
      <c r="A20" s="1069" t="str">
        <f>NTA!C29</f>
        <v>Other Financial Assets</v>
      </c>
      <c r="B20" s="718">
        <f>NTA!F29</f>
        <v>11</v>
      </c>
      <c r="C20" s="61">
        <f ca="1">'NT BS1'!H31</f>
        <v>0</v>
      </c>
      <c r="D20" s="62">
        <f ca="1">'NT BS1'!J31</f>
        <v>0</v>
      </c>
      <c r="H20" s="1054" t="str">
        <f t="shared" ca="1" si="3"/>
        <v>##H</v>
      </c>
      <c r="J20" s="20" t="s">
        <v>510</v>
      </c>
      <c r="K20" s="20" t="s">
        <v>50</v>
      </c>
      <c r="M20" s="342">
        <f t="shared" ca="1" si="4"/>
        <v>0</v>
      </c>
      <c r="N20" s="342">
        <f t="shared" ca="1" si="4"/>
        <v>0</v>
      </c>
      <c r="O20" s="60"/>
      <c r="P20" s="342">
        <f t="shared" ca="1" si="5"/>
        <v>0</v>
      </c>
      <c r="Q20" s="342">
        <f t="shared" ca="1" si="5"/>
        <v>0</v>
      </c>
      <c r="R20" s="60"/>
      <c r="S20" s="1534">
        <f t="shared" ca="1" si="6"/>
        <v>0</v>
      </c>
      <c r="T20" s="1535">
        <f t="shared" ca="1" si="6"/>
        <v>0</v>
      </c>
    </row>
    <row r="21" spans="1:20" s="20" customFormat="1" ht="15" customHeight="1">
      <c r="A21" s="1070" t="str">
        <f>NTA!C30</f>
        <v>Non Current Tax Assets (Net)</v>
      </c>
      <c r="B21" s="718">
        <f>NTA!F30</f>
        <v>12</v>
      </c>
      <c r="C21" s="61">
        <f ca="1">'NT BS1'!H40</f>
        <v>0</v>
      </c>
      <c r="D21" s="62">
        <f ca="1">'NT BS1'!J40</f>
        <v>0</v>
      </c>
      <c r="H21" s="1054" t="str">
        <f t="shared" ca="1" si="3"/>
        <v>##H</v>
      </c>
      <c r="J21" s="20" t="s">
        <v>511</v>
      </c>
      <c r="K21" s="20" t="s">
        <v>50</v>
      </c>
      <c r="M21" s="342">
        <f t="shared" ca="1" si="4"/>
        <v>0</v>
      </c>
      <c r="N21" s="342">
        <f t="shared" ca="1" si="4"/>
        <v>0</v>
      </c>
      <c r="O21" s="60"/>
      <c r="P21" s="342">
        <f t="shared" ref="P21:P22" ca="1" si="7">C21-M21</f>
        <v>0</v>
      </c>
      <c r="Q21" s="342">
        <f t="shared" ref="Q21:Q22" ca="1" si="8">D21-N21</f>
        <v>0</v>
      </c>
      <c r="R21" s="60"/>
      <c r="S21" s="1536"/>
      <c r="T21" s="1528"/>
    </row>
    <row r="22" spans="1:20" s="20" customFormat="1" ht="15" customHeight="1">
      <c r="A22" s="1066" t="str">
        <f>NTA!C35</f>
        <v>Deferred Tax Assets (Net)</v>
      </c>
      <c r="B22" s="718">
        <f>NTA!F35</f>
        <v>14</v>
      </c>
      <c r="C22" s="61">
        <f ca="1">IF('NT BS1'!H88&lt;0,0,'NT BS1'!H88)</f>
        <v>0</v>
      </c>
      <c r="D22" s="62">
        <f ca="1">IF('NT BS1'!J88&lt;0,0,'NT BS1'!J88)</f>
        <v>0</v>
      </c>
      <c r="H22" s="1054" t="str">
        <f t="shared" ca="1" si="3"/>
        <v>##H</v>
      </c>
      <c r="J22" s="20" t="s">
        <v>512</v>
      </c>
      <c r="K22" s="20" t="s">
        <v>50</v>
      </c>
      <c r="M22" s="342">
        <f t="shared" ca="1" si="4"/>
        <v>0</v>
      </c>
      <c r="N22" s="342">
        <f t="shared" ca="1" si="4"/>
        <v>0</v>
      </c>
      <c r="O22" s="60"/>
      <c r="P22" s="342">
        <f t="shared" ca="1" si="7"/>
        <v>0</v>
      </c>
      <c r="Q22" s="342">
        <f t="shared" ca="1" si="8"/>
        <v>0</v>
      </c>
      <c r="R22" s="60"/>
      <c r="S22" s="1534">
        <f t="shared" ca="1" si="6"/>
        <v>0</v>
      </c>
      <c r="T22" s="1535">
        <f t="shared" ca="1" si="6"/>
        <v>0</v>
      </c>
    </row>
    <row r="23" spans="1:20" s="20" customFormat="1" ht="15" customHeight="1">
      <c r="A23" s="1066" t="str">
        <f>NTA!C37</f>
        <v>Other Non-Current Assets</v>
      </c>
      <c r="B23" s="718">
        <f>NTA!F37</f>
        <v>15</v>
      </c>
      <c r="C23" s="61">
        <f ca="1">+'NT BS1'!H135</f>
        <v>0</v>
      </c>
      <c r="D23" s="62">
        <f ca="1">+'NT BS1'!J135</f>
        <v>0</v>
      </c>
      <c r="H23" s="1054" t="str">
        <f t="shared" ca="1" si="3"/>
        <v>##H</v>
      </c>
      <c r="J23" s="20" t="s">
        <v>513</v>
      </c>
      <c r="K23" s="20" t="s">
        <v>50</v>
      </c>
      <c r="M23" s="401">
        <f t="shared" ca="1" si="4"/>
        <v>0</v>
      </c>
      <c r="N23" s="342">
        <f t="shared" ca="1" si="4"/>
        <v>0</v>
      </c>
      <c r="O23" s="60"/>
      <c r="P23" s="1534">
        <f ca="1">C23-M23</f>
        <v>0</v>
      </c>
      <c r="Q23" s="1535">
        <f ca="1">D23-N23</f>
        <v>0</v>
      </c>
      <c r="R23" s="60"/>
      <c r="S23" s="1534">
        <f t="shared" ca="1" si="6"/>
        <v>0</v>
      </c>
      <c r="T23" s="1535">
        <f t="shared" ca="1" si="6"/>
        <v>0</v>
      </c>
    </row>
    <row r="24" spans="1:20" s="21" customFormat="1" ht="15" customHeight="1">
      <c r="A24" s="1065" t="str">
        <f>NTA!C38</f>
        <v>Total Non-Current Assets</v>
      </c>
      <c r="B24" s="56"/>
      <c r="C24" s="69">
        <f ca="1">SUM(C11:C23)</f>
        <v>0</v>
      </c>
      <c r="D24" s="70">
        <f ca="1">SUM(D11:D23)</f>
        <v>0</v>
      </c>
      <c r="H24" s="20"/>
      <c r="J24" s="20"/>
      <c r="K24" s="20"/>
      <c r="M24" s="347">
        <f ca="1">SUM(M11:M23)</f>
        <v>0</v>
      </c>
      <c r="N24" s="347">
        <f ca="1">SUM(N11:N23)</f>
        <v>0</v>
      </c>
      <c r="O24" s="71"/>
      <c r="P24" s="347">
        <f ca="1">SUM(P11:P23)</f>
        <v>0</v>
      </c>
      <c r="Q24" s="347">
        <f ca="1">SUM(Q11:Q23)</f>
        <v>0</v>
      </c>
      <c r="R24" s="71"/>
      <c r="S24" s="72"/>
      <c r="T24" s="73"/>
    </row>
    <row r="25" spans="1:20" s="20" customFormat="1" ht="15" customHeight="1">
      <c r="A25" s="1065" t="str">
        <f>NTA!C39</f>
        <v>CURRENT ASSETS</v>
      </c>
      <c r="B25" s="56"/>
      <c r="C25" s="74"/>
      <c r="D25" s="75"/>
      <c r="M25" s="76"/>
      <c r="N25" s="77"/>
      <c r="O25" s="60"/>
      <c r="P25" s="1536"/>
      <c r="Q25" s="1537"/>
      <c r="R25" s="60"/>
      <c r="S25" s="1536"/>
      <c r="T25" s="1537"/>
    </row>
    <row r="26" spans="1:20" s="20" customFormat="1" ht="15" customHeight="1">
      <c r="A26" s="1070" t="str">
        <f>NTA!C40</f>
        <v>Inventories</v>
      </c>
      <c r="B26" s="1063">
        <f>NTA!F40</f>
        <v>16</v>
      </c>
      <c r="C26" s="61">
        <f ca="1">+'NT BS1'!H147</f>
        <v>0</v>
      </c>
      <c r="D26" s="62">
        <f ca="1">+'NT BS1'!J147</f>
        <v>0</v>
      </c>
      <c r="H26" s="1054" t="str">
        <f t="shared" ca="1" si="3"/>
        <v>##H</v>
      </c>
      <c r="J26" s="20" t="s">
        <v>514</v>
      </c>
      <c r="K26" s="20" t="s">
        <v>50</v>
      </c>
      <c r="M26" s="401">
        <f ca="1">IFERROR(INDEX(INDIRECT(VLOOKUP($K26,Source_Master,2,0),),MATCH(TEXT($J26,0),INDIRECT(VLOOKUP($K26,Source_Master,4,0)),0),MATCH(C$1,INDIRECT(VLOOKUP($K26,Source_Master,3,0),),0)),0)</f>
        <v>0</v>
      </c>
      <c r="N26" s="342">
        <f ca="1">IFERROR(INDEX(INDIRECT(VLOOKUP($K26,Source_Master,2,0),),MATCH(TEXT($J26,0),INDIRECT(VLOOKUP($K26,Source_Master,4,0)),0),MATCH(D$1,INDIRECT(VLOOKUP($K26,Source_Master,3,0),),0)),0)</f>
        <v>0</v>
      </c>
      <c r="O26" s="60"/>
      <c r="P26" s="401">
        <f t="shared" ref="P26:P35" ca="1" si="9">C26-M26</f>
        <v>0</v>
      </c>
      <c r="Q26" s="342">
        <f t="shared" ref="Q26:Q35" ca="1" si="10">D26-N26</f>
        <v>0</v>
      </c>
      <c r="R26" s="60"/>
      <c r="S26" s="1534">
        <f ca="1">IF(P26=0,0,1)</f>
        <v>0</v>
      </c>
      <c r="T26" s="1535">
        <f ca="1">IF(Q26=0,0,1)</f>
        <v>0</v>
      </c>
    </row>
    <row r="27" spans="1:20" s="20" customFormat="1" ht="15" customHeight="1">
      <c r="A27" s="1066" t="str">
        <f>NTA!C42</f>
        <v>Financial Assets</v>
      </c>
      <c r="B27" s="56"/>
      <c r="C27" s="78"/>
      <c r="D27" s="79"/>
      <c r="M27" s="466"/>
      <c r="N27" s="65"/>
      <c r="O27" s="60"/>
      <c r="P27" s="401">
        <f t="shared" si="9"/>
        <v>0</v>
      </c>
      <c r="Q27" s="342">
        <f t="shared" si="10"/>
        <v>0</v>
      </c>
      <c r="R27" s="60"/>
      <c r="S27" s="1536"/>
      <c r="T27" s="1537"/>
    </row>
    <row r="28" spans="1:20" s="20" customFormat="1" ht="15" customHeight="1">
      <c r="A28" s="1068" t="str">
        <f>NTA!C43</f>
        <v>Investments</v>
      </c>
      <c r="B28" s="1063">
        <f>NTA!F43</f>
        <v>17</v>
      </c>
      <c r="C28" s="61">
        <f ca="1">+'NT BS1'!H158</f>
        <v>0</v>
      </c>
      <c r="D28" s="62">
        <f ca="1">+'NT BS1'!J158</f>
        <v>0</v>
      </c>
      <c r="H28" s="1054" t="str">
        <f t="shared" ca="1" si="3"/>
        <v>##H</v>
      </c>
      <c r="J28" s="20" t="s">
        <v>515</v>
      </c>
      <c r="K28" s="20" t="s">
        <v>50</v>
      </c>
      <c r="M28" s="401">
        <f t="shared" ref="M28:M35" ca="1" si="11">IFERROR(INDEX(INDIRECT(VLOOKUP($K28,Source_Master,2,0),),MATCH(TEXT($J28,0),INDIRECT(VLOOKUP($K28,Source_Master,4,0)),0),MATCH(C$1,INDIRECT(VLOOKUP($K28,Source_Master,3,0),),0)),0)</f>
        <v>0</v>
      </c>
      <c r="N28" s="342">
        <f t="shared" ref="N28:N35" ca="1" si="12">IFERROR(INDEX(INDIRECT(VLOOKUP($K28,Source_Master,2,0),),MATCH(TEXT($J28,0),INDIRECT(VLOOKUP($K28,Source_Master,4,0)),0),MATCH(D$1,INDIRECT(VLOOKUP($K28,Source_Master,3,0),),0)),0)</f>
        <v>0</v>
      </c>
      <c r="O28" s="60"/>
      <c r="P28" s="401">
        <f t="shared" ca="1" si="9"/>
        <v>0</v>
      </c>
      <c r="Q28" s="342">
        <f t="shared" ca="1" si="10"/>
        <v>0</v>
      </c>
      <c r="R28" s="60"/>
      <c r="S28" s="1534">
        <f t="shared" ref="S28:T35" ca="1" si="13">IF(P28=0,0,1)</f>
        <v>0</v>
      </c>
      <c r="T28" s="1535">
        <f t="shared" ca="1" si="13"/>
        <v>0</v>
      </c>
    </row>
    <row r="29" spans="1:20" s="20" customFormat="1" ht="15" customHeight="1">
      <c r="A29" s="1068" t="str">
        <f>NTA!C45</f>
        <v>Trade Receivables</v>
      </c>
      <c r="B29" s="1063">
        <f>NTA!F45</f>
        <v>18</v>
      </c>
      <c r="C29" s="61">
        <f ca="1">+'NT BS1'!H172</f>
        <v>0</v>
      </c>
      <c r="D29" s="62">
        <f ca="1">+'NT BS1'!J172</f>
        <v>0</v>
      </c>
      <c r="H29" s="1054" t="str">
        <f t="shared" ca="1" si="3"/>
        <v>##H</v>
      </c>
      <c r="J29" s="20" t="s">
        <v>516</v>
      </c>
      <c r="K29" s="20" t="s">
        <v>50</v>
      </c>
      <c r="M29" s="401">
        <f t="shared" ca="1" si="11"/>
        <v>0</v>
      </c>
      <c r="N29" s="342">
        <f t="shared" ca="1" si="12"/>
        <v>0</v>
      </c>
      <c r="O29" s="60"/>
      <c r="P29" s="401">
        <f t="shared" ca="1" si="9"/>
        <v>0</v>
      </c>
      <c r="Q29" s="342">
        <f t="shared" ca="1" si="10"/>
        <v>0</v>
      </c>
      <c r="R29" s="60"/>
      <c r="S29" s="1534">
        <f t="shared" ca="1" si="13"/>
        <v>0</v>
      </c>
      <c r="T29" s="1535">
        <f t="shared" ca="1" si="13"/>
        <v>0</v>
      </c>
    </row>
    <row r="30" spans="1:20" s="20" customFormat="1" ht="15" customHeight="1">
      <c r="A30" s="1068" t="str">
        <f>NTA!C52</f>
        <v>Cash and Cash Equivalents</v>
      </c>
      <c r="B30" s="1063">
        <f>NTA!F52</f>
        <v>19</v>
      </c>
      <c r="C30" s="61">
        <f ca="1">+'NT BS1'!H265</f>
        <v>0</v>
      </c>
      <c r="D30" s="62">
        <f ca="1">+'NT BS1'!J265</f>
        <v>0</v>
      </c>
      <c r="H30" s="1054" t="str">
        <f t="shared" ca="1" si="3"/>
        <v>##H</v>
      </c>
      <c r="J30" s="20" t="s">
        <v>517</v>
      </c>
      <c r="K30" s="20" t="s">
        <v>50</v>
      </c>
      <c r="M30" s="401">
        <f t="shared" ca="1" si="11"/>
        <v>0</v>
      </c>
      <c r="N30" s="342">
        <f t="shared" ca="1" si="12"/>
        <v>0</v>
      </c>
      <c r="O30" s="60"/>
      <c r="P30" s="401">
        <f t="shared" ca="1" si="9"/>
        <v>0</v>
      </c>
      <c r="Q30" s="342">
        <f t="shared" ca="1" si="10"/>
        <v>0</v>
      </c>
      <c r="R30" s="60"/>
      <c r="S30" s="1534">
        <f t="shared" ca="1" si="13"/>
        <v>0</v>
      </c>
      <c r="T30" s="1535">
        <f t="shared" ca="1" si="13"/>
        <v>0</v>
      </c>
    </row>
    <row r="31" spans="1:20" s="20" customFormat="1" ht="15" customHeight="1">
      <c r="A31" s="1068" t="str">
        <f>NTA!C53</f>
        <v>Bank Balances other than Cash and Cash Equivalents</v>
      </c>
      <c r="B31" s="1063">
        <f>NTA!F53</f>
        <v>20</v>
      </c>
      <c r="C31" s="61">
        <f ca="1">'NT BS1'!H273</f>
        <v>0</v>
      </c>
      <c r="D31" s="62">
        <f ca="1">'NT BS1'!J273</f>
        <v>0</v>
      </c>
      <c r="H31" s="1054" t="str">
        <f t="shared" ca="1" si="3"/>
        <v>##H</v>
      </c>
      <c r="J31" s="20" t="s">
        <v>518</v>
      </c>
      <c r="K31" s="20" t="s">
        <v>50</v>
      </c>
      <c r="M31" s="401">
        <f t="shared" ca="1" si="11"/>
        <v>0</v>
      </c>
      <c r="N31" s="342">
        <f t="shared" ca="1" si="12"/>
        <v>0</v>
      </c>
      <c r="O31" s="60"/>
      <c r="P31" s="401">
        <f t="shared" ca="1" si="9"/>
        <v>0</v>
      </c>
      <c r="Q31" s="342">
        <f t="shared" ca="1" si="10"/>
        <v>0</v>
      </c>
      <c r="R31" s="60"/>
      <c r="S31" s="1534">
        <f t="shared" ca="1" si="13"/>
        <v>0</v>
      </c>
      <c r="T31" s="1535">
        <f t="shared" ca="1" si="13"/>
        <v>0</v>
      </c>
    </row>
    <row r="32" spans="1:20" s="20" customFormat="1" ht="15" hidden="1" customHeight="1">
      <c r="A32" s="1068" t="str">
        <f>NTA!C54</f>
        <v>Loans</v>
      </c>
      <c r="B32" s="1063">
        <f>NTA!F54</f>
        <v>21</v>
      </c>
      <c r="C32" s="61">
        <f ca="1">+'NT BS1'!H289</f>
        <v>0</v>
      </c>
      <c r="D32" s="62">
        <f ca="1">+'NT BS1'!J289</f>
        <v>0</v>
      </c>
      <c r="H32" s="1054" t="str">
        <f t="shared" ca="1" si="3"/>
        <v>##H</v>
      </c>
      <c r="J32" s="20" t="s">
        <v>519</v>
      </c>
      <c r="K32" s="20" t="s">
        <v>50</v>
      </c>
      <c r="M32" s="401">
        <f t="shared" ca="1" si="11"/>
        <v>0</v>
      </c>
      <c r="N32" s="342">
        <f t="shared" ca="1" si="12"/>
        <v>0</v>
      </c>
      <c r="O32" s="60"/>
      <c r="P32" s="401">
        <f t="shared" ca="1" si="9"/>
        <v>0</v>
      </c>
      <c r="Q32" s="342">
        <f t="shared" ca="1" si="10"/>
        <v>0</v>
      </c>
      <c r="R32" s="60"/>
      <c r="S32" s="1534">
        <f t="shared" ca="1" si="13"/>
        <v>0</v>
      </c>
      <c r="T32" s="1535">
        <f t="shared" ca="1" si="13"/>
        <v>0</v>
      </c>
    </row>
    <row r="33" spans="1:20" s="20" customFormat="1" ht="15" customHeight="1">
      <c r="A33" s="1068" t="str">
        <f>NTA!C55</f>
        <v>Other Financial Assets</v>
      </c>
      <c r="B33" s="1063">
        <f>NTA!F55</f>
        <v>22</v>
      </c>
      <c r="C33" s="61">
        <f ca="1">'NT BS1'!H303</f>
        <v>0</v>
      </c>
      <c r="D33" s="62">
        <f ca="1">'NT BS1'!J303</f>
        <v>0</v>
      </c>
      <c r="H33" s="1054" t="str">
        <f t="shared" ca="1" si="3"/>
        <v>##H</v>
      </c>
      <c r="J33" s="20" t="s">
        <v>520</v>
      </c>
      <c r="K33" s="20" t="s">
        <v>50</v>
      </c>
      <c r="M33" s="401">
        <f t="shared" ca="1" si="11"/>
        <v>0</v>
      </c>
      <c r="N33" s="342">
        <f t="shared" ca="1" si="12"/>
        <v>0</v>
      </c>
      <c r="O33" s="60"/>
      <c r="P33" s="401">
        <f t="shared" ca="1" si="9"/>
        <v>0</v>
      </c>
      <c r="Q33" s="342">
        <f t="shared" ca="1" si="10"/>
        <v>0</v>
      </c>
      <c r="R33" s="60"/>
      <c r="S33" s="1534">
        <f t="shared" ca="1" si="13"/>
        <v>0</v>
      </c>
      <c r="T33" s="1535">
        <f t="shared" ca="1" si="13"/>
        <v>0</v>
      </c>
    </row>
    <row r="34" spans="1:20" s="20" customFormat="1" ht="15" hidden="1" customHeight="1">
      <c r="A34" s="1066" t="str">
        <f>NTA!C56</f>
        <v>Current Tax Assets (Net)</v>
      </c>
      <c r="B34" s="1063">
        <f>NTA!F56</f>
        <v>23</v>
      </c>
      <c r="C34" s="61">
        <f ca="1">'NT BS1'!H312</f>
        <v>0</v>
      </c>
      <c r="D34" s="62">
        <f ca="1">'NT BS1'!J312</f>
        <v>0</v>
      </c>
      <c r="H34" s="1054" t="str">
        <f t="shared" ca="1" si="3"/>
        <v>##H</v>
      </c>
      <c r="J34" s="20" t="s">
        <v>521</v>
      </c>
      <c r="K34" s="20" t="s">
        <v>50</v>
      </c>
      <c r="M34" s="401">
        <f t="shared" ca="1" si="11"/>
        <v>0</v>
      </c>
      <c r="N34" s="342">
        <f t="shared" ca="1" si="12"/>
        <v>0</v>
      </c>
      <c r="O34" s="60"/>
      <c r="P34" s="401">
        <f t="shared" ca="1" si="9"/>
        <v>0</v>
      </c>
      <c r="Q34" s="342">
        <f t="shared" ca="1" si="10"/>
        <v>0</v>
      </c>
      <c r="R34" s="60"/>
      <c r="S34" s="1536"/>
      <c r="T34" s="1528"/>
    </row>
    <row r="35" spans="1:20" s="20" customFormat="1" ht="15" customHeight="1">
      <c r="A35" s="1066" t="str">
        <f>NTA!C57</f>
        <v>Other Current Assets</v>
      </c>
      <c r="B35" s="1063">
        <f>NTA!F57</f>
        <v>24</v>
      </c>
      <c r="C35" s="61">
        <f ca="1">'NT BS1'!H324</f>
        <v>0</v>
      </c>
      <c r="D35" s="62">
        <f ca="1">'NT BS1'!J324</f>
        <v>0</v>
      </c>
      <c r="H35" s="1054" t="str">
        <f t="shared" ca="1" si="3"/>
        <v>##H</v>
      </c>
      <c r="J35" s="20" t="s">
        <v>522</v>
      </c>
      <c r="K35" s="20" t="s">
        <v>50</v>
      </c>
      <c r="M35" s="401">
        <f t="shared" ca="1" si="11"/>
        <v>0</v>
      </c>
      <c r="N35" s="342">
        <f t="shared" ca="1" si="12"/>
        <v>0</v>
      </c>
      <c r="O35" s="60"/>
      <c r="P35" s="1534">
        <f t="shared" ca="1" si="9"/>
        <v>0</v>
      </c>
      <c r="Q35" s="1535">
        <f t="shared" ca="1" si="10"/>
        <v>0</v>
      </c>
      <c r="R35" s="60"/>
      <c r="S35" s="1534">
        <f t="shared" ca="1" si="13"/>
        <v>0</v>
      </c>
      <c r="T35" s="1535">
        <f t="shared" ca="1" si="13"/>
        <v>0</v>
      </c>
    </row>
    <row r="36" spans="1:20" s="21" customFormat="1" ht="15" customHeight="1">
      <c r="A36" s="1065" t="str">
        <f>NTA!C58</f>
        <v>Total Current Assets</v>
      </c>
      <c r="B36" s="56"/>
      <c r="C36" s="69">
        <f ca="1">SUM(C26:C35)</f>
        <v>0</v>
      </c>
      <c r="D36" s="70">
        <f ca="1">SUM(D26:D35)</f>
        <v>0</v>
      </c>
      <c r="H36" s="1054" t="str">
        <f t="shared" ca="1" si="3"/>
        <v>##H</v>
      </c>
      <c r="J36" s="20"/>
      <c r="K36" s="20"/>
      <c r="M36" s="583">
        <f ca="1">SUM(M26:M35)</f>
        <v>0</v>
      </c>
      <c r="N36" s="583">
        <f ca="1">SUM(N26:N35)</f>
        <v>0</v>
      </c>
      <c r="O36" s="71"/>
      <c r="P36" s="583">
        <f ca="1">SUM(P26:P35)</f>
        <v>0</v>
      </c>
      <c r="Q36" s="583">
        <f ca="1">SUM(Q26:Q35)</f>
        <v>0</v>
      </c>
      <c r="R36" s="71"/>
      <c r="S36" s="72"/>
      <c r="T36" s="73"/>
    </row>
    <row r="37" spans="1:20" s="20" customFormat="1" ht="15" customHeight="1">
      <c r="A37" s="1071" t="str">
        <f>NTA!C59</f>
        <v>Total Assets</v>
      </c>
      <c r="B37" s="56"/>
      <c r="C37" s="69">
        <f ca="1">SUM(C24+C36)</f>
        <v>0</v>
      </c>
      <c r="D37" s="70">
        <f ca="1">SUM(D24+D36)</f>
        <v>0</v>
      </c>
      <c r="H37" s="1054" t="str">
        <f t="shared" ca="1" si="3"/>
        <v>##H</v>
      </c>
      <c r="M37" s="583">
        <f ca="1">M24+M36</f>
        <v>0</v>
      </c>
      <c r="N37" s="583">
        <f ca="1">N24+N36</f>
        <v>0</v>
      </c>
      <c r="O37" s="60"/>
      <c r="P37" s="583">
        <f ca="1">P24+P36</f>
        <v>0</v>
      </c>
      <c r="Q37" s="583">
        <f ca="1">Q24+Q36</f>
        <v>0</v>
      </c>
      <c r="R37" s="60"/>
      <c r="S37" s="72"/>
      <c r="T37" s="73"/>
    </row>
    <row r="38" spans="1:20" s="20" customFormat="1" ht="15" customHeight="1">
      <c r="A38" s="81"/>
      <c r="B38" s="56"/>
      <c r="C38" s="82"/>
      <c r="D38" s="83"/>
      <c r="M38" s="584"/>
      <c r="N38" s="585"/>
      <c r="O38" s="60"/>
      <c r="P38" s="1538"/>
      <c r="Q38" s="1528"/>
      <c r="R38" s="60"/>
      <c r="S38" s="1538"/>
      <c r="T38" s="1528"/>
    </row>
    <row r="39" spans="1:20" s="20" customFormat="1" ht="15" customHeight="1">
      <c r="A39" s="1072" t="str">
        <f>NTA!C60</f>
        <v>EQUITY AND LIABILITIES</v>
      </c>
      <c r="B39" s="56"/>
      <c r="C39" s="86"/>
      <c r="D39" s="79"/>
      <c r="M39" s="1539"/>
      <c r="N39" s="1540"/>
      <c r="O39" s="60"/>
      <c r="P39" s="1538"/>
      <c r="Q39" s="1528"/>
      <c r="R39" s="60"/>
      <c r="S39" s="1538"/>
      <c r="T39" s="1528"/>
    </row>
    <row r="40" spans="1:20" s="20" customFormat="1" ht="15" customHeight="1">
      <c r="A40" s="1065" t="str">
        <f>NTA!C61</f>
        <v>EQUITY</v>
      </c>
      <c r="B40" s="264"/>
      <c r="C40" s="89"/>
      <c r="D40" s="79"/>
      <c r="M40" s="1541"/>
      <c r="N40" s="1540"/>
      <c r="O40" s="60"/>
      <c r="P40" s="1538"/>
      <c r="Q40" s="1528"/>
      <c r="R40" s="60"/>
      <c r="S40" s="1538"/>
      <c r="T40" s="1528"/>
    </row>
    <row r="41" spans="1:20" s="20" customFormat="1" ht="15" customHeight="1">
      <c r="A41" s="1066" t="str">
        <f>NTA!C62</f>
        <v>Equity Share Capital</v>
      </c>
      <c r="B41" s="1063">
        <f>NTA!F62</f>
        <v>25</v>
      </c>
      <c r="C41" s="61">
        <f ca="1">+'NT SC'!F21</f>
        <v>0</v>
      </c>
      <c r="D41" s="62">
        <f ca="1">+'NT SC'!H21</f>
        <v>0</v>
      </c>
      <c r="H41" s="1054" t="str">
        <f t="shared" ref="H41:H45" ca="1" si="14">IF(C41=0,IF(D41=0,"##H",""),"")</f>
        <v>##H</v>
      </c>
      <c r="J41" s="20" t="s">
        <v>523</v>
      </c>
      <c r="K41" s="20" t="s">
        <v>50</v>
      </c>
      <c r="M41" s="61">
        <f t="shared" ref="M41:N44" ca="1" si="15">IFERROR(INDEX(INDIRECT(VLOOKUP($K41,Source_Master,2,0),),MATCH(TEXT($J41,0),INDIRECT(VLOOKUP($K41,Source_Master,4,0)),0),MATCH(C$1,INDIRECT(VLOOKUP($K41,Source_Master,3,0),),0)),0)</f>
        <v>0</v>
      </c>
      <c r="N41" s="61">
        <f t="shared" ca="1" si="15"/>
        <v>0</v>
      </c>
      <c r="O41" s="60"/>
      <c r="P41" s="61">
        <f t="shared" ref="P41:Q44" ca="1" si="16">C41-M41</f>
        <v>0</v>
      </c>
      <c r="Q41" s="61">
        <f t="shared" ca="1" si="16"/>
        <v>0</v>
      </c>
      <c r="R41" s="60"/>
      <c r="S41" s="1534">
        <f ca="1">IF(P41=0,0,1)</f>
        <v>0</v>
      </c>
      <c r="T41" s="1535">
        <f ca="1">IF(Q41=0,0,1)</f>
        <v>0</v>
      </c>
    </row>
    <row r="42" spans="1:20" s="20" customFormat="1" ht="15" customHeight="1">
      <c r="A42" s="1066" t="str">
        <f>NTA!C68</f>
        <v>Other Equity</v>
      </c>
      <c r="B42" s="1063">
        <f>NTA!F68</f>
        <v>26</v>
      </c>
      <c r="C42" s="61">
        <f ca="1">SOCE!J40</f>
        <v>0</v>
      </c>
      <c r="D42" s="62">
        <f ca="1">SOCE!J26</f>
        <v>0</v>
      </c>
      <c r="H42" s="1054" t="str">
        <f t="shared" ca="1" si="14"/>
        <v>##H</v>
      </c>
      <c r="J42" s="20" t="s">
        <v>524</v>
      </c>
      <c r="K42" s="20" t="s">
        <v>50</v>
      </c>
      <c r="M42" s="61">
        <f t="shared" ca="1" si="15"/>
        <v>0</v>
      </c>
      <c r="N42" s="61">
        <f t="shared" ca="1" si="15"/>
        <v>0</v>
      </c>
      <c r="O42" s="60"/>
      <c r="P42" s="61">
        <f t="shared" ca="1" si="16"/>
        <v>0</v>
      </c>
      <c r="Q42" s="61">
        <f t="shared" ca="1" si="16"/>
        <v>0</v>
      </c>
      <c r="R42" s="60"/>
      <c r="S42" s="1536"/>
      <c r="T42" s="1528"/>
    </row>
    <row r="43" spans="1:20" s="20" customFormat="1" ht="15" customHeight="1">
      <c r="A43" s="658" t="s">
        <v>525</v>
      </c>
      <c r="B43" s="56"/>
      <c r="C43" s="69">
        <f ca="1">SUM(C41:C42)</f>
        <v>0</v>
      </c>
      <c r="D43" s="70">
        <f ca="1">SUM(D41:D42)</f>
        <v>0</v>
      </c>
      <c r="M43" s="583">
        <f ca="1">SUM(M41:M42)</f>
        <v>0</v>
      </c>
      <c r="N43" s="583">
        <f ca="1">SUM(N41:N42)</f>
        <v>0</v>
      </c>
      <c r="O43" s="60"/>
      <c r="P43" s="78"/>
      <c r="Q43" s="78"/>
      <c r="R43" s="60"/>
      <c r="S43" s="1536"/>
      <c r="T43" s="1528"/>
    </row>
    <row r="44" spans="1:20" s="20" customFormat="1" ht="15" hidden="1" customHeight="1">
      <c r="A44" s="1066" t="str">
        <f>NTA!C76</f>
        <v>Non Controlling interest</v>
      </c>
      <c r="B44" s="1063">
        <f>NTA!F76</f>
        <v>27</v>
      </c>
      <c r="C44" s="1542">
        <f ca="1">SOCE!K40</f>
        <v>0</v>
      </c>
      <c r="D44" s="1543">
        <f ca="1">SOCE!K26</f>
        <v>0</v>
      </c>
      <c r="H44" s="1054" t="str">
        <f t="shared" ca="1" si="14"/>
        <v>##H</v>
      </c>
      <c r="J44" s="20" t="s">
        <v>526</v>
      </c>
      <c r="K44" s="20" t="s">
        <v>50</v>
      </c>
      <c r="M44" s="61">
        <f t="shared" ca="1" si="15"/>
        <v>0</v>
      </c>
      <c r="N44" s="61">
        <f t="shared" ca="1" si="15"/>
        <v>0</v>
      </c>
      <c r="O44" s="60"/>
      <c r="P44" s="61">
        <f t="shared" ca="1" si="16"/>
        <v>0</v>
      </c>
      <c r="Q44" s="61">
        <f t="shared" ca="1" si="16"/>
        <v>0</v>
      </c>
      <c r="R44" s="60"/>
      <c r="S44" s="1536"/>
      <c r="T44" s="1528"/>
    </row>
    <row r="45" spans="1:20" s="20" customFormat="1" ht="15" customHeight="1">
      <c r="A45" s="1065" t="str">
        <f>NTA!C77</f>
        <v>Total Equity</v>
      </c>
      <c r="B45" s="56"/>
      <c r="C45" s="69">
        <f ca="1">C43+C44</f>
        <v>0</v>
      </c>
      <c r="D45" s="70">
        <f ca="1">D43+D44</f>
        <v>0</v>
      </c>
      <c r="H45" s="1054" t="str">
        <f t="shared" ca="1" si="14"/>
        <v>##H</v>
      </c>
      <c r="J45" s="20" t="s">
        <v>523</v>
      </c>
      <c r="K45" s="20" t="s">
        <v>50</v>
      </c>
      <c r="M45" s="583">
        <f ca="1">M43+M44</f>
        <v>0</v>
      </c>
      <c r="N45" s="583">
        <f ca="1">N43+N44</f>
        <v>0</v>
      </c>
      <c r="O45" s="60"/>
      <c r="P45" s="583">
        <f ca="1">SUM(P41:P44)</f>
        <v>0</v>
      </c>
      <c r="Q45" s="583">
        <f ca="1">SUM(Q41:Q44)</f>
        <v>0</v>
      </c>
      <c r="R45" s="60"/>
      <c r="S45" s="72"/>
      <c r="T45" s="73"/>
    </row>
    <row r="46" spans="1:20" s="20" customFormat="1" ht="15" customHeight="1">
      <c r="A46" s="1065" t="str">
        <f>NTA!C78</f>
        <v>LIABILITIES</v>
      </c>
      <c r="B46" s="56"/>
      <c r="C46" s="74"/>
      <c r="D46" s="75"/>
      <c r="M46" s="1541"/>
      <c r="N46" s="1540"/>
      <c r="O46" s="60"/>
      <c r="P46" s="1538"/>
      <c r="Q46" s="1528"/>
      <c r="R46" s="60"/>
      <c r="S46" s="1538"/>
      <c r="T46" s="1528"/>
    </row>
    <row r="47" spans="1:20" s="20" customFormat="1" ht="15" customHeight="1">
      <c r="A47" s="1073" t="str">
        <f>NTA!C79</f>
        <v>NON-CURRENT LIABILITIES</v>
      </c>
      <c r="B47" s="56"/>
      <c r="C47" s="89"/>
      <c r="D47" s="79"/>
      <c r="M47" s="1541"/>
      <c r="N47" s="1540"/>
      <c r="O47" s="60"/>
      <c r="P47" s="1538"/>
      <c r="Q47" s="1528"/>
      <c r="R47" s="60"/>
      <c r="S47" s="1538"/>
      <c r="T47" s="1528"/>
    </row>
    <row r="48" spans="1:20" s="20" customFormat="1" ht="15" customHeight="1">
      <c r="A48" s="1074" t="str">
        <f>NTA!C80</f>
        <v>Financial Liabilities</v>
      </c>
      <c r="B48" s="58"/>
      <c r="C48" s="89"/>
      <c r="D48" s="79"/>
      <c r="M48" s="76"/>
      <c r="N48" s="77"/>
      <c r="O48" s="60"/>
      <c r="P48" s="1538"/>
      <c r="Q48" s="1528"/>
      <c r="R48" s="60"/>
      <c r="S48" s="1538"/>
      <c r="T48" s="1528"/>
    </row>
    <row r="49" spans="1:20" s="20" customFormat="1" ht="15" customHeight="1">
      <c r="A49" s="1075" t="str">
        <f>NTA!C81</f>
        <v>Borrowings</v>
      </c>
      <c r="B49" s="1063">
        <f>NTA!F81</f>
        <v>28</v>
      </c>
      <c r="C49" s="61">
        <f ca="1">'NT NCB &amp; CB'!H16</f>
        <v>0</v>
      </c>
      <c r="D49" s="62">
        <f ca="1">'NT NCB &amp; CB'!J16</f>
        <v>0</v>
      </c>
      <c r="H49" s="1054" t="str">
        <f t="shared" ref="H49:H56" ca="1" si="17">IF(C49=0,IF(D49=0,"##H",""),"")</f>
        <v>##H</v>
      </c>
      <c r="J49" s="20" t="s">
        <v>527</v>
      </c>
      <c r="K49" s="20" t="s">
        <v>50</v>
      </c>
      <c r="M49" s="342">
        <f t="shared" ref="M49:N53" ca="1" si="18">IFERROR(INDEX(INDIRECT(VLOOKUP($K49,Source_Master,2,0),),MATCH(TEXT($J49,0),INDIRECT(VLOOKUP($K49,Source_Master,4,0)),0),MATCH(C$1,INDIRECT(VLOOKUP($K49,Source_Master,3,0),),0)),0)</f>
        <v>0</v>
      </c>
      <c r="N49" s="342">
        <f t="shared" ca="1" si="18"/>
        <v>0</v>
      </c>
      <c r="O49" s="60"/>
      <c r="P49" s="342">
        <f t="shared" ref="P49:Q49" ca="1" si="19">C49-M49</f>
        <v>0</v>
      </c>
      <c r="Q49" s="342">
        <f t="shared" ca="1" si="19"/>
        <v>0</v>
      </c>
      <c r="R49" s="60"/>
      <c r="S49" s="1534">
        <f t="shared" ref="S49:T53" ca="1" si="20">IF(P49=0,0,1)</f>
        <v>0</v>
      </c>
      <c r="T49" s="1535">
        <f t="shared" ca="1" si="20"/>
        <v>0</v>
      </c>
    </row>
    <row r="50" spans="1:20" s="20" customFormat="1" ht="15" customHeight="1">
      <c r="A50" s="1075" t="str">
        <f>NTA!C86</f>
        <v>Lease Liabilities</v>
      </c>
      <c r="B50" s="1063">
        <f>NTA!F86</f>
        <v>29</v>
      </c>
      <c r="C50" s="61">
        <f ca="1">'NT BS2'!H11</f>
        <v>0</v>
      </c>
      <c r="D50" s="62">
        <f ca="1">'NT BS2'!J11</f>
        <v>0</v>
      </c>
      <c r="H50" s="1054" t="str">
        <f t="shared" ca="1" si="17"/>
        <v>##H</v>
      </c>
      <c r="J50" s="20" t="s">
        <v>528</v>
      </c>
      <c r="K50" s="20" t="s">
        <v>50</v>
      </c>
      <c r="M50" s="342">
        <f t="shared" ca="1" si="18"/>
        <v>0</v>
      </c>
      <c r="N50" s="342">
        <f t="shared" ca="1" si="18"/>
        <v>0</v>
      </c>
      <c r="O50" s="60"/>
      <c r="P50" s="342">
        <f t="shared" ref="P50:P55" ca="1" si="21">C50-M50</f>
        <v>0</v>
      </c>
      <c r="Q50" s="342">
        <f t="shared" ref="Q50:Q55" ca="1" si="22">D50-N50</f>
        <v>0</v>
      </c>
      <c r="R50" s="60"/>
      <c r="S50" s="1534">
        <f t="shared" ca="1" si="20"/>
        <v>0</v>
      </c>
      <c r="T50" s="1535">
        <f t="shared" ca="1" si="20"/>
        <v>0</v>
      </c>
    </row>
    <row r="51" spans="1:20" s="20" customFormat="1" ht="15" customHeight="1">
      <c r="A51" s="1075" t="str">
        <f>NTA!C87</f>
        <v>Other Financial Liabilities</v>
      </c>
      <c r="B51" s="1063">
        <f>NTA!F87</f>
        <v>30</v>
      </c>
      <c r="C51" s="61">
        <f ca="1">'NT BS2'!H17</f>
        <v>0</v>
      </c>
      <c r="D51" s="62">
        <f ca="1">'NT BS2'!J17</f>
        <v>0</v>
      </c>
      <c r="H51" s="1054" t="str">
        <f t="shared" ca="1" si="17"/>
        <v>##H</v>
      </c>
      <c r="J51" s="20" t="s">
        <v>529</v>
      </c>
      <c r="K51" s="20" t="s">
        <v>50</v>
      </c>
      <c r="M51" s="342">
        <f t="shared" ca="1" si="18"/>
        <v>0</v>
      </c>
      <c r="N51" s="342">
        <f t="shared" ca="1" si="18"/>
        <v>0</v>
      </c>
      <c r="O51" s="60"/>
      <c r="P51" s="342">
        <f t="shared" ca="1" si="21"/>
        <v>0</v>
      </c>
      <c r="Q51" s="342">
        <f t="shared" ca="1" si="22"/>
        <v>0</v>
      </c>
      <c r="R51" s="60"/>
      <c r="S51" s="1534">
        <f t="shared" ca="1" si="20"/>
        <v>0</v>
      </c>
      <c r="T51" s="1535">
        <f t="shared" ca="1" si="20"/>
        <v>0</v>
      </c>
    </row>
    <row r="52" spans="1:20" s="20" customFormat="1" ht="15" customHeight="1">
      <c r="A52" s="1074" t="str">
        <f>NTA!C88</f>
        <v>Provisions</v>
      </c>
      <c r="B52" s="1063">
        <f>NTA!F88</f>
        <v>31</v>
      </c>
      <c r="C52" s="61">
        <f ca="1">'NT BS2'!H28</f>
        <v>0</v>
      </c>
      <c r="D52" s="62">
        <f ca="1">'NT BS2'!J28</f>
        <v>0</v>
      </c>
      <c r="H52" s="1054" t="str">
        <f t="shared" ca="1" si="17"/>
        <v>##H</v>
      </c>
      <c r="J52" s="20" t="s">
        <v>530</v>
      </c>
      <c r="K52" s="20" t="s">
        <v>50</v>
      </c>
      <c r="M52" s="342">
        <f t="shared" ca="1" si="18"/>
        <v>0</v>
      </c>
      <c r="N52" s="342">
        <f t="shared" ca="1" si="18"/>
        <v>0</v>
      </c>
      <c r="O52" s="60"/>
      <c r="P52" s="342">
        <f t="shared" ca="1" si="21"/>
        <v>0</v>
      </c>
      <c r="Q52" s="342">
        <f t="shared" ca="1" si="22"/>
        <v>0</v>
      </c>
      <c r="R52" s="60"/>
      <c r="S52" s="1534">
        <f t="shared" ca="1" si="20"/>
        <v>0</v>
      </c>
      <c r="T52" s="1535">
        <f t="shared" ca="1" si="20"/>
        <v>0</v>
      </c>
    </row>
    <row r="53" spans="1:20" s="20" customFormat="1" ht="15" hidden="1" customHeight="1">
      <c r="A53" s="1074" t="str">
        <f>NTA!C90</f>
        <v>Deferred Tax Liabilities (Net)</v>
      </c>
      <c r="B53" s="56"/>
      <c r="C53" s="61">
        <f ca="1">IF('NT BS1'!H88&gt;0,0,-'NT BS1'!H88)</f>
        <v>0</v>
      </c>
      <c r="D53" s="62">
        <f ca="1">IF('NT BS1'!J88&gt;0,0,-'NT BS1'!J88)</f>
        <v>0</v>
      </c>
      <c r="H53" s="1054" t="str">
        <f t="shared" ca="1" si="17"/>
        <v>##H</v>
      </c>
      <c r="J53" s="20" t="s">
        <v>531</v>
      </c>
      <c r="K53" s="20" t="s">
        <v>50</v>
      </c>
      <c r="M53" s="342">
        <f t="shared" ca="1" si="18"/>
        <v>0</v>
      </c>
      <c r="N53" s="342">
        <f t="shared" ca="1" si="18"/>
        <v>0</v>
      </c>
      <c r="O53" s="60"/>
      <c r="P53" s="342">
        <f t="shared" ca="1" si="21"/>
        <v>0</v>
      </c>
      <c r="Q53" s="342">
        <f t="shared" ca="1" si="22"/>
        <v>0</v>
      </c>
      <c r="R53" s="60"/>
      <c r="S53" s="1534">
        <f t="shared" ca="1" si="20"/>
        <v>0</v>
      </c>
      <c r="T53" s="1535">
        <f t="shared" ca="1" si="20"/>
        <v>0</v>
      </c>
    </row>
    <row r="54" spans="1:20" s="20" customFormat="1" ht="15" customHeight="1">
      <c r="A54" s="1074" t="str">
        <f>NTA!C91</f>
        <v>Non Current Tax Liabilities (Net)</v>
      </c>
      <c r="B54" s="1063">
        <f>NTA!F91</f>
        <v>32</v>
      </c>
      <c r="C54" s="61">
        <f ca="1">'NT BS2'!H42</f>
        <v>0</v>
      </c>
      <c r="D54" s="62">
        <f ca="1">'NT BS2'!J42</f>
        <v>0</v>
      </c>
      <c r="H54" s="1054" t="str">
        <f t="shared" ca="1" si="17"/>
        <v>##H</v>
      </c>
      <c r="J54" s="20" t="s">
        <v>532</v>
      </c>
      <c r="K54" s="20" t="s">
        <v>50</v>
      </c>
      <c r="M54" s="342">
        <f t="shared" ref="M54" ca="1" si="23">IFERROR(INDEX(INDIRECT(VLOOKUP($K54,Source_Master,2,0),),MATCH(TEXT($J54,0),INDIRECT(VLOOKUP($K54,Source_Master,4,0)),0),MATCH(C$1,INDIRECT(VLOOKUP($K54,Source_Master,3,0),),0)),0)</f>
        <v>0</v>
      </c>
      <c r="N54" s="342">
        <f t="shared" ref="N54" ca="1" si="24">IFERROR(INDEX(INDIRECT(VLOOKUP($K54,Source_Master,2,0),),MATCH(TEXT($J54,0),INDIRECT(VLOOKUP($K54,Source_Master,4,0)),0),MATCH(D$1,INDIRECT(VLOOKUP($K54,Source_Master,3,0),),0)),0)</f>
        <v>0</v>
      </c>
      <c r="O54" s="60"/>
      <c r="P54" s="342">
        <f t="shared" ca="1" si="21"/>
        <v>0</v>
      </c>
      <c r="Q54" s="342">
        <f t="shared" ca="1" si="22"/>
        <v>0</v>
      </c>
      <c r="R54" s="60"/>
      <c r="S54" s="1536"/>
      <c r="T54" s="1528"/>
    </row>
    <row r="55" spans="1:20" s="20" customFormat="1" ht="15" hidden="1" customHeight="1">
      <c r="A55" s="1074" t="str">
        <f>NTA!C92</f>
        <v>Other non-current liabilities</v>
      </c>
      <c r="B55" s="1063">
        <f>NTA!F92</f>
        <v>33</v>
      </c>
      <c r="C55" s="1542">
        <f ca="1">'NT BS2'!H47</f>
        <v>0</v>
      </c>
      <c r="D55" s="1543">
        <f ca="1">'NT BS2'!J47</f>
        <v>0</v>
      </c>
      <c r="H55" s="1054" t="str">
        <f t="shared" ca="1" si="17"/>
        <v>##H</v>
      </c>
      <c r="K55" s="20" t="s">
        <v>50</v>
      </c>
      <c r="M55" s="342">
        <f ca="1">IFERROR(INDEX(INDIRECT(VLOOKUP($K55,Source_Master,2,0),),MATCH(TEXT($J55,0),INDIRECT(VLOOKUP($K55,Source_Master,4,0)),0),MATCH(C$1,INDIRECT(VLOOKUP($K55,Source_Master,3,0),),0)),0)</f>
        <v>0</v>
      </c>
      <c r="N55" s="342">
        <f ca="1">IFERROR(INDEX(INDIRECT(VLOOKUP($K55,Source_Master,2,0),),MATCH(TEXT($J55,0),INDIRECT(VLOOKUP($K55,Source_Master,4,0)),0),MATCH(D$1,INDIRECT(VLOOKUP($K55,Source_Master,3,0),),0)),0)</f>
        <v>0</v>
      </c>
      <c r="O55" s="60"/>
      <c r="P55" s="342">
        <f t="shared" ca="1" si="21"/>
        <v>0</v>
      </c>
      <c r="Q55" s="342">
        <f t="shared" ca="1" si="22"/>
        <v>0</v>
      </c>
      <c r="R55" s="60"/>
      <c r="S55" s="1536"/>
      <c r="T55" s="1528"/>
    </row>
    <row r="56" spans="1:20" s="20" customFormat="1" ht="15" customHeight="1">
      <c r="A56" s="1073" t="str">
        <f>NTA!C93</f>
        <v>Total Non-Current Liabilities</v>
      </c>
      <c r="B56" s="56"/>
      <c r="C56" s="69">
        <f ca="1">SUM(C49:C55)</f>
        <v>0</v>
      </c>
      <c r="D56" s="70">
        <f ca="1">SUM(D49:D55)</f>
        <v>0</v>
      </c>
      <c r="H56" s="1054" t="str">
        <f t="shared" ca="1" si="17"/>
        <v>##H</v>
      </c>
      <c r="J56" s="20" t="s">
        <v>533</v>
      </c>
      <c r="K56" s="20" t="s">
        <v>50</v>
      </c>
      <c r="M56" s="583">
        <f ca="1">SUM(M49:M55)</f>
        <v>0</v>
      </c>
      <c r="N56" s="583">
        <f ca="1">SUM(N49:N55)</f>
        <v>0</v>
      </c>
      <c r="O56" s="60"/>
      <c r="P56" s="583">
        <f ca="1">SUM(P49:P55)</f>
        <v>0</v>
      </c>
      <c r="Q56" s="583">
        <f ca="1">SUM(Q49:Q55)</f>
        <v>0</v>
      </c>
      <c r="R56" s="60"/>
      <c r="S56" s="72"/>
      <c r="T56" s="73"/>
    </row>
    <row r="57" spans="1:20" s="20" customFormat="1" ht="15" customHeight="1">
      <c r="A57" s="1073" t="str">
        <f>NTA!C94</f>
        <v>CURRENT LIABILITIES</v>
      </c>
      <c r="B57" s="56"/>
      <c r="C57" s="74"/>
      <c r="D57" s="75"/>
      <c r="M57" s="76"/>
      <c r="N57" s="77"/>
      <c r="O57" s="60"/>
      <c r="P57" s="1536"/>
      <c r="Q57" s="1537"/>
      <c r="R57" s="60"/>
      <c r="S57" s="1536"/>
      <c r="T57" s="1537"/>
    </row>
    <row r="58" spans="1:20" s="20" customFormat="1" ht="15" customHeight="1">
      <c r="A58" s="1074" t="str">
        <f>NTA!C95</f>
        <v>Financial Liabilities</v>
      </c>
      <c r="B58" s="58"/>
      <c r="C58" s="89"/>
      <c r="D58" s="79"/>
      <c r="M58" s="90"/>
      <c r="N58" s="88"/>
      <c r="O58" s="60"/>
      <c r="P58" s="90"/>
      <c r="Q58" s="88"/>
      <c r="R58" s="60"/>
      <c r="S58" s="1536"/>
      <c r="T58" s="1537"/>
    </row>
    <row r="59" spans="1:20" s="20" customFormat="1" ht="15" customHeight="1">
      <c r="A59" s="1075" t="str">
        <f>NTA!C96</f>
        <v>Borrowings</v>
      </c>
      <c r="B59" s="1063">
        <f>NTA!F96</f>
        <v>34</v>
      </c>
      <c r="C59" s="61">
        <f ca="1">'NT BS2'!H59</f>
        <v>0</v>
      </c>
      <c r="D59" s="62">
        <f ca="1">'NT BS2'!J59</f>
        <v>0</v>
      </c>
      <c r="H59" s="1054" t="str">
        <f t="shared" ref="H59" ca="1" si="25">IF(C59=0,IF(D59=0,"##H",""),"")</f>
        <v>##H</v>
      </c>
      <c r="J59" s="20" t="s">
        <v>534</v>
      </c>
      <c r="K59" s="20" t="s">
        <v>50</v>
      </c>
      <c r="M59" s="342">
        <f t="shared" ref="M59:M67" ca="1" si="26">IFERROR(INDEX(INDIRECT(VLOOKUP($K59,Source_Master,2,0),),MATCH(TEXT($J59,0),INDIRECT(VLOOKUP($K59,Source_Master,4,0)),0),MATCH(C$1,INDIRECT(VLOOKUP($K59,Source_Master,3,0),),0)),0)</f>
        <v>0</v>
      </c>
      <c r="N59" s="342">
        <f t="shared" ref="N59:N67" ca="1" si="27">IFERROR(INDEX(INDIRECT(VLOOKUP($K59,Source_Master,2,0),),MATCH(TEXT($J59,0),INDIRECT(VLOOKUP($K59,Source_Master,4,0)),0),MATCH(D$1,INDIRECT(VLOOKUP($K59,Source_Master,3,0),),0)),0)</f>
        <v>0</v>
      </c>
      <c r="O59" s="60"/>
      <c r="P59" s="342">
        <f t="shared" ref="P59:Q61" ca="1" si="28">C59-M59</f>
        <v>0</v>
      </c>
      <c r="Q59" s="342">
        <f t="shared" ca="1" si="28"/>
        <v>0</v>
      </c>
      <c r="R59" s="60"/>
      <c r="S59" s="1534">
        <f ca="1">IF(P59=0,0,1)</f>
        <v>0</v>
      </c>
      <c r="T59" s="1535">
        <f ca="1">IF(Q59=0,0,1)</f>
        <v>0</v>
      </c>
    </row>
    <row r="60" spans="1:20" s="20" customFormat="1" ht="15" customHeight="1">
      <c r="A60" s="1075" t="str">
        <f>NTA!C98</f>
        <v>Lease Liabilities</v>
      </c>
      <c r="B60" s="1063">
        <f>NTA!F98</f>
        <v>35</v>
      </c>
      <c r="C60" s="61">
        <f ca="1">'NT BS2'!H94</f>
        <v>0</v>
      </c>
      <c r="D60" s="62">
        <f ca="1">'NT BS2'!J94</f>
        <v>0</v>
      </c>
      <c r="J60" s="20" t="s">
        <v>535</v>
      </c>
      <c r="K60" s="20" t="s">
        <v>50</v>
      </c>
      <c r="M60" s="342">
        <f t="shared" ca="1" si="26"/>
        <v>0</v>
      </c>
      <c r="N60" s="342">
        <f t="shared" ca="1" si="27"/>
        <v>0</v>
      </c>
      <c r="O60" s="60"/>
      <c r="P60" s="342">
        <f t="shared" ca="1" si="28"/>
        <v>0</v>
      </c>
      <c r="Q60" s="342">
        <f t="shared" ca="1" si="28"/>
        <v>0</v>
      </c>
      <c r="R60" s="60"/>
      <c r="S60" s="1534">
        <f ca="1">IF(P60=0,0,1)</f>
        <v>0</v>
      </c>
      <c r="T60" s="1535">
        <f ca="1">IF(Q60=0,0,1)</f>
        <v>0</v>
      </c>
    </row>
    <row r="61" spans="1:20" s="20" customFormat="1" ht="15" customHeight="1">
      <c r="A61" s="1075" t="str">
        <f>NTA!C99</f>
        <v>Trade Payables due to</v>
      </c>
      <c r="B61" s="1063">
        <f>NTA!F99</f>
        <v>36</v>
      </c>
      <c r="C61" s="65"/>
      <c r="D61" s="66"/>
      <c r="K61" s="20" t="s">
        <v>50</v>
      </c>
      <c r="M61" s="342">
        <f t="shared" ca="1" si="26"/>
        <v>0</v>
      </c>
      <c r="N61" s="342">
        <f t="shared" ca="1" si="27"/>
        <v>0</v>
      </c>
      <c r="O61" s="60"/>
      <c r="P61" s="342">
        <f t="shared" ca="1" si="28"/>
        <v>0</v>
      </c>
      <c r="Q61" s="342">
        <f t="shared" ca="1" si="28"/>
        <v>0</v>
      </c>
      <c r="R61" s="60"/>
      <c r="S61" s="1536"/>
      <c r="T61" s="1528"/>
    </row>
    <row r="62" spans="1:20" s="20" customFormat="1" ht="15" customHeight="1">
      <c r="A62" s="1076" t="str">
        <f>NTA!C100</f>
        <v>Micro Enterprises and Small Enterprises</v>
      </c>
      <c r="B62" s="56"/>
      <c r="C62" s="91">
        <f ca="1">'NT BS2'!H98</f>
        <v>0</v>
      </c>
      <c r="D62" s="92">
        <f ca="1">'NT BS2'!J98</f>
        <v>0</v>
      </c>
      <c r="H62" s="1054" t="str">
        <f t="shared" ref="H62:H70" ca="1" si="29">IF(C62=0,IF(D62=0,"##H",""),"")</f>
        <v>##H</v>
      </c>
      <c r="J62" s="20" t="s">
        <v>536</v>
      </c>
      <c r="K62" s="20" t="s">
        <v>50</v>
      </c>
      <c r="M62" s="342">
        <f t="shared" ca="1" si="26"/>
        <v>0</v>
      </c>
      <c r="N62" s="342">
        <f t="shared" ca="1" si="27"/>
        <v>0</v>
      </c>
      <c r="O62" s="60"/>
      <c r="P62" s="342">
        <f t="shared" ref="P62:Q65" ca="1" si="30">C62-M62</f>
        <v>0</v>
      </c>
      <c r="Q62" s="342">
        <f t="shared" ca="1" si="30"/>
        <v>0</v>
      </c>
      <c r="R62" s="60"/>
      <c r="S62" s="1534">
        <f t="shared" ref="S62:T67" ca="1" si="31">IF(P62=0,0,1)</f>
        <v>0</v>
      </c>
      <c r="T62" s="1535">
        <f t="shared" ca="1" si="31"/>
        <v>0</v>
      </c>
    </row>
    <row r="63" spans="1:20" s="20" customFormat="1" ht="15" customHeight="1">
      <c r="A63" s="1076" t="str">
        <f>NTA!C101</f>
        <v>Other than Micro Enterprises and Small Enterprises</v>
      </c>
      <c r="B63" s="56"/>
      <c r="C63" s="91">
        <f ca="1">'NT BS2'!H99</f>
        <v>0</v>
      </c>
      <c r="D63" s="92">
        <f ca="1">'NT BS2'!J99</f>
        <v>0</v>
      </c>
      <c r="H63" s="1054" t="str">
        <f t="shared" ca="1" si="29"/>
        <v>##H</v>
      </c>
      <c r="J63" s="20" t="s">
        <v>537</v>
      </c>
      <c r="K63" s="20" t="s">
        <v>50</v>
      </c>
      <c r="M63" s="342">
        <f t="shared" ca="1" si="26"/>
        <v>0</v>
      </c>
      <c r="N63" s="342">
        <f t="shared" ca="1" si="27"/>
        <v>0</v>
      </c>
      <c r="O63" s="60"/>
      <c r="P63" s="342">
        <f t="shared" ca="1" si="30"/>
        <v>0</v>
      </c>
      <c r="Q63" s="342">
        <f t="shared" ca="1" si="30"/>
        <v>0</v>
      </c>
      <c r="R63" s="60"/>
      <c r="S63" s="1534">
        <f t="shared" ca="1" si="31"/>
        <v>0</v>
      </c>
      <c r="T63" s="1535">
        <f t="shared" ca="1" si="31"/>
        <v>0</v>
      </c>
    </row>
    <row r="64" spans="1:20" s="20" customFormat="1" ht="15" customHeight="1">
      <c r="A64" s="1075" t="str">
        <f>NTA!C104</f>
        <v>Other Financial Liabilities</v>
      </c>
      <c r="B64" s="1063">
        <f>NTA!F104</f>
        <v>37</v>
      </c>
      <c r="C64" s="61">
        <f ca="1">'NT BS2'!H131</f>
        <v>0</v>
      </c>
      <c r="D64" s="62">
        <f ca="1">'NT BS2'!J131</f>
        <v>0</v>
      </c>
      <c r="H64" s="1054" t="str">
        <f t="shared" ca="1" si="29"/>
        <v>##H</v>
      </c>
      <c r="J64" s="20" t="s">
        <v>538</v>
      </c>
      <c r="K64" s="20" t="s">
        <v>50</v>
      </c>
      <c r="M64" s="342">
        <f t="shared" ca="1" si="26"/>
        <v>0</v>
      </c>
      <c r="N64" s="342">
        <f t="shared" ca="1" si="27"/>
        <v>0</v>
      </c>
      <c r="O64" s="60"/>
      <c r="P64" s="342">
        <f t="shared" ca="1" si="30"/>
        <v>0</v>
      </c>
      <c r="Q64" s="342">
        <f t="shared" ca="1" si="30"/>
        <v>0</v>
      </c>
      <c r="R64" s="60"/>
      <c r="S64" s="1534">
        <f t="shared" ca="1" si="31"/>
        <v>0</v>
      </c>
      <c r="T64" s="1535">
        <f t="shared" ca="1" si="31"/>
        <v>0</v>
      </c>
    </row>
    <row r="65" spans="1:28" s="20" customFormat="1" ht="15" customHeight="1">
      <c r="A65" s="1074" t="str">
        <f>NTA!C105</f>
        <v>Other Current Liabilities</v>
      </c>
      <c r="B65" s="1063">
        <f>NTA!F105</f>
        <v>38</v>
      </c>
      <c r="C65" s="61">
        <f ca="1">'NT BS2'!H142</f>
        <v>0</v>
      </c>
      <c r="D65" s="62">
        <f ca="1">'NT BS2'!J142</f>
        <v>0</v>
      </c>
      <c r="H65" s="1054" t="str">
        <f t="shared" ca="1" si="29"/>
        <v>##H</v>
      </c>
      <c r="J65" s="20" t="s">
        <v>539</v>
      </c>
      <c r="K65" s="20" t="s">
        <v>50</v>
      </c>
      <c r="M65" s="342">
        <f t="shared" ca="1" si="26"/>
        <v>0</v>
      </c>
      <c r="N65" s="342">
        <f t="shared" ca="1" si="27"/>
        <v>0</v>
      </c>
      <c r="O65" s="60"/>
      <c r="P65" s="342">
        <f t="shared" ca="1" si="30"/>
        <v>0</v>
      </c>
      <c r="Q65" s="342">
        <f t="shared" ca="1" si="30"/>
        <v>0</v>
      </c>
      <c r="R65" s="60"/>
      <c r="S65" s="1534">
        <f t="shared" ca="1" si="31"/>
        <v>0</v>
      </c>
      <c r="T65" s="1535">
        <f t="shared" ca="1" si="31"/>
        <v>0</v>
      </c>
    </row>
    <row r="66" spans="1:28" s="20" customFormat="1" ht="15" customHeight="1">
      <c r="A66" s="1074" t="str">
        <f>NTA!C106</f>
        <v>Current Tax Liabilities (Net)</v>
      </c>
      <c r="B66" s="1063">
        <f>NTA!F106</f>
        <v>39</v>
      </c>
      <c r="C66" s="61">
        <f ca="1">'NT BS2'!H147</f>
        <v>0</v>
      </c>
      <c r="D66" s="62">
        <f ca="1">'NT BS2'!J147</f>
        <v>0</v>
      </c>
      <c r="J66" s="20" t="s">
        <v>540</v>
      </c>
      <c r="K66" s="20" t="s">
        <v>50</v>
      </c>
      <c r="M66" s="342">
        <f t="shared" ref="M66" ca="1" si="32">IFERROR(INDEX(INDIRECT(VLOOKUP($K66,Source_Master,2,0),),MATCH(TEXT($J66,0),INDIRECT(VLOOKUP($K66,Source_Master,4,0)),0),MATCH(C$1,INDIRECT(VLOOKUP($K66,Source_Master,3,0),),0)),0)</f>
        <v>0</v>
      </c>
      <c r="N66" s="342">
        <f t="shared" ref="N66" ca="1" si="33">IFERROR(INDEX(INDIRECT(VLOOKUP($K66,Source_Master,2,0),),MATCH(TEXT($J66,0),INDIRECT(VLOOKUP($K66,Source_Master,4,0)),0),MATCH(D$1,INDIRECT(VLOOKUP($K66,Source_Master,3,0),),0)),0)</f>
        <v>0</v>
      </c>
      <c r="O66" s="60"/>
      <c r="P66" s="342">
        <f t="shared" ref="P66" ca="1" si="34">C66-M66</f>
        <v>0</v>
      </c>
      <c r="Q66" s="342">
        <f t="shared" ref="Q66" ca="1" si="35">D66-N66</f>
        <v>0</v>
      </c>
      <c r="R66" s="60"/>
      <c r="S66" s="1536"/>
      <c r="T66" s="1528"/>
    </row>
    <row r="67" spans="1:28" s="20" customFormat="1" ht="15" customHeight="1">
      <c r="A67" s="1074" t="str">
        <f>NTA!C107</f>
        <v>Provisions</v>
      </c>
      <c r="B67" s="1063">
        <f>NTA!F107</f>
        <v>40</v>
      </c>
      <c r="C67" s="61">
        <f ca="1">'NT BS2'!H157</f>
        <v>0</v>
      </c>
      <c r="D67" s="62">
        <f ca="1">'NT BS2'!J157</f>
        <v>0</v>
      </c>
      <c r="H67" s="1054" t="str">
        <f t="shared" ca="1" si="29"/>
        <v>##H</v>
      </c>
      <c r="J67" s="20" t="s">
        <v>541</v>
      </c>
      <c r="K67" s="20" t="s">
        <v>50</v>
      </c>
      <c r="M67" s="342">
        <f t="shared" ca="1" si="26"/>
        <v>0</v>
      </c>
      <c r="N67" s="342">
        <f t="shared" ca="1" si="27"/>
        <v>0</v>
      </c>
      <c r="O67" s="60"/>
      <c r="P67" s="342">
        <f ca="1">C67-M67</f>
        <v>0</v>
      </c>
      <c r="Q67" s="342">
        <f ca="1">D67-N67</f>
        <v>0</v>
      </c>
      <c r="R67" s="60"/>
      <c r="S67" s="1534">
        <f t="shared" ca="1" si="31"/>
        <v>0</v>
      </c>
      <c r="T67" s="1535">
        <f t="shared" ca="1" si="31"/>
        <v>0</v>
      </c>
    </row>
    <row r="68" spans="1:28" s="20" customFormat="1" ht="15" customHeight="1">
      <c r="A68" s="1073" t="str">
        <f>NTA!C109</f>
        <v>Total Current Liabilities</v>
      </c>
      <c r="B68" s="56"/>
      <c r="C68" s="69">
        <f ca="1">SUM(C59:C67)</f>
        <v>0</v>
      </c>
      <c r="D68" s="70">
        <f ca="1">SUM(D59:D67)</f>
        <v>0</v>
      </c>
      <c r="H68" s="1054" t="str">
        <f t="shared" ca="1" si="29"/>
        <v>##H</v>
      </c>
      <c r="J68" s="20" t="s">
        <v>542</v>
      </c>
      <c r="K68" s="20" t="s">
        <v>50</v>
      </c>
      <c r="M68" s="583">
        <f ca="1">SUM(M59:M67)</f>
        <v>0</v>
      </c>
      <c r="N68" s="583">
        <f ca="1">SUM(N59:N67)</f>
        <v>0</v>
      </c>
      <c r="O68" s="60"/>
      <c r="P68" s="583">
        <f ca="1">SUM(P59:P67)</f>
        <v>0</v>
      </c>
      <c r="Q68" s="583">
        <f ca="1">SUM(Q59:Q67)</f>
        <v>0</v>
      </c>
      <c r="R68" s="60"/>
      <c r="S68" s="72"/>
      <c r="T68" s="73"/>
    </row>
    <row r="69" spans="1:28" s="20" customFormat="1" ht="15" customHeight="1">
      <c r="A69" s="1065" t="str">
        <f>NTA!C110</f>
        <v>Total Liabilities</v>
      </c>
      <c r="B69" s="56"/>
      <c r="C69" s="93">
        <f ca="1">+C56+C68</f>
        <v>0</v>
      </c>
      <c r="D69" s="94">
        <f ca="1">+D56+D68</f>
        <v>0</v>
      </c>
      <c r="H69" s="1054" t="str">
        <f t="shared" ca="1" si="29"/>
        <v>##H</v>
      </c>
      <c r="M69" s="95">
        <f ca="1">M56+M68</f>
        <v>0</v>
      </c>
      <c r="N69" s="95">
        <f ca="1">N56+N68</f>
        <v>0</v>
      </c>
      <c r="O69" s="60"/>
      <c r="P69" s="95">
        <f ca="1">P56+P68</f>
        <v>0</v>
      </c>
      <c r="Q69" s="95">
        <f ca="1">Q56+Q68</f>
        <v>0</v>
      </c>
      <c r="R69" s="60"/>
      <c r="S69" s="96"/>
      <c r="T69" s="97"/>
    </row>
    <row r="70" spans="1:28" s="20" customFormat="1" ht="15" customHeight="1">
      <c r="A70" s="1072" t="str">
        <f>NTA!C111</f>
        <v>Total Equity and Liabilities</v>
      </c>
      <c r="B70" s="56"/>
      <c r="C70" s="93">
        <f ca="1">SUM(C45+C56+C68)</f>
        <v>0</v>
      </c>
      <c r="D70" s="94">
        <f ca="1">SUM(D45+D56+D68)</f>
        <v>0</v>
      </c>
      <c r="G70" s="104"/>
      <c r="H70" s="1054" t="str">
        <f t="shared" ca="1" si="29"/>
        <v>##H</v>
      </c>
      <c r="I70" s="105"/>
      <c r="J70" s="106"/>
      <c r="M70" s="95">
        <f ca="1">M69+M45</f>
        <v>0</v>
      </c>
      <c r="N70" s="95">
        <f ca="1">N69+N45</f>
        <v>0</v>
      </c>
      <c r="O70" s="60"/>
      <c r="P70" s="95">
        <f ca="1">P69+P45</f>
        <v>0</v>
      </c>
      <c r="Q70" s="95">
        <f ca="1">Q69+Q45</f>
        <v>0</v>
      </c>
      <c r="R70" s="60"/>
      <c r="S70" s="96"/>
      <c r="T70" s="97"/>
    </row>
    <row r="71" spans="1:28" s="20" customFormat="1" ht="15" customHeight="1">
      <c r="A71" s="716"/>
      <c r="B71" s="717"/>
      <c r="C71" s="98"/>
      <c r="D71" s="99"/>
      <c r="M71" s="1541"/>
      <c r="N71" s="1544"/>
      <c r="O71" s="1545"/>
      <c r="P71" s="1528"/>
      <c r="Q71" s="1528"/>
      <c r="R71" s="60"/>
      <c r="S71" s="60"/>
      <c r="T71" s="60"/>
    </row>
    <row r="72" spans="1:28" s="20" customFormat="1" ht="5.0999999999999996" customHeight="1">
      <c r="B72" s="46"/>
      <c r="C72" s="100"/>
      <c r="D72" s="101"/>
      <c r="M72" s="100"/>
      <c r="N72" s="101"/>
      <c r="P72" s="1546"/>
      <c r="Q72" s="1547"/>
      <c r="S72" s="100"/>
      <c r="T72" s="101"/>
    </row>
    <row r="73" spans="1:28" s="20" customFormat="1" ht="13.15">
      <c r="B73" s="46"/>
      <c r="C73" s="100"/>
      <c r="D73" s="101"/>
      <c r="M73" s="100"/>
      <c r="N73" s="101"/>
      <c r="P73" s="1546"/>
      <c r="Q73" s="1547"/>
      <c r="S73" s="100"/>
      <c r="T73" s="101"/>
    </row>
    <row r="74" spans="1:28">
      <c r="A74" s="1055" t="str">
        <f>"The accompanying notes form an integral part of the "&amp;FZ_Reference_Master!B4&amp;" Financial Statements"</f>
        <v>The accompanying notes form an integral part of the Standalone Financial Statements</v>
      </c>
      <c r="B74" s="1269"/>
      <c r="C74" s="102"/>
      <c r="D74" s="102"/>
      <c r="M74" s="102"/>
      <c r="N74" s="102"/>
      <c r="P74" s="1548"/>
      <c r="Q74" s="1548"/>
      <c r="S74" s="102"/>
      <c r="T74" s="102"/>
      <c r="W74" s="44"/>
      <c r="X74" s="44"/>
      <c r="Y74" s="44"/>
      <c r="Z74" s="44"/>
      <c r="AA74" s="44"/>
      <c r="AB74" s="44"/>
    </row>
    <row r="75" spans="1:28">
      <c r="B75" s="1269"/>
      <c r="C75" s="102"/>
      <c r="D75" s="102"/>
      <c r="M75" s="102"/>
      <c r="N75" s="102"/>
      <c r="P75" s="1548"/>
      <c r="Q75" s="1548"/>
      <c r="S75" s="102"/>
      <c r="T75" s="102"/>
      <c r="W75" s="44"/>
      <c r="X75" s="44"/>
      <c r="Y75" s="44"/>
      <c r="Z75" s="44"/>
      <c r="AA75" s="44"/>
      <c r="AB75" s="44"/>
    </row>
    <row r="76" spans="1:28" ht="13.5" customHeight="1">
      <c r="A76" s="44" t="s">
        <v>543</v>
      </c>
      <c r="M76" s="105"/>
      <c r="N76" s="106"/>
      <c r="P76" s="1549"/>
      <c r="Q76" s="1548"/>
      <c r="S76" s="107"/>
      <c r="T76" s="102"/>
      <c r="W76" s="44"/>
      <c r="X76" s="44"/>
      <c r="Y76" s="44"/>
      <c r="Z76" s="44"/>
      <c r="AA76" s="44"/>
      <c r="AB76" s="44"/>
    </row>
    <row r="77" spans="1:28" ht="13.5" customHeight="1">
      <c r="M77" s="105"/>
      <c r="N77" s="106"/>
      <c r="P77" s="1549"/>
      <c r="Q77" s="1548"/>
      <c r="S77" s="107"/>
      <c r="T77" s="102"/>
      <c r="W77" s="44"/>
      <c r="X77" s="44"/>
      <c r="Y77" s="44"/>
      <c r="Z77" s="44"/>
      <c r="AA77" s="44"/>
      <c r="AB77" s="44"/>
    </row>
    <row r="78" spans="1:28">
      <c r="A78" s="49" t="s">
        <v>544</v>
      </c>
      <c r="B78" s="547" t="s">
        <v>545</v>
      </c>
      <c r="C78" s="103"/>
      <c r="D78" s="103"/>
      <c r="M78" s="103"/>
      <c r="N78" s="103"/>
      <c r="P78" s="1550"/>
      <c r="Q78" s="1550"/>
      <c r="W78" s="44"/>
      <c r="X78" s="44"/>
      <c r="Y78" s="44"/>
      <c r="Z78" s="44"/>
      <c r="AA78" s="44"/>
      <c r="AB78" s="44"/>
    </row>
    <row r="79" spans="1:28">
      <c r="A79" s="49" t="s">
        <v>143</v>
      </c>
      <c r="B79" s="546"/>
      <c r="P79" s="1551"/>
      <c r="Q79" s="1551"/>
    </row>
    <row r="80" spans="1:28">
      <c r="A80" s="44" t="s">
        <v>546</v>
      </c>
      <c r="P80" s="1551"/>
      <c r="Q80" s="1551"/>
    </row>
    <row r="84" spans="1:4">
      <c r="A84" s="49" t="s">
        <v>547</v>
      </c>
      <c r="B84" s="546" t="s">
        <v>547</v>
      </c>
      <c r="D84" s="49" t="s">
        <v>547</v>
      </c>
    </row>
    <row r="85" spans="1:4">
      <c r="A85" s="44" t="s">
        <v>548</v>
      </c>
      <c r="B85" s="545" t="s">
        <v>151</v>
      </c>
      <c r="D85" s="44" t="s">
        <v>151</v>
      </c>
    </row>
    <row r="86" spans="1:4">
      <c r="A86" s="44" t="s">
        <v>549</v>
      </c>
      <c r="B86" s="545" t="s">
        <v>550</v>
      </c>
      <c r="D86" s="44" t="s">
        <v>550</v>
      </c>
    </row>
    <row r="91" spans="1:4">
      <c r="B91" s="546" t="s">
        <v>547</v>
      </c>
      <c r="D91" s="49" t="s">
        <v>547</v>
      </c>
    </row>
    <row r="92" spans="1:4">
      <c r="B92" s="545" t="s">
        <v>151</v>
      </c>
      <c r="D92" s="545" t="s">
        <v>151</v>
      </c>
    </row>
    <row r="97" spans="1:2">
      <c r="A97" s="49" t="s">
        <v>551</v>
      </c>
      <c r="B97" s="546" t="s">
        <v>551</v>
      </c>
    </row>
    <row r="98" spans="1:2">
      <c r="A98" s="44" t="s">
        <v>552</v>
      </c>
      <c r="B98" s="545" t="s">
        <v>552</v>
      </c>
    </row>
  </sheetData>
  <sheetProtection algorithmName="SHA-512" hashValue="frfdlqN/XH1GZPH19trl8O1j9SV5lN6EM1q8fvQj8O4kaVXBpECO2Si/daktCOO5gG0wZ23fuuLjwk8LjPtTcw==" saltValue="L0wUmc0snlvu7UUszHie1A==" spinCount="100000" sheet="1" objects="1" scenarios="1"/>
  <protectedRanges>
    <protectedRange sqref="B2:B3" name="Range1_2_1"/>
  </protectedRanges>
  <mergeCells count="3">
    <mergeCell ref="M6:N6"/>
    <mergeCell ref="P6:Q6"/>
    <mergeCell ref="S6:T6"/>
  </mergeCells>
  <dataValidations count="1">
    <dataValidation type="list" allowBlank="1" showInputMessage="1" showErrorMessage="1" sqref="B2" xr:uid="{6663C69E-4C4E-4199-BA22-EB20CE802B8A}">
      <formula1>"Actual | 002,Actual_casted | 002,Actual_ABS | 002"</formula1>
    </dataValidation>
  </dataValidations>
  <pageMargins left="0.51181102362204722" right="0.39370078740157483" top="0.51181102362204722" bottom="0.51181102362204722" header="0" footer="0"/>
  <pageSetup paperSize="9" scale="72" fitToHeight="0" orientation="portrait" r:id="rId1"/>
  <headerFooter alignWithMargins="0"/>
  <rowBreaks count="1" manualBreakCount="1">
    <brk id="56" max="4" man="1"/>
  </rowBreaks>
  <ignoredErrors>
    <ignoredError sqref="B11:B16 B18:B23"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2B312375-E395-45A4-B425-B3D3C1FCA089}">
          <x14:formula1>
            <xm:f>'Master Sheet'!$C$37:$C$41</xm:f>
          </x14:formula1>
          <xm:sqref>K11:K16 K18:K24 K59:K68 K28:K37 K26 K49:K56 K41:K45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7FFC-E186-4963-A0F7-81F32C21F64D}">
  <sheetPr codeName="Sheet11">
    <tabColor theme="5" tint="0.59999389629810485"/>
  </sheetPr>
  <dimension ref="A1:E28"/>
  <sheetViews>
    <sheetView showGridLines="0" view="pageBreakPreview" zoomScaleNormal="100" zoomScaleSheetLayoutView="100" workbookViewId="0">
      <selection activeCell="A8" sqref="A8"/>
    </sheetView>
  </sheetViews>
  <sheetFormatPr defaultColWidth="8.85546875" defaultRowHeight="13.15"/>
  <cols>
    <col min="1" max="1" customWidth="true" style="2" width="60.28515625"/>
    <col min="2" max="2" bestFit="true" customWidth="true" style="2" width="22.7109375"/>
    <col min="3" max="3" style="2" width="8.85546875"/>
    <col min="4" max="4" bestFit="true" customWidth="true" style="2" width="19.7109375"/>
    <col min="5" max="16384" style="2" width="8.85546875"/>
  </cols>
  <sheetData>
    <row r="1" spans="1:5" ht="17.45">
      <c r="A1" s="1077" t="e">
        <f ca="1">Company</f>
        <v>#NAME?</v>
      </c>
    </row>
    <row r="2" spans="1:5" ht="15.6">
      <c r="A2" s="1078" t="e">
        <f ca="1">Note_Head</f>
        <v>#NAME?</v>
      </c>
    </row>
    <row r="4" spans="1:5" ht="13.9">
      <c r="A4" s="1055" t="str">
        <f>"The accompanying notes form an integral part of the "&amp;FZ_Reference_Master!B4&amp;" Financial Statements"</f>
        <v>The accompanying notes form an integral part of the Standalone Financial Statements</v>
      </c>
      <c r="B4" s="1269"/>
      <c r="C4" s="102"/>
      <c r="D4" s="102"/>
    </row>
    <row r="5" spans="1:5" ht="13.9">
      <c r="A5" s="44"/>
      <c r="B5" s="1269"/>
      <c r="C5" s="102"/>
      <c r="D5" s="102"/>
      <c r="E5" s="44"/>
    </row>
    <row r="6" spans="1:5" ht="13.9">
      <c r="A6" s="44" t="s">
        <v>543</v>
      </c>
      <c r="B6" s="108"/>
      <c r="C6" s="44"/>
      <c r="D6" s="44"/>
      <c r="E6" s="44"/>
    </row>
    <row r="7" spans="1:5" ht="13.9">
      <c r="A7" s="44"/>
      <c r="B7" s="108"/>
      <c r="C7" s="44"/>
      <c r="D7" s="44"/>
      <c r="E7" s="44"/>
    </row>
    <row r="8" spans="1:5" ht="13.9">
      <c r="A8" s="1079" t="str">
        <f>"For "&amp;'Signing Page- Master Sheet'!E17</f>
        <v>For 0</v>
      </c>
      <c r="B8" s="547" t="s">
        <v>545</v>
      </c>
      <c r="C8" s="103"/>
      <c r="D8" s="103"/>
      <c r="E8" s="44"/>
    </row>
    <row r="9" spans="1:5" ht="13.9">
      <c r="A9" s="1079" t="str">
        <f>'Signing Page- Master Sheet'!F17</f>
        <v>Chartered Accountants</v>
      </c>
      <c r="B9" s="546"/>
      <c r="C9" s="44"/>
      <c r="D9" s="44"/>
      <c r="E9" s="44"/>
    </row>
    <row r="10" spans="1:5" ht="13.9">
      <c r="A10" s="1055" t="str">
        <f>"Firm's Registration Number: "&amp;'Signing Page- Master Sheet'!G17</f>
        <v>Firm's Registration Number: 0</v>
      </c>
      <c r="B10" s="108"/>
      <c r="C10" s="44"/>
      <c r="D10" s="44"/>
      <c r="E10" s="44"/>
    </row>
    <row r="11" spans="1:5" ht="13.9">
      <c r="A11" s="44"/>
      <c r="B11" s="108"/>
      <c r="C11" s="44"/>
      <c r="D11" s="44"/>
      <c r="E11" s="44"/>
    </row>
    <row r="12" spans="1:5" ht="13.9">
      <c r="A12" s="44"/>
      <c r="B12" s="108"/>
      <c r="C12" s="44"/>
      <c r="D12" s="44"/>
      <c r="E12" s="44"/>
    </row>
    <row r="13" spans="1:5" ht="13.9">
      <c r="A13" s="44"/>
      <c r="B13" s="108"/>
      <c r="C13" s="44"/>
      <c r="D13" s="44"/>
      <c r="E13" s="44"/>
    </row>
    <row r="14" spans="1:5" ht="13.9">
      <c r="A14" s="1079">
        <f>'Signing Page- Master Sheet'!H17</f>
        <v>0</v>
      </c>
      <c r="B14" s="1080" t="str">
        <f>'Signing Page- Master Sheet'!C33</f>
        <v/>
      </c>
      <c r="C14" s="44"/>
      <c r="D14" s="1082" t="str">
        <f>'Signing Page- Master Sheet'!F33</f>
        <v/>
      </c>
      <c r="E14" s="44"/>
    </row>
    <row r="15" spans="1:5" ht="13.9">
      <c r="A15" s="44" t="s">
        <v>548</v>
      </c>
      <c r="B15" s="1081" t="str">
        <f>'Signing Page- Master Sheet'!D33</f>
        <v/>
      </c>
      <c r="C15" s="44"/>
      <c r="D15" s="1055" t="str">
        <f>'Signing Page- Master Sheet'!G33</f>
        <v/>
      </c>
      <c r="E15" s="44"/>
    </row>
    <row r="16" spans="1:5" ht="13.9">
      <c r="A16" s="1055" t="str">
        <f>"Registration  No: "&amp;'Signing Page- Master Sheet'!I17</f>
        <v>Registration  No: 0</v>
      </c>
      <c r="B16" s="1081" t="str">
        <f>"DIN: "&amp;'Signing Page- Master Sheet'!E33</f>
        <v xml:space="preserve">DIN: </v>
      </c>
      <c r="C16" s="44"/>
      <c r="D16" s="1055" t="str">
        <f>"DIN: "&amp;'Signing Page- Master Sheet'!H33</f>
        <v xml:space="preserve">DIN: </v>
      </c>
      <c r="E16" s="44"/>
    </row>
    <row r="17" spans="1:5" ht="13.9">
      <c r="A17" s="44"/>
      <c r="B17" s="108"/>
      <c r="C17" s="44"/>
      <c r="D17" s="44"/>
      <c r="E17" s="44"/>
    </row>
    <row r="18" spans="1:5" ht="13.9">
      <c r="A18" s="44"/>
      <c r="B18" s="108"/>
      <c r="C18" s="44"/>
      <c r="D18" s="44"/>
      <c r="E18" s="44"/>
    </row>
    <row r="19" spans="1:5" ht="13.9">
      <c r="A19" s="44"/>
      <c r="B19" s="108"/>
      <c r="C19" s="44"/>
      <c r="D19" s="44"/>
      <c r="E19" s="44"/>
    </row>
    <row r="20" spans="1:5" ht="13.9">
      <c r="A20" s="44"/>
      <c r="B20" s="108"/>
      <c r="C20" s="44"/>
      <c r="D20" s="44"/>
      <c r="E20" s="44"/>
    </row>
    <row r="21" spans="1:5" ht="13.9">
      <c r="A21" s="44"/>
      <c r="B21" s="1080" t="str">
        <f>'Signing Page- Master Sheet'!I33</f>
        <v/>
      </c>
      <c r="C21" s="44"/>
      <c r="D21" s="1082" t="str">
        <f>'Signing Page- Master Sheet'!K33</f>
        <v/>
      </c>
      <c r="E21" s="44"/>
    </row>
    <row r="22" spans="1:5" ht="13.9">
      <c r="A22" s="44"/>
      <c r="B22" s="1081" t="str">
        <f>'Signing Page- Master Sheet'!J33</f>
        <v/>
      </c>
      <c r="C22" s="44"/>
      <c r="D22" s="1081" t="str">
        <f>'Signing Page- Master Sheet'!L33</f>
        <v/>
      </c>
      <c r="E22" s="44"/>
    </row>
    <row r="23" spans="1:5" ht="13.9">
      <c r="A23" s="44"/>
      <c r="B23" s="108"/>
      <c r="C23" s="44"/>
      <c r="D23" s="44"/>
      <c r="E23" s="44"/>
    </row>
    <row r="24" spans="1:5" ht="13.9">
      <c r="A24" s="44"/>
      <c r="B24" s="108"/>
      <c r="C24" s="44"/>
      <c r="D24" s="44"/>
      <c r="E24" s="44"/>
    </row>
    <row r="25" spans="1:5" ht="13.9">
      <c r="A25" s="44"/>
      <c r="B25" s="108"/>
      <c r="C25" s="44"/>
      <c r="D25" s="44"/>
      <c r="E25" s="44"/>
    </row>
    <row r="26" spans="1:5" ht="13.9">
      <c r="A26" s="44"/>
      <c r="B26" s="108"/>
      <c r="C26" s="44"/>
      <c r="D26" s="44"/>
      <c r="E26" s="44"/>
    </row>
    <row r="27" spans="1:5" ht="13.9">
      <c r="A27" s="49" t="s">
        <v>551</v>
      </c>
      <c r="B27" s="546" t="s">
        <v>551</v>
      </c>
      <c r="C27" s="44"/>
      <c r="D27" s="44"/>
      <c r="E27" s="44"/>
    </row>
    <row r="28" spans="1:5" ht="13.9">
      <c r="A28" s="44" t="s">
        <v>552</v>
      </c>
      <c r="B28" s="545" t="s">
        <v>552</v>
      </c>
      <c r="C28" s="44"/>
      <c r="D28" s="44"/>
    </row>
  </sheetData>
  <sheetProtection algorithmName="SHA-512" hashValue="U4bfvTPOVkwRxt5YRfLiAHbvKG6pP+y0S6TJzdHjpxeCmKumhAQouq3snhNGxULB9vQr+0DsmjnV6R9TAMTEDg==" saltValue="uw3+309baw1n0u6uERz4Fw==" spinCount="100000" sheet="1" objects="1" scenarios="1"/>
  <pageMargins left="0.7" right="0.7" top="0.75" bottom="0.75" header="0.3" footer="0.3"/>
  <pageSetup scale="82"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F5F48-B017-4309-B789-928D4FDC929C}">
  <sheetPr codeName="Sheet12">
    <tabColor theme="5" tint="0.59999389629810485"/>
    <pageSetUpPr fitToPage="1"/>
  </sheetPr>
  <dimension ref="A1:AB90"/>
  <sheetViews>
    <sheetView showGridLines="0" view="pageBreakPreview" topLeftCell="A3" zoomScaleNormal="80" zoomScaleSheetLayoutView="100" workbookViewId="0">
      <selection activeCell="C19" sqref="C19"/>
    </sheetView>
  </sheetViews>
  <sheetFormatPr defaultColWidth="0" defaultRowHeight="13.15" outlineLevelRow="1" outlineLevelCol="1"/>
  <cols>
    <col min="1" max="1" customWidth="true" style="20" width="66.28515625"/>
    <col min="2" max="2" customWidth="true" style="50" width="8.28515625"/>
    <col min="3" max="4" customWidth="true" style="20" width="20.0"/>
    <col min="5" max="5" customWidth="true" style="20" width="2.5703125"/>
    <col min="6" max="6" customWidth="true" style="20" width="4.5703125"/>
    <col min="7" max="7" customWidth="true" hidden="true" style="2" width="6.5703125"/>
    <col min="8" max="8" customWidth="true" hidden="true" style="2" width="5.42578125"/>
    <col min="9" max="9" customWidth="true" hidden="true" style="2" width="11.42578125"/>
    <col min="10" max="10" customWidth="true" hidden="true" style="114" width="10.42578125" outlineLevel="1"/>
    <col min="11" max="11" customWidth="true" hidden="true" style="114" width="12.0" outlineLevel="1"/>
    <col min="12" max="12" customWidth="true" hidden="true" style="20" width="11.5703125" outlineLevel="1"/>
    <col min="13" max="13" customWidth="true" hidden="true" style="20" width="18.5703125" outlineLevel="1"/>
    <col min="14" max="14" customWidth="true" hidden="true" style="20" width="18.42578125" outlineLevel="1"/>
    <col min="15" max="15" customWidth="true" hidden="true" style="20" width="2.42578125" outlineLevel="1"/>
    <col min="16" max="16" customWidth="true" hidden="true" style="20" width="18.42578125" outlineLevel="1"/>
    <col min="17" max="17" customWidth="true" hidden="true" style="20" width="21.42578125" outlineLevel="1"/>
    <col min="18" max="18" customWidth="true" hidden="true" style="20" width="9.42578125" outlineLevel="1"/>
    <col min="19" max="20" customWidth="true" hidden="true" style="20" width="17.42578125" outlineLevel="1"/>
    <col min="21" max="21" customWidth="true" hidden="true" style="20" width="8.42578125" outlineLevel="1"/>
    <col min="22" max="22" customWidth="true" hidden="true" style="20" width="8.42578125" collapsed="true"/>
    <col min="23" max="24" customWidth="true" hidden="true" style="2" width="9.42578125"/>
    <col min="25" max="25" customWidth="true" style="2" width="9.42578125"/>
    <col min="26" max="28" customWidth="true" style="20" width="8.42578125"/>
    <col min="29" max="30" customWidth="true" style="20" width="9.42578125"/>
    <col min="31" max="44" customWidth="true" hidden="true" style="20" width="0.0"/>
    <col min="45" max="16384" hidden="true" style="20" width="0.0"/>
  </cols>
  <sheetData>
    <row r="1" spans="1:28" hidden="1" outlineLevel="1">
      <c r="C1" s="1083" t="str">
        <f>BS!C1</f>
        <v>7756|001|INR|Actual|Standalone</v>
      </c>
      <c r="D1" s="1083" t="str">
        <f>BS!D1</f>
        <v>7756|002|INR|Actual|Standalone</v>
      </c>
      <c r="H1" s="46" t="s">
        <v>492</v>
      </c>
      <c r="I1" s="46"/>
      <c r="J1" s="28" t="s">
        <v>553</v>
      </c>
      <c r="K1" s="28"/>
      <c r="L1" s="112"/>
      <c r="M1" s="113"/>
      <c r="N1" s="113"/>
      <c r="P1" s="1084">
        <f ca="1">P36</f>
        <v>0</v>
      </c>
      <c r="Q1" s="113"/>
      <c r="S1" s="113"/>
      <c r="T1" s="113"/>
      <c r="U1" s="112"/>
      <c r="V1" s="112"/>
      <c r="Z1" s="112"/>
      <c r="AA1" s="112"/>
      <c r="AB1" s="112"/>
    </row>
    <row r="2" spans="1:28" hidden="1" outlineLevel="1">
      <c r="C2" s="113"/>
      <c r="D2" s="113"/>
      <c r="H2" s="27"/>
      <c r="I2" s="27"/>
      <c r="M2" s="113"/>
      <c r="N2" s="113"/>
      <c r="P2" s="113"/>
      <c r="Q2" s="113"/>
      <c r="S2" s="113"/>
      <c r="T2" s="113"/>
    </row>
    <row r="3" spans="1:28" ht="17.45" collapsed="1">
      <c r="A3" s="1085" t="e">
        <f ca="1">Company</f>
        <v>#NAME?</v>
      </c>
      <c r="C3" s="115"/>
      <c r="H3" s="15"/>
      <c r="M3" s="27"/>
      <c r="N3" s="27"/>
      <c r="S3" s="115"/>
    </row>
    <row r="4" spans="1:28" ht="15.6">
      <c r="A4" s="1086" t="e">
        <f ca="1">PL_Name</f>
        <v>#NAME?</v>
      </c>
      <c r="C4" s="115"/>
      <c r="P4" s="115"/>
      <c r="S4" s="115"/>
    </row>
    <row r="5" spans="1:28" ht="15.6">
      <c r="A5" s="116"/>
      <c r="M5" s="1293" t="s">
        <v>497</v>
      </c>
      <c r="N5" s="1294"/>
      <c r="P5" s="1291" t="s">
        <v>498</v>
      </c>
      <c r="Q5" s="1292"/>
      <c r="S5" s="1291" t="s">
        <v>498</v>
      </c>
      <c r="T5" s="1292"/>
    </row>
    <row r="6" spans="1:28">
      <c r="A6" s="21"/>
      <c r="D6" s="1087" t="str">
        <f>+'Master Sheet'!C65</f>
        <v>(Amount in INR)</v>
      </c>
      <c r="N6" s="117"/>
      <c r="Q6" s="117"/>
      <c r="T6" s="117"/>
    </row>
    <row r="7" spans="1:28" ht="42" customHeight="1">
      <c r="A7" s="1254" t="s">
        <v>500</v>
      </c>
      <c r="B7" s="1248" t="s">
        <v>501</v>
      </c>
      <c r="C7" s="1088" t="e">
        <f ca="1">PL_Period_CY</f>
        <v>#NAME?</v>
      </c>
      <c r="D7" s="1089" t="e">
        <f ca="1">PL_Period_PY</f>
        <v>#NAME?</v>
      </c>
      <c r="E7" s="32"/>
      <c r="M7" s="1090" t="str">
        <f>FZ_Reference_Master!$G$15</f>
        <v>2023-24</v>
      </c>
      <c r="N7" s="1091" t="str">
        <f>+FZ_Reference_Master!H15</f>
        <v>2022-23</v>
      </c>
      <c r="P7" s="1090" t="str">
        <f>FZ_Reference_Master!$G$15</f>
        <v>2023-24</v>
      </c>
      <c r="Q7" s="1091" t="str">
        <f>+FZ_Reference_Master!H15</f>
        <v>2022-23</v>
      </c>
      <c r="S7" s="1092" t="str">
        <f>FZ_Reference_Master!$G$15</f>
        <v>2023-24</v>
      </c>
      <c r="T7" s="1093" t="str">
        <f>+FZ_Reference_Master!H15</f>
        <v>2022-23</v>
      </c>
    </row>
    <row r="8" spans="1:28" ht="15" customHeight="1">
      <c r="A8" s="1072" t="str">
        <f>NTA!C112</f>
        <v>INCOME</v>
      </c>
      <c r="B8" s="56"/>
      <c r="C8" s="118"/>
      <c r="D8" s="121"/>
      <c r="E8" s="37"/>
      <c r="M8" s="120"/>
      <c r="N8" s="117"/>
      <c r="P8" s="118"/>
      <c r="Q8" s="121"/>
      <c r="S8" s="118"/>
      <c r="T8" s="119"/>
    </row>
    <row r="9" spans="1:28" ht="15" customHeight="1">
      <c r="A9" s="1095" t="str">
        <f>NTA!C113</f>
        <v>Revenue from Operations</v>
      </c>
      <c r="B9" s="1094">
        <f>NTA!F113</f>
        <v>41</v>
      </c>
      <c r="C9" s="61">
        <f ca="1">'NT PL1'!E12</f>
        <v>0</v>
      </c>
      <c r="D9" s="122">
        <f ca="1">'NT PL1'!F12</f>
        <v>0</v>
      </c>
      <c r="E9" s="123"/>
      <c r="H9" s="1054" t="str">
        <f ca="1">IF(C9=0,IF(D9=0,"##H",""),"")</f>
        <v>##H</v>
      </c>
      <c r="J9" s="114" t="s">
        <v>554</v>
      </c>
      <c r="K9" s="124" t="s">
        <v>50</v>
      </c>
      <c r="M9" s="141">
        <f t="shared" ref="M9:N10" ca="1" si="0">IFERROR(INDEX(INDIRECT(VLOOKUP($K9,Source_Master,2,0),),MATCH(TEXT($J9,0),INDIRECT(VLOOKUP($K9,Source_Master,4,0)),0),MATCH(C$1,INDIRECT(VLOOKUP($K9,Source_Master,3,0),),0)),0)</f>
        <v>0</v>
      </c>
      <c r="N9" s="141">
        <f t="shared" ca="1" si="0"/>
        <v>0</v>
      </c>
      <c r="P9" s="125">
        <f t="shared" ref="P9:Q11" ca="1" si="1">C9-M9</f>
        <v>0</v>
      </c>
      <c r="Q9" s="122">
        <f t="shared" ca="1" si="1"/>
        <v>0</v>
      </c>
      <c r="R9" s="126"/>
      <c r="S9" s="84"/>
      <c r="T9" s="85"/>
    </row>
    <row r="10" spans="1:28" ht="15" customHeight="1">
      <c r="A10" s="1095" t="str">
        <f>NTA!C118</f>
        <v>Other Income</v>
      </c>
      <c r="B10" s="1063">
        <f>NTA!F118</f>
        <v>42</v>
      </c>
      <c r="C10" s="61">
        <f ca="1">+'NT PL1'!E73</f>
        <v>0</v>
      </c>
      <c r="D10" s="62">
        <f ca="1">+'NT PL1'!F73</f>
        <v>0</v>
      </c>
      <c r="E10" s="123"/>
      <c r="H10" s="1054" t="str">
        <f t="shared" ref="H10:H11" ca="1" si="2">IF(C10=0,IF(D10=0,"##H",""),"")</f>
        <v>##H</v>
      </c>
      <c r="J10" s="114" t="s">
        <v>555</v>
      </c>
      <c r="K10" s="124" t="s">
        <v>50</v>
      </c>
      <c r="M10" s="141">
        <f t="shared" ca="1" si="0"/>
        <v>0</v>
      </c>
      <c r="N10" s="141">
        <f t="shared" ca="1" si="0"/>
        <v>0</v>
      </c>
      <c r="P10" s="125">
        <f t="shared" ca="1" si="1"/>
        <v>0</v>
      </c>
      <c r="Q10" s="122">
        <f t="shared" ca="1" si="1"/>
        <v>0</v>
      </c>
      <c r="R10" s="126"/>
      <c r="S10" s="1534">
        <f ca="1">IF(P10=0,0,1)</f>
        <v>0</v>
      </c>
      <c r="T10" s="122">
        <f ca="1">IF(Q10=0,0,1)</f>
        <v>0</v>
      </c>
    </row>
    <row r="11" spans="1:28" ht="15" customHeight="1">
      <c r="A11" s="1071" t="str">
        <f>NTA!C119</f>
        <v>Total Income</v>
      </c>
      <c r="B11" s="56"/>
      <c r="C11" s="69">
        <f ca="1">SUM(C9:C10)</f>
        <v>0</v>
      </c>
      <c r="D11" s="70">
        <f ca="1">SUM(D9:D10)</f>
        <v>0</v>
      </c>
      <c r="H11" s="1054" t="str">
        <f t="shared" ca="1" si="2"/>
        <v>##H</v>
      </c>
      <c r="J11" s="114" t="s">
        <v>556</v>
      </c>
      <c r="K11" s="124" t="s">
        <v>50</v>
      </c>
      <c r="M11" s="69">
        <f ca="1">SUM(M9:M10)</f>
        <v>0</v>
      </c>
      <c r="N11" s="70">
        <f ca="1">SUM(N9:N10)</f>
        <v>0</v>
      </c>
      <c r="P11" s="731">
        <f t="shared" ca="1" si="1"/>
        <v>0</v>
      </c>
      <c r="Q11" s="732">
        <f t="shared" ca="1" si="1"/>
        <v>0</v>
      </c>
      <c r="R11" s="126"/>
      <c r="S11" s="72"/>
      <c r="T11" s="73"/>
    </row>
    <row r="12" spans="1:28" ht="15" customHeight="1">
      <c r="A12" s="1072" t="str">
        <f>NTA!C120</f>
        <v>EXPENSES</v>
      </c>
      <c r="B12" s="56"/>
      <c r="C12" s="74"/>
      <c r="D12" s="75"/>
      <c r="I12" s="124"/>
      <c r="K12" s="124"/>
      <c r="M12" s="355">
        <f t="shared" ref="M12:N22" ca="1" si="3">IFERROR(INDEX(INDIRECT(VLOOKUP($K12,Source_Master,2,0),),MATCH(TEXT($J12,0),INDIRECT(VLOOKUP($K12,Source_Master,4,0)),0),MATCH(C$1,INDIRECT(VLOOKUP($K12,Source_Master,3,0),),0)),0)</f>
        <v>0</v>
      </c>
      <c r="N12" s="355">
        <f t="shared" ca="1" si="3"/>
        <v>0</v>
      </c>
      <c r="P12" s="733">
        <f ca="1">C12-M12</f>
        <v>0</v>
      </c>
      <c r="Q12" s="734">
        <f ca="1">D12-N12</f>
        <v>0</v>
      </c>
      <c r="R12" s="126"/>
      <c r="S12" s="76"/>
      <c r="T12" s="77"/>
    </row>
    <row r="13" spans="1:28" ht="15" customHeight="1">
      <c r="A13" s="1095" t="str">
        <f>NTA!C121</f>
        <v>Cost Of Materials Consumed</v>
      </c>
      <c r="B13" s="1063">
        <f>NTA!F121</f>
        <v>43</v>
      </c>
      <c r="C13" s="61">
        <f ca="1">IFERROR(INDEX(INDIRECT(VLOOKUP($K13,Source_Master,2,0),),MATCH(TEXT($J13,0),INDIRECT(VLOOKUP($K13,Source_Master,4,0)),0),MATCH(C$1,INDIRECT(VLOOKUP($K13,Source_Master,3,0),),0)),0)</f>
        <v>0</v>
      </c>
      <c r="D13" s="62">
        <f ca="1">IFERROR(INDEX(INDIRECT(VLOOKUP($K13,Source_Master,2,0),),MATCH(TEXT($J13,0),INDIRECT(VLOOKUP($K13,Source_Master,4,0)),0),MATCH(D$1,INDIRECT(VLOOKUP($K13,Source_Master,3,0),),0)),0)</f>
        <v>0</v>
      </c>
      <c r="E13" s="123"/>
      <c r="H13" s="1054" t="str">
        <f t="shared" ref="H13:H23" ca="1" si="4">IF(C13=0,IF(D13=0,"##H",""),"")</f>
        <v>##H</v>
      </c>
      <c r="I13" s="124" t="s">
        <v>557</v>
      </c>
      <c r="J13" s="114" t="s">
        <v>558</v>
      </c>
      <c r="K13" s="124" t="s">
        <v>50</v>
      </c>
      <c r="M13" s="127">
        <f t="shared" ca="1" si="3"/>
        <v>0</v>
      </c>
      <c r="N13" s="127">
        <f t="shared" ref="N13:N22" ca="1" si="5">IFERROR(INDEX(INDIRECT(VLOOKUP($K13,Source_Master,2,0),),MATCH(TEXT($J13,0),INDIRECT(VLOOKUP($K13,Source_Master,4,0)),0),MATCH(D$1,INDIRECT(VLOOKUP($K13,Source_Master,3,0),),0)),0)</f>
        <v>0</v>
      </c>
      <c r="P13" s="125">
        <f t="shared" ref="P13:P28" ca="1" si="6">C13-M13</f>
        <v>0</v>
      </c>
      <c r="Q13" s="125">
        <f t="shared" ref="Q13:Q28" ca="1" si="7">D13-N13</f>
        <v>0</v>
      </c>
      <c r="R13" s="126"/>
      <c r="S13" s="125">
        <f t="shared" ref="S13:T19" ca="1" si="8">IF(P13=0,0,1)</f>
        <v>0</v>
      </c>
      <c r="T13" s="122">
        <f t="shared" ca="1" si="8"/>
        <v>0</v>
      </c>
    </row>
    <row r="14" spans="1:28" ht="15" hidden="1" customHeight="1">
      <c r="A14" s="1095" t="str">
        <f>NTA!C122</f>
        <v>Purchases of stock-in-trade</v>
      </c>
      <c r="B14" s="1063">
        <f>NTA!F122</f>
        <v>44</v>
      </c>
      <c r="C14" s="61">
        <f ca="1">'NT PL1'!E89*0</f>
        <v>0</v>
      </c>
      <c r="D14" s="62">
        <f ca="1">'NT PL1'!F89*0</f>
        <v>0</v>
      </c>
      <c r="E14" s="123"/>
      <c r="H14" s="1054" t="str">
        <f t="shared" ca="1" si="4"/>
        <v>##H</v>
      </c>
      <c r="K14" s="124"/>
      <c r="M14" s="127">
        <f t="shared" ca="1" si="3"/>
        <v>0</v>
      </c>
      <c r="N14" s="127">
        <f t="shared" ca="1" si="5"/>
        <v>0</v>
      </c>
      <c r="P14" s="125">
        <f t="shared" ca="1" si="6"/>
        <v>0</v>
      </c>
      <c r="Q14" s="125">
        <f t="shared" ca="1" si="7"/>
        <v>0</v>
      </c>
      <c r="R14" s="126"/>
      <c r="S14" s="724"/>
      <c r="T14" s="174"/>
    </row>
    <row r="15" spans="1:28" ht="26.45" hidden="1">
      <c r="A15" s="1096" t="str">
        <f>NTA!C123</f>
        <v>Changes In Inventories Of Finished Goods,Stock-In-Trade And Work-In-Progress</v>
      </c>
      <c r="B15" s="1063">
        <f>NTA!F123</f>
        <v>45</v>
      </c>
      <c r="C15" s="61">
        <f ca="1">'NT PL1'!E106*0</f>
        <v>0</v>
      </c>
      <c r="D15" s="62">
        <f ca="1">'NT PL1'!F106*0</f>
        <v>0</v>
      </c>
      <c r="E15" s="123"/>
      <c r="H15" s="1054" t="str">
        <f t="shared" ca="1" si="4"/>
        <v>##H</v>
      </c>
      <c r="K15" s="124"/>
      <c r="M15" s="127">
        <f t="shared" ca="1" si="3"/>
        <v>0</v>
      </c>
      <c r="N15" s="127">
        <f t="shared" ca="1" si="5"/>
        <v>0</v>
      </c>
      <c r="P15" s="125">
        <f t="shared" ca="1" si="6"/>
        <v>0</v>
      </c>
      <c r="Q15" s="125">
        <f t="shared" ca="1" si="7"/>
        <v>0</v>
      </c>
      <c r="R15" s="126"/>
      <c r="S15" s="724"/>
      <c r="T15" s="174"/>
    </row>
    <row r="16" spans="1:28" ht="15" customHeight="1">
      <c r="A16" s="1095" t="str">
        <f>NTA!C125</f>
        <v>Employee Benefits Expense</v>
      </c>
      <c r="B16" s="1063">
        <f>NTA!F125</f>
        <v>47</v>
      </c>
      <c r="C16" s="61">
        <f ca="1">+'NT PL1'!E126</f>
        <v>0</v>
      </c>
      <c r="D16" s="62">
        <f ca="1">+'NT PL1'!F126</f>
        <v>0</v>
      </c>
      <c r="H16" s="1054" t="str">
        <f t="shared" ca="1" si="4"/>
        <v>##H</v>
      </c>
      <c r="J16" s="114" t="s">
        <v>559</v>
      </c>
      <c r="K16" s="124" t="s">
        <v>50</v>
      </c>
      <c r="M16" s="127">
        <f t="shared" ca="1" si="3"/>
        <v>0</v>
      </c>
      <c r="N16" s="127">
        <f t="shared" ca="1" si="5"/>
        <v>0</v>
      </c>
      <c r="P16" s="125">
        <f t="shared" ca="1" si="6"/>
        <v>0</v>
      </c>
      <c r="Q16" s="125">
        <f t="shared" ca="1" si="7"/>
        <v>0</v>
      </c>
      <c r="R16" s="126"/>
      <c r="S16" s="125">
        <f t="shared" ca="1" si="8"/>
        <v>0</v>
      </c>
      <c r="T16" s="122">
        <f t="shared" ca="1" si="8"/>
        <v>0</v>
      </c>
    </row>
    <row r="17" spans="1:28" ht="15" customHeight="1">
      <c r="A17" s="1095" t="str">
        <f>NTA!C126</f>
        <v>Finance Costs</v>
      </c>
      <c r="B17" s="1063">
        <f>NTA!F126</f>
        <v>48</v>
      </c>
      <c r="C17" s="61">
        <f ca="1">'NT PL1'!E139</f>
        <v>0</v>
      </c>
      <c r="D17" s="62">
        <f ca="1">'NT PL1'!F139</f>
        <v>0</v>
      </c>
      <c r="H17" s="1054" t="str">
        <f t="shared" ca="1" si="4"/>
        <v>##H</v>
      </c>
      <c r="J17" s="114" t="s">
        <v>560</v>
      </c>
      <c r="K17" s="124" t="s">
        <v>50</v>
      </c>
      <c r="M17" s="127">
        <f t="shared" ca="1" si="3"/>
        <v>0</v>
      </c>
      <c r="N17" s="127">
        <f t="shared" ca="1" si="5"/>
        <v>0</v>
      </c>
      <c r="P17" s="125">
        <f t="shared" ca="1" si="6"/>
        <v>0</v>
      </c>
      <c r="Q17" s="125">
        <f t="shared" ca="1" si="7"/>
        <v>0</v>
      </c>
      <c r="R17" s="126"/>
      <c r="S17" s="125">
        <f t="shared" ca="1" si="8"/>
        <v>0</v>
      </c>
      <c r="T17" s="122">
        <f t="shared" ca="1" si="8"/>
        <v>0</v>
      </c>
    </row>
    <row r="18" spans="1:28" ht="15" customHeight="1">
      <c r="A18" s="1095" t="str">
        <f>NTA!C127</f>
        <v>Depreciation And Amortisation Expenses</v>
      </c>
      <c r="B18" s="1063">
        <f>NTA!F127</f>
        <v>49</v>
      </c>
      <c r="C18" s="129">
        <f ca="1">'NT PL1'!E146</f>
        <v>0</v>
      </c>
      <c r="D18" s="62">
        <f ca="1">'NT PL1'!F146</f>
        <v>0</v>
      </c>
      <c r="H18" s="1054" t="str">
        <f t="shared" ca="1" si="4"/>
        <v>##H</v>
      </c>
      <c r="J18" s="114" t="s">
        <v>561</v>
      </c>
      <c r="K18" s="124" t="s">
        <v>50</v>
      </c>
      <c r="M18" s="127">
        <f t="shared" ca="1" si="3"/>
        <v>0</v>
      </c>
      <c r="N18" s="127">
        <f t="shared" ca="1" si="5"/>
        <v>0</v>
      </c>
      <c r="P18" s="125">
        <f t="shared" ca="1" si="6"/>
        <v>0</v>
      </c>
      <c r="Q18" s="125">
        <f t="shared" ca="1" si="7"/>
        <v>0</v>
      </c>
      <c r="R18" s="126"/>
      <c r="S18" s="125">
        <f t="shared" ca="1" si="8"/>
        <v>0</v>
      </c>
      <c r="T18" s="122">
        <f t="shared" ca="1" si="8"/>
        <v>0</v>
      </c>
    </row>
    <row r="19" spans="1:28" ht="15" customHeight="1">
      <c r="A19" s="1095" t="str">
        <f>NTA!C128</f>
        <v>Other Expenses</v>
      </c>
      <c r="B19" s="1063">
        <f>NTA!F128</f>
        <v>50</v>
      </c>
      <c r="C19" s="61">
        <f ca="1">'NT PL1'!E184</f>
        <v>0</v>
      </c>
      <c r="D19" s="62">
        <f ca="1">'NT PL1'!F184</f>
        <v>0</v>
      </c>
      <c r="H19" s="1054" t="str">
        <f t="shared" ca="1" si="4"/>
        <v>##H</v>
      </c>
      <c r="J19" s="114" t="s">
        <v>562</v>
      </c>
      <c r="K19" s="124" t="s">
        <v>50</v>
      </c>
      <c r="M19" s="127">
        <f t="shared" ca="1" si="3"/>
        <v>0</v>
      </c>
      <c r="N19" s="127">
        <f t="shared" ca="1" si="5"/>
        <v>0</v>
      </c>
      <c r="P19" s="125">
        <f t="shared" ca="1" si="6"/>
        <v>0</v>
      </c>
      <c r="Q19" s="125">
        <f t="shared" ca="1" si="7"/>
        <v>0</v>
      </c>
      <c r="R19" s="126"/>
      <c r="S19" s="125">
        <f t="shared" ca="1" si="8"/>
        <v>0</v>
      </c>
      <c r="T19" s="122">
        <f t="shared" ca="1" si="8"/>
        <v>0</v>
      </c>
    </row>
    <row r="20" spans="1:28" ht="15" customHeight="1">
      <c r="A20" s="81" t="s">
        <v>396</v>
      </c>
      <c r="B20" s="56"/>
      <c r="C20" s="69">
        <f ca="1">SUM(C13:C19)</f>
        <v>0</v>
      </c>
      <c r="D20" s="70">
        <f ca="1">SUM(D13:D19)</f>
        <v>0</v>
      </c>
      <c r="H20" s="1054" t="str">
        <f t="shared" ca="1" si="4"/>
        <v>##H</v>
      </c>
      <c r="J20" s="114" t="s">
        <v>563</v>
      </c>
      <c r="K20" s="124" t="s">
        <v>50</v>
      </c>
      <c r="M20" s="69">
        <f ca="1">SUM(M12:M19)</f>
        <v>0</v>
      </c>
      <c r="N20" s="70">
        <f ca="1">SUM(N12:N19)</f>
        <v>0</v>
      </c>
      <c r="P20" s="731">
        <f t="shared" ca="1" si="6"/>
        <v>0</v>
      </c>
      <c r="Q20" s="732">
        <f t="shared" ca="1" si="7"/>
        <v>0</v>
      </c>
      <c r="R20" s="126"/>
      <c r="S20" s="72"/>
      <c r="T20" s="73"/>
    </row>
    <row r="21" spans="1:28" ht="15" customHeight="1">
      <c r="A21" s="1071" t="str">
        <f>NTA!C132</f>
        <v>Profit/ (Loss) Before Exceptional Items</v>
      </c>
      <c r="B21" s="264"/>
      <c r="C21" s="130">
        <f ca="1">C11-C20</f>
        <v>0</v>
      </c>
      <c r="D21" s="131">
        <f ca="1">D11-D20</f>
        <v>0</v>
      </c>
      <c r="H21" s="1054" t="str">
        <f t="shared" ca="1" si="4"/>
        <v>##H</v>
      </c>
      <c r="K21" s="124" t="s">
        <v>50</v>
      </c>
      <c r="L21" s="1245"/>
      <c r="M21" s="127">
        <f ca="1">M11-M20</f>
        <v>0</v>
      </c>
      <c r="N21" s="127">
        <f ca="1">N11-N20</f>
        <v>0</v>
      </c>
      <c r="P21" s="125">
        <f t="shared" ca="1" si="6"/>
        <v>0</v>
      </c>
      <c r="Q21" s="125">
        <f t="shared" ca="1" si="7"/>
        <v>0</v>
      </c>
      <c r="R21" s="126"/>
      <c r="S21" s="125">
        <f t="shared" ref="S21:T23" ca="1" si="9">IF(P21=0,0,1)</f>
        <v>0</v>
      </c>
      <c r="T21" s="122">
        <f t="shared" ca="1" si="9"/>
        <v>0</v>
      </c>
      <c r="U21" s="1245"/>
      <c r="V21" s="1245"/>
      <c r="AA21" s="1245"/>
      <c r="AB21" s="1245"/>
    </row>
    <row r="22" spans="1:28" ht="15" hidden="1" customHeight="1">
      <c r="A22" s="1097" t="str">
        <f>NTA!C133</f>
        <v>Exceptional Items</v>
      </c>
      <c r="B22" s="1063">
        <f>NTA!F133</f>
        <v>50.2</v>
      </c>
      <c r="C22" s="78">
        <v>0</v>
      </c>
      <c r="D22" s="79">
        <v>0</v>
      </c>
      <c r="H22" s="1054" t="str">
        <f t="shared" si="4"/>
        <v>##H</v>
      </c>
      <c r="K22" s="124" t="s">
        <v>50</v>
      </c>
      <c r="L22" s="1245"/>
      <c r="M22" s="127">
        <f t="shared" ca="1" si="3"/>
        <v>0</v>
      </c>
      <c r="N22" s="127">
        <f t="shared" ca="1" si="5"/>
        <v>0</v>
      </c>
      <c r="P22" s="125">
        <f t="shared" ca="1" si="6"/>
        <v>0</v>
      </c>
      <c r="Q22" s="125">
        <f t="shared" ca="1" si="7"/>
        <v>0</v>
      </c>
      <c r="R22" s="126"/>
      <c r="S22" s="125">
        <f t="shared" ca="1" si="9"/>
        <v>0</v>
      </c>
      <c r="T22" s="122">
        <f t="shared" ca="1" si="9"/>
        <v>0</v>
      </c>
      <c r="U22" s="1245"/>
      <c r="V22" s="1245"/>
      <c r="AA22" s="1245"/>
      <c r="AB22" s="1245"/>
    </row>
    <row r="23" spans="1:28" ht="15" customHeight="1">
      <c r="A23" s="1071" t="str">
        <f>NTA!C137</f>
        <v>Profit/ (Loss) Before Tax</v>
      </c>
      <c r="B23" s="56"/>
      <c r="C23" s="133">
        <f ca="1">C21-C22</f>
        <v>0</v>
      </c>
      <c r="D23" s="134">
        <f ca="1">D21-D22</f>
        <v>0</v>
      </c>
      <c r="H23" s="1054" t="str">
        <f t="shared" ca="1" si="4"/>
        <v>##H</v>
      </c>
      <c r="K23" s="124" t="s">
        <v>50</v>
      </c>
      <c r="M23" s="127">
        <f ca="1">M21-M22</f>
        <v>0</v>
      </c>
      <c r="N23" s="127">
        <f ca="1">N21-N22</f>
        <v>0</v>
      </c>
      <c r="P23" s="125">
        <f t="shared" ca="1" si="6"/>
        <v>0</v>
      </c>
      <c r="Q23" s="125">
        <f t="shared" ca="1" si="7"/>
        <v>0</v>
      </c>
      <c r="R23" s="126"/>
      <c r="S23" s="135">
        <f t="shared" ca="1" si="9"/>
        <v>0</v>
      </c>
      <c r="T23" s="136">
        <f t="shared" ca="1" si="9"/>
        <v>0</v>
      </c>
    </row>
    <row r="24" spans="1:28" ht="15" customHeight="1">
      <c r="A24" s="1072" t="str">
        <f>NTA!C138</f>
        <v>TAX EXPENSE</v>
      </c>
      <c r="B24" s="56"/>
      <c r="C24" s="86"/>
      <c r="D24" s="79"/>
      <c r="K24" s="124"/>
      <c r="M24" s="725"/>
      <c r="N24" s="725"/>
      <c r="P24" s="125">
        <f t="shared" si="6"/>
        <v>0</v>
      </c>
      <c r="Q24" s="125">
        <f t="shared" si="7"/>
        <v>0</v>
      </c>
      <c r="R24" s="126"/>
      <c r="S24" s="87"/>
      <c r="T24" s="88"/>
    </row>
    <row r="25" spans="1:28" ht="15" customHeight="1">
      <c r="A25" s="1097" t="str">
        <f>NTA!C139</f>
        <v>Current Tax</v>
      </c>
      <c r="B25" s="1063">
        <f>NTA!F139</f>
        <v>50.500000000000007</v>
      </c>
      <c r="C25" s="61">
        <f ca="1">'NT BS1'!H49</f>
        <v>0</v>
      </c>
      <c r="D25" s="122">
        <f ca="1">'NT BS1'!J49</f>
        <v>0</v>
      </c>
      <c r="H25" s="1054" t="str">
        <f t="shared" ref="H25:H28" ca="1" si="10">IF(C25=0,IF(D25=0,"##H",""),"")</f>
        <v>##H</v>
      </c>
      <c r="J25" s="114" t="s">
        <v>564</v>
      </c>
      <c r="K25" s="124" t="s">
        <v>50</v>
      </c>
      <c r="L25" s="1245"/>
      <c r="M25" s="127">
        <f t="shared" ref="M25:N27" ca="1" si="11">IFERROR(INDEX(INDIRECT(VLOOKUP($K25,Source_Master,2,0),),MATCH(TEXT($J25,0),INDIRECT(VLOOKUP($K25,Source_Master,4,0)),0),MATCH(C$1,INDIRECT(VLOOKUP($K25,Source_Master,3,0),),0)),0)</f>
        <v>0</v>
      </c>
      <c r="N25" s="127">
        <f t="shared" ca="1" si="11"/>
        <v>0</v>
      </c>
      <c r="P25" s="125">
        <f t="shared" ca="1" si="6"/>
        <v>0</v>
      </c>
      <c r="Q25" s="125">
        <f t="shared" ca="1" si="7"/>
        <v>0</v>
      </c>
      <c r="R25" s="126"/>
      <c r="S25" s="125">
        <f t="shared" ref="S25:T27" ca="1" si="12">IF(P25=0,0,1)</f>
        <v>0</v>
      </c>
      <c r="T25" s="122">
        <f t="shared" ca="1" si="12"/>
        <v>0</v>
      </c>
      <c r="U25" s="1245"/>
      <c r="V25" s="1245"/>
      <c r="AA25" s="1245"/>
      <c r="AB25" s="1245"/>
    </row>
    <row r="26" spans="1:28" ht="15" customHeight="1">
      <c r="A26" s="1097" t="str">
        <f>NTA!C140</f>
        <v>Deferred Tax</v>
      </c>
      <c r="B26" s="1063">
        <f>NTA!F140</f>
        <v>50.600000000000009</v>
      </c>
      <c r="C26" s="138">
        <f ca="1">'NT BS1'!H52</f>
        <v>0</v>
      </c>
      <c r="D26" s="139">
        <f ca="1">'NT BS1'!J52</f>
        <v>0</v>
      </c>
      <c r="H26" s="1054" t="str">
        <f t="shared" ca="1" si="10"/>
        <v>##H</v>
      </c>
      <c r="J26" s="114" t="s">
        <v>565</v>
      </c>
      <c r="K26" s="124" t="s">
        <v>50</v>
      </c>
      <c r="L26" s="1245"/>
      <c r="M26" s="127">
        <f t="shared" ca="1" si="11"/>
        <v>0</v>
      </c>
      <c r="N26" s="127">
        <f t="shared" ca="1" si="11"/>
        <v>0</v>
      </c>
      <c r="P26" s="125">
        <f t="shared" ca="1" si="6"/>
        <v>0</v>
      </c>
      <c r="Q26" s="125">
        <f t="shared" ca="1" si="7"/>
        <v>0</v>
      </c>
      <c r="R26" s="126"/>
      <c r="S26" s="125">
        <f t="shared" ca="1" si="12"/>
        <v>0</v>
      </c>
      <c r="T26" s="122">
        <f t="shared" ca="1" si="12"/>
        <v>0</v>
      </c>
      <c r="U26" s="1245"/>
      <c r="V26" s="1245"/>
      <c r="AA26" s="1245"/>
      <c r="AB26" s="1245"/>
    </row>
    <row r="27" spans="1:28" ht="15" customHeight="1">
      <c r="A27" s="1071" t="str">
        <f>NTA!C141</f>
        <v>Total Tax Expenses</v>
      </c>
      <c r="B27" s="56"/>
      <c r="C27" s="1552">
        <f ca="1">SUM(C25:C26)</f>
        <v>0</v>
      </c>
      <c r="D27" s="1553">
        <f ca="1">SUM(D25:D26)</f>
        <v>0</v>
      </c>
      <c r="H27" s="1054" t="str">
        <f t="shared" ca="1" si="10"/>
        <v>##H</v>
      </c>
      <c r="J27" s="114" t="s">
        <v>566</v>
      </c>
      <c r="K27" s="124" t="s">
        <v>50</v>
      </c>
      <c r="L27" s="1245"/>
      <c r="M27" s="127">
        <f t="shared" ca="1" si="11"/>
        <v>0</v>
      </c>
      <c r="N27" s="127">
        <f t="shared" ca="1" si="11"/>
        <v>0</v>
      </c>
      <c r="P27" s="125">
        <f t="shared" ca="1" si="6"/>
        <v>0</v>
      </c>
      <c r="Q27" s="125">
        <f t="shared" ca="1" si="7"/>
        <v>0</v>
      </c>
      <c r="R27" s="126"/>
      <c r="S27" s="1554">
        <f t="shared" ca="1" si="12"/>
        <v>0</v>
      </c>
      <c r="T27" s="1555">
        <f t="shared" ca="1" si="12"/>
        <v>0</v>
      </c>
      <c r="U27" s="1245"/>
      <c r="V27" s="1245"/>
      <c r="Z27" s="1245"/>
      <c r="AA27" s="1245"/>
      <c r="AB27" s="1245"/>
    </row>
    <row r="28" spans="1:28" ht="15" customHeight="1">
      <c r="A28" s="1071" t="str">
        <f>NTA!C142</f>
        <v>Profit/ (Loss) for the year</v>
      </c>
      <c r="B28" s="56"/>
      <c r="C28" s="69">
        <f ca="1">C23-C27</f>
        <v>0</v>
      </c>
      <c r="D28" s="70">
        <f ca="1">D23-D27</f>
        <v>0</v>
      </c>
      <c r="H28" s="1054" t="str">
        <f t="shared" ca="1" si="10"/>
        <v>##H</v>
      </c>
      <c r="K28" s="124" t="s">
        <v>50</v>
      </c>
      <c r="M28" s="69">
        <f ca="1">M23-M27</f>
        <v>0</v>
      </c>
      <c r="N28" s="70">
        <f ca="1">N23-N27</f>
        <v>0</v>
      </c>
      <c r="P28" s="731">
        <f t="shared" ca="1" si="6"/>
        <v>0</v>
      </c>
      <c r="Q28" s="732">
        <f t="shared" ca="1" si="7"/>
        <v>0</v>
      </c>
      <c r="R28" s="126"/>
      <c r="S28" s="72"/>
      <c r="T28" s="73"/>
    </row>
    <row r="29" spans="1:28" ht="15" customHeight="1">
      <c r="A29" s="1071" t="str">
        <f>NTA!C143</f>
        <v>OTHER COMPREHENSIVE INCOME</v>
      </c>
      <c r="C29" s="74"/>
      <c r="D29" s="75"/>
      <c r="E29" s="123"/>
      <c r="K29" s="124"/>
      <c r="M29" s="120"/>
      <c r="N29" s="121"/>
      <c r="P29" s="76"/>
      <c r="Q29" s="77"/>
      <c r="R29" s="126"/>
      <c r="S29" s="76"/>
      <c r="T29" s="77"/>
    </row>
    <row r="30" spans="1:28" ht="15" hidden="1" customHeight="1">
      <c r="A30" s="1065" t="str">
        <f>NTA!C144</f>
        <v>Items that will not be reclassified to Profit or Loss</v>
      </c>
      <c r="B30" s="1063">
        <f>NTA!F144</f>
        <v>50.600000000000009</v>
      </c>
      <c r="C30" s="61">
        <f t="shared" ref="C30:D32" ca="1" si="13">IFERROR(INDEX(INDIRECT(VLOOKUP($K30,Source_Master,2,0),),MATCH(TEXT($J30,0),INDIRECT(VLOOKUP($K30,Source_Master,4,0)),0),MATCH(C$1,INDIRECT(VLOOKUP($K30,Source_Master,3,0),),0)),0)</f>
        <v>0</v>
      </c>
      <c r="D30" s="62">
        <f t="shared" ca="1" si="13"/>
        <v>0</v>
      </c>
      <c r="H30" s="1054" t="str">
        <f t="shared" ref="H30:H36" ca="1" si="14">IF(C30=0,IF(D30=0,"##H",""),"")</f>
        <v>##H</v>
      </c>
      <c r="K30" s="124" t="s">
        <v>50</v>
      </c>
      <c r="M30" s="127">
        <f t="shared" ref="M30:N32" ca="1" si="15">IFERROR(INDEX(INDIRECT(VLOOKUP($K30,Source_Master,2,0),),MATCH(TEXT($J30,0),INDIRECT(VLOOKUP($K30,Source_Master,4,0)),0),MATCH(C$1,INDIRECT(VLOOKUP($K30,Source_Master,3,0),),0)),0)</f>
        <v>0</v>
      </c>
      <c r="N30" s="127">
        <f t="shared" ca="1" si="15"/>
        <v>0</v>
      </c>
      <c r="P30" s="125">
        <f t="shared" ref="P30:Q36" ca="1" si="16">C30-M30</f>
        <v>0</v>
      </c>
      <c r="Q30" s="125">
        <f t="shared" ca="1" si="16"/>
        <v>0</v>
      </c>
      <c r="R30" s="126"/>
      <c r="S30" s="125">
        <f ca="1">IF(P30=0,0,1)</f>
        <v>0</v>
      </c>
      <c r="T30" s="122">
        <f ca="1">IF(Q30=0,0,1)</f>
        <v>0</v>
      </c>
    </row>
    <row r="31" spans="1:28" ht="15" customHeight="1">
      <c r="A31" s="1070" t="str">
        <f>NTA!C145</f>
        <v>Remeasurements of the defined benefit liabilities / (asset)</v>
      </c>
      <c r="B31" s="56"/>
      <c r="C31" s="61">
        <f t="shared" ca="1" si="13"/>
        <v>0</v>
      </c>
      <c r="D31" s="62">
        <f t="shared" ca="1" si="13"/>
        <v>0</v>
      </c>
      <c r="H31" s="1054" t="str">
        <f t="shared" ca="1" si="14"/>
        <v>##H</v>
      </c>
      <c r="I31" s="15" t="s">
        <v>75</v>
      </c>
      <c r="J31" s="114" t="s">
        <v>567</v>
      </c>
      <c r="K31" s="124" t="s">
        <v>50</v>
      </c>
      <c r="M31" s="725"/>
      <c r="N31" s="725"/>
      <c r="P31" s="724"/>
      <c r="Q31" s="724"/>
      <c r="R31" s="126"/>
      <c r="S31" s="1556"/>
      <c r="T31" s="1557"/>
    </row>
    <row r="32" spans="1:28">
      <c r="A32" s="1070" t="str">
        <f>NTA!C146</f>
        <v>Income tax relating to items that will not be reclassified to Profit or Loss</v>
      </c>
      <c r="B32" s="1063">
        <f>NTA!F146</f>
        <v>50.600000000000009</v>
      </c>
      <c r="C32" s="61">
        <f t="shared" ca="1" si="13"/>
        <v>0</v>
      </c>
      <c r="D32" s="62">
        <f t="shared" ca="1" si="13"/>
        <v>0</v>
      </c>
      <c r="H32" s="1054" t="str">
        <f t="shared" ca="1" si="14"/>
        <v>##H</v>
      </c>
      <c r="I32" s="15" t="s">
        <v>75</v>
      </c>
      <c r="J32" s="114" t="s">
        <v>568</v>
      </c>
      <c r="K32" s="124" t="s">
        <v>50</v>
      </c>
      <c r="M32" s="127">
        <f t="shared" ca="1" si="15"/>
        <v>0</v>
      </c>
      <c r="N32" s="127">
        <f t="shared" ca="1" si="15"/>
        <v>0</v>
      </c>
      <c r="P32" s="125">
        <f t="shared" ca="1" si="16"/>
        <v>0</v>
      </c>
      <c r="Q32" s="125">
        <f t="shared" ca="1" si="16"/>
        <v>0</v>
      </c>
      <c r="R32" s="126"/>
      <c r="S32" s="1539"/>
      <c r="T32" s="1540"/>
      <c r="W32" s="20"/>
      <c r="X32" s="20"/>
      <c r="Y32" s="20"/>
    </row>
    <row r="33" spans="1:25">
      <c r="A33" s="1065" t="str">
        <f>NTA!C147</f>
        <v>Items that will be reclassified to Profit or Loss</v>
      </c>
      <c r="B33" s="56"/>
      <c r="C33" s="78"/>
      <c r="D33" s="79"/>
      <c r="H33" s="20"/>
      <c r="K33" s="124"/>
      <c r="M33" s="1558"/>
      <c r="N33" s="1558"/>
      <c r="P33" s="1556"/>
      <c r="Q33" s="1556"/>
      <c r="R33" s="126"/>
      <c r="S33" s="1539"/>
      <c r="T33" s="1540"/>
      <c r="W33" s="20"/>
      <c r="X33" s="20"/>
      <c r="Y33" s="20"/>
    </row>
    <row r="34" spans="1:25">
      <c r="A34" s="1070" t="str">
        <f>NTA!C148</f>
        <v>Exchange Difference on Translation of Foreign Subsidiary</v>
      </c>
      <c r="B34" s="1063">
        <f>NTA!F148</f>
        <v>50.600000000000009</v>
      </c>
      <c r="C34" s="61">
        <f ca="1">IFERROR(INDEX(INDIRECT(VLOOKUP($K34,Source_Master,2,0),),MATCH(TEXT($J34,0),INDIRECT(VLOOKUP($K34,Source_Master,4,0)),0),MATCH(C$1,INDIRECT(VLOOKUP($K34,Source_Master,3,0),),0)),0)</f>
        <v>0</v>
      </c>
      <c r="D34" s="62">
        <f ca="1">IFERROR(INDEX(INDIRECT(VLOOKUP(#REF!,Source_Master,2,0),),MATCH(TEXT($J34,0),INDIRECT(VLOOKUP(#REF!,Source_Master,4,0)),0),MATCH(D$1,INDIRECT(VLOOKUP(#REF!,Source_Master,3,0),),0)),0)</f>
        <v>0</v>
      </c>
      <c r="H34" s="20"/>
      <c r="I34" s="15" t="s">
        <v>75</v>
      </c>
      <c r="J34" s="114" t="s">
        <v>569</v>
      </c>
      <c r="K34" s="124" t="s">
        <v>50</v>
      </c>
      <c r="M34" s="1558"/>
      <c r="N34" s="1558"/>
      <c r="P34" s="1556"/>
      <c r="Q34" s="1556"/>
      <c r="R34" s="126"/>
      <c r="S34" s="1539"/>
      <c r="T34" s="1540"/>
      <c r="W34" s="20"/>
      <c r="X34" s="20"/>
      <c r="Y34" s="20"/>
    </row>
    <row r="35" spans="1:25" ht="15" customHeight="1">
      <c r="A35" s="1071" t="str">
        <f>NTA!C149</f>
        <v>Total Other Comprehensive Income</v>
      </c>
      <c r="B35" s="56"/>
      <c r="C35" s="69">
        <f ca="1">SUM(C30:C34)</f>
        <v>0</v>
      </c>
      <c r="D35" s="70">
        <f ca="1">SUM(D30:D34)</f>
        <v>0</v>
      </c>
      <c r="H35" s="1054" t="str">
        <f t="shared" ca="1" si="14"/>
        <v>##H</v>
      </c>
      <c r="K35" s="124" t="s">
        <v>50</v>
      </c>
      <c r="M35" s="583">
        <f ca="1">SUM(M30:M32)</f>
        <v>0</v>
      </c>
      <c r="N35" s="583">
        <f ca="1">SUM(N30:N32)</f>
        <v>0</v>
      </c>
      <c r="P35" s="731">
        <f t="shared" ca="1" si="16"/>
        <v>0</v>
      </c>
      <c r="Q35" s="732">
        <f t="shared" ca="1" si="16"/>
        <v>0</v>
      </c>
      <c r="R35" s="126"/>
      <c r="S35" s="72"/>
      <c r="T35" s="73"/>
      <c r="W35" s="20"/>
      <c r="X35" s="20"/>
      <c r="Y35" s="20"/>
    </row>
    <row r="36" spans="1:25" ht="15" customHeight="1">
      <c r="A36" s="1071" t="str">
        <f>NTA!C150</f>
        <v>Total Comprehensive Income for the year</v>
      </c>
      <c r="B36" s="56"/>
      <c r="C36" s="69">
        <f ca="1">C28+C35</f>
        <v>0</v>
      </c>
      <c r="D36" s="70">
        <f ca="1">D28+D35</f>
        <v>0</v>
      </c>
      <c r="G36" s="140"/>
      <c r="H36" s="1054" t="str">
        <f t="shared" ca="1" si="14"/>
        <v>##H</v>
      </c>
      <c r="K36" s="124" t="s">
        <v>50</v>
      </c>
      <c r="M36" s="583">
        <f ca="1">M28+M35</f>
        <v>0</v>
      </c>
      <c r="N36" s="583">
        <f ca="1">N28+N35</f>
        <v>0</v>
      </c>
      <c r="P36" s="731">
        <f t="shared" ca="1" si="16"/>
        <v>0</v>
      </c>
      <c r="Q36" s="732">
        <f t="shared" ca="1" si="16"/>
        <v>0</v>
      </c>
      <c r="R36" s="126"/>
      <c r="S36" s="72"/>
      <c r="T36" s="73"/>
      <c r="W36" s="20"/>
      <c r="X36" s="20"/>
      <c r="Y36" s="20"/>
    </row>
    <row r="37" spans="1:25" ht="8.1" customHeight="1">
      <c r="A37" s="651"/>
      <c r="B37" s="728"/>
      <c r="C37" s="1559"/>
      <c r="D37" s="1560"/>
      <c r="G37" s="140"/>
      <c r="H37" s="20"/>
      <c r="K37" s="124"/>
      <c r="M37" s="1561"/>
      <c r="N37" s="1561"/>
      <c r="P37" s="1562"/>
      <c r="Q37" s="1563"/>
      <c r="R37" s="126"/>
      <c r="S37" s="1562"/>
      <c r="T37" s="1563"/>
      <c r="W37" s="20"/>
      <c r="X37" s="20"/>
      <c r="Y37" s="20"/>
    </row>
    <row r="38" spans="1:25" ht="15" customHeight="1">
      <c r="A38" s="1098" t="str">
        <f>NTA!C151</f>
        <v>Profit  for the year attributable to:</v>
      </c>
      <c r="B38" s="729"/>
      <c r="C38" s="726"/>
      <c r="D38" s="727"/>
      <c r="G38" s="140"/>
      <c r="H38" s="20"/>
      <c r="K38" s="124"/>
      <c r="M38" s="1561"/>
      <c r="N38" s="1561"/>
      <c r="P38" s="1562"/>
      <c r="Q38" s="1563"/>
      <c r="R38" s="126"/>
      <c r="S38" s="1562"/>
      <c r="T38" s="1563"/>
      <c r="W38" s="20"/>
      <c r="X38" s="20"/>
      <c r="Y38" s="20"/>
    </row>
    <row r="39" spans="1:25" ht="15" customHeight="1">
      <c r="A39" s="1099" t="str">
        <f>NTA!C152</f>
        <v>Owners of the Company</v>
      </c>
      <c r="B39" s="56"/>
      <c r="C39" s="61">
        <f ca="1">IFERROR(INDEX(INDIRECT(VLOOKUP($K39,Source_Master,2,0),),MATCH(TEXT($J39,0),INDIRECT(VLOOKUP($K39,Source_Master,4,0)),0),MATCH(C$1,INDIRECT(VLOOKUP($K39,Source_Master,3,0),),0)),0)</f>
        <v>0</v>
      </c>
      <c r="D39" s="62">
        <f ca="1">IFERROR(INDEX(INDIRECT(VLOOKUP($K39,Source_Master,2,0),),MATCH(TEXT($J39,0),INDIRECT(VLOOKUP($K39,Source_Master,4,0)),0),MATCH(D$1,INDIRECT(VLOOKUP($K39,Source_Master,3,0),),0)),0)</f>
        <v>0</v>
      </c>
      <c r="G39" s="140"/>
      <c r="H39" s="20"/>
      <c r="K39" s="124" t="s">
        <v>6</v>
      </c>
      <c r="M39" s="1561"/>
      <c r="N39" s="1561"/>
      <c r="P39" s="1562"/>
      <c r="Q39" s="1563"/>
      <c r="R39" s="126"/>
      <c r="S39" s="1562"/>
      <c r="T39" s="1563"/>
      <c r="W39" s="20"/>
      <c r="X39" s="20"/>
      <c r="Y39" s="20"/>
    </row>
    <row r="40" spans="1:25" ht="15" customHeight="1">
      <c r="A40" s="1099" t="str">
        <f>NTA!C153</f>
        <v>Non controlling interests</v>
      </c>
      <c r="B40" s="56"/>
      <c r="C40" s="61">
        <f ca="1">-IFERROR(INDEX(INDIRECT(VLOOKUP($K40,Source_Master,2,0),),MATCH(TEXT($J40,0),INDIRECT(VLOOKUP($K40,Source_Master,4,0)),0),MATCH(C$1,INDIRECT(VLOOKUP($K40,Source_Master,3,0),),0)),0)</f>
        <v>0</v>
      </c>
      <c r="D40" s="62">
        <f ca="1">-IFERROR(INDEX(INDIRECT(VLOOKUP($K40,Source_Master,2,0),),MATCH(TEXT($J40,0),INDIRECT(VLOOKUP($K40,Source_Master,4,0)),0),MATCH(D$1,INDIRECT(VLOOKUP($K40,Source_Master,3,0),),0)),0)</f>
        <v>0</v>
      </c>
      <c r="G40" s="140"/>
      <c r="H40" s="20"/>
      <c r="I40" s="15"/>
      <c r="K40" s="124" t="s">
        <v>6</v>
      </c>
      <c r="M40" s="1561"/>
      <c r="N40" s="1561"/>
      <c r="P40" s="1562"/>
      <c r="Q40" s="1563"/>
      <c r="R40" s="126"/>
      <c r="S40" s="1562"/>
      <c r="T40" s="1563"/>
      <c r="W40" s="20"/>
      <c r="X40" s="20"/>
      <c r="Y40" s="20"/>
    </row>
    <row r="41" spans="1:25" ht="15" customHeight="1">
      <c r="A41" s="440"/>
      <c r="B41" s="729"/>
      <c r="C41" s="178">
        <f ca="1">SUM(C39:C40)</f>
        <v>0</v>
      </c>
      <c r="D41" s="316">
        <f ca="1">SUM(D39:D40)</f>
        <v>0</v>
      </c>
      <c r="G41" s="140"/>
      <c r="H41" s="20"/>
      <c r="K41" s="124"/>
      <c r="M41" s="1561"/>
      <c r="N41" s="1561"/>
      <c r="P41" s="1562"/>
      <c r="Q41" s="1563"/>
      <c r="R41" s="126"/>
      <c r="S41" s="1562"/>
      <c r="T41" s="1563"/>
      <c r="W41" s="20"/>
      <c r="X41" s="20"/>
      <c r="Y41" s="20"/>
    </row>
    <row r="42" spans="1:25" ht="15" customHeight="1">
      <c r="A42" s="1098" t="str">
        <f>NTA!C154</f>
        <v>Other Comprehensive Income for the year attributable to:</v>
      </c>
      <c r="B42" s="729"/>
      <c r="C42" s="324"/>
      <c r="D42" s="75"/>
      <c r="G42" s="140"/>
      <c r="H42" s="20"/>
      <c r="K42" s="124"/>
      <c r="M42" s="1561"/>
      <c r="N42" s="1561"/>
      <c r="P42" s="1562"/>
      <c r="Q42" s="1563"/>
      <c r="R42" s="126"/>
      <c r="S42" s="1562"/>
      <c r="T42" s="1563"/>
      <c r="W42" s="20"/>
      <c r="X42" s="20"/>
      <c r="Y42" s="20"/>
    </row>
    <row r="43" spans="1:25" ht="15" customHeight="1">
      <c r="A43" s="1099" t="str">
        <f>NTA!C155</f>
        <v>Owners of the Company</v>
      </c>
      <c r="B43" s="56"/>
      <c r="C43" s="61">
        <f ca="1">IFERROR(INDEX(INDIRECT(VLOOKUP($K43,Source_Master,2,0),),MATCH(TEXT($J43,0),INDIRECT(VLOOKUP($K43,Source_Master,4,0)),0),MATCH(C$1,INDIRECT(VLOOKUP($K43,Source_Master,3,0),),0)),0)</f>
        <v>0</v>
      </c>
      <c r="D43" s="62">
        <f ca="1">IFERROR(INDEX(INDIRECT(VLOOKUP($K43,Source_Master,2,0),),MATCH(TEXT($J43,0),INDIRECT(VLOOKUP($K43,Source_Master,4,0)),0),MATCH(D$1,INDIRECT(VLOOKUP($K43,Source_Master,3,0),),0)),0)</f>
        <v>0</v>
      </c>
      <c r="G43" s="140"/>
      <c r="H43" s="20"/>
      <c r="K43" s="124" t="s">
        <v>6</v>
      </c>
      <c r="M43" s="1561"/>
      <c r="N43" s="1561"/>
      <c r="P43" s="1562"/>
      <c r="Q43" s="1563"/>
      <c r="R43" s="126"/>
      <c r="S43" s="1562"/>
      <c r="T43" s="1563"/>
      <c r="W43" s="20"/>
      <c r="X43" s="20"/>
      <c r="Y43" s="20"/>
    </row>
    <row r="44" spans="1:25" ht="15" customHeight="1">
      <c r="A44" s="1099" t="str">
        <f>NTA!C156</f>
        <v>Non controlling interests</v>
      </c>
      <c r="B44" s="56"/>
      <c r="C44" s="61">
        <f ca="1">IFERROR(INDEX(INDIRECT(VLOOKUP($K44,Source_Master,2,0),),MATCH(TEXT($J44,0),INDIRECT(VLOOKUP($K44,Source_Master,4,0)),0),MATCH(C$1,INDIRECT(VLOOKUP($K44,Source_Master,3,0),),0)),0)</f>
        <v>0</v>
      </c>
      <c r="D44" s="62">
        <f ca="1">IFERROR(INDEX(INDIRECT(VLOOKUP($K44,Source_Master,2,0),),MATCH(TEXT($J44,0),INDIRECT(VLOOKUP($K44,Source_Master,4,0)),0),MATCH(D$1,INDIRECT(VLOOKUP($K44,Source_Master,3,0),),0)),0)</f>
        <v>0</v>
      </c>
      <c r="G44" s="140"/>
      <c r="H44" s="20"/>
      <c r="K44" s="124" t="s">
        <v>6</v>
      </c>
      <c r="M44" s="1561"/>
      <c r="N44" s="1561"/>
      <c r="P44" s="1562"/>
      <c r="Q44" s="1563"/>
      <c r="R44" s="126"/>
      <c r="S44" s="1562"/>
      <c r="T44" s="1563"/>
      <c r="W44" s="20"/>
      <c r="X44" s="20"/>
      <c r="Y44" s="20"/>
    </row>
    <row r="45" spans="1:25" ht="15" customHeight="1">
      <c r="A45" s="440"/>
      <c r="B45" s="729"/>
      <c r="C45" s="178">
        <f ca="1">SUM(C43:C44)</f>
        <v>0</v>
      </c>
      <c r="D45" s="316">
        <f ca="1">SUM(D43:D44)</f>
        <v>0</v>
      </c>
      <c r="G45" s="140"/>
      <c r="H45" s="20"/>
      <c r="K45" s="124"/>
      <c r="M45" s="1561"/>
      <c r="N45" s="1561"/>
      <c r="P45" s="1562"/>
      <c r="Q45" s="1563"/>
      <c r="R45" s="126"/>
      <c r="S45" s="1562"/>
      <c r="T45" s="1563"/>
      <c r="W45" s="20"/>
      <c r="X45" s="20"/>
      <c r="Y45" s="20"/>
    </row>
    <row r="46" spans="1:25" ht="15" customHeight="1">
      <c r="A46" s="1098" t="str">
        <f>NTA!C157</f>
        <v>Total Comprehensive Income for the year attributable to:</v>
      </c>
      <c r="B46" s="729"/>
      <c r="C46" s="324"/>
      <c r="D46" s="75"/>
      <c r="G46" s="140"/>
      <c r="H46" s="20"/>
      <c r="K46" s="124"/>
      <c r="M46" s="1561"/>
      <c r="N46" s="1561"/>
      <c r="P46" s="1562"/>
      <c r="Q46" s="1563"/>
      <c r="R46" s="126"/>
      <c r="S46" s="1562"/>
      <c r="T46" s="1563"/>
      <c r="W46" s="20"/>
      <c r="X46" s="20"/>
      <c r="Y46" s="20"/>
    </row>
    <row r="47" spans="1:25" ht="15" customHeight="1">
      <c r="A47" s="1099" t="str">
        <f>NTA!C158</f>
        <v>Owners of the Company</v>
      </c>
      <c r="B47" s="56"/>
      <c r="C47" s="61">
        <f ca="1">IFERROR(INDEX(INDIRECT(VLOOKUP($K47,Source_Master,2,0),),MATCH(TEXT($J47,0),INDIRECT(VLOOKUP($K47,Source_Master,4,0)),0),MATCH(C$1,INDIRECT(VLOOKUP($K47,Source_Master,3,0),),0)),0)</f>
        <v>0</v>
      </c>
      <c r="D47" s="62">
        <f ca="1">IFERROR(INDEX(INDIRECT(VLOOKUP($K47,Source_Master,2,0),),MATCH(TEXT($J47,0),INDIRECT(VLOOKUP($K47,Source_Master,4,0)),0),MATCH(D$1,INDIRECT(VLOOKUP($K47,Source_Master,3,0),),0)),0)</f>
        <v>0</v>
      </c>
      <c r="G47" s="140"/>
      <c r="H47" s="20"/>
      <c r="I47" s="15"/>
      <c r="K47" s="124" t="s">
        <v>6</v>
      </c>
      <c r="M47" s="1561"/>
      <c r="N47" s="1561"/>
      <c r="P47" s="1562"/>
      <c r="Q47" s="1563"/>
      <c r="R47" s="126"/>
      <c r="S47" s="1562"/>
      <c r="T47" s="1563"/>
      <c r="W47" s="20"/>
      <c r="X47" s="20"/>
      <c r="Y47" s="20"/>
    </row>
    <row r="48" spans="1:25" ht="15" customHeight="1">
      <c r="A48" s="1099" t="str">
        <f>NTA!C159</f>
        <v>Non controlling interests</v>
      </c>
      <c r="B48" s="56"/>
      <c r="C48" s="61">
        <f ca="1">IFERROR(INDEX(INDIRECT(VLOOKUP($K48,Source_Master,2,0),),MATCH(TEXT($J48,0),INDIRECT(VLOOKUP($K48,Source_Master,4,0)),0),MATCH(C$1,INDIRECT(VLOOKUP($K48,Source_Master,3,0),),0)),0)</f>
        <v>0</v>
      </c>
      <c r="D48" s="62">
        <f ca="1">IFERROR(INDEX(INDIRECT(VLOOKUP($K48,Source_Master,2,0),),MATCH(TEXT($J48,0),INDIRECT(VLOOKUP($K48,Source_Master,4,0)),0),MATCH(D$1,INDIRECT(VLOOKUP($K48,Source_Master,3,0),),0)),0)</f>
        <v>0</v>
      </c>
      <c r="G48" s="140"/>
      <c r="H48" s="20"/>
      <c r="I48" s="15"/>
      <c r="K48" s="124" t="s">
        <v>6</v>
      </c>
      <c r="M48" s="1561"/>
      <c r="N48" s="1561"/>
      <c r="P48" s="1562"/>
      <c r="Q48" s="1563"/>
      <c r="R48" s="126"/>
      <c r="S48" s="1562"/>
      <c r="T48" s="1563"/>
      <c r="W48" s="20"/>
      <c r="X48" s="20"/>
      <c r="Y48" s="20"/>
    </row>
    <row r="49" spans="1:25" ht="15" customHeight="1">
      <c r="A49" s="223"/>
      <c r="B49" s="56"/>
      <c r="C49" s="178">
        <f ca="1">SUM(C47:C48)</f>
        <v>0</v>
      </c>
      <c r="D49" s="316">
        <f ca="1">SUM(D47:D48)</f>
        <v>0</v>
      </c>
      <c r="G49" s="140"/>
      <c r="H49" s="20"/>
      <c r="K49" s="124"/>
      <c r="M49" s="1561"/>
      <c r="N49" s="1561"/>
      <c r="P49" s="1562"/>
      <c r="Q49" s="1563"/>
      <c r="R49" s="126"/>
      <c r="S49" s="1562"/>
      <c r="T49" s="1563"/>
      <c r="W49" s="20"/>
      <c r="X49" s="20"/>
      <c r="Y49" s="20"/>
    </row>
    <row r="50" spans="1:25" ht="8.1" customHeight="1">
      <c r="A50" s="223"/>
      <c r="B50" s="56"/>
      <c r="C50" s="74"/>
      <c r="D50" s="75"/>
      <c r="G50" s="140"/>
      <c r="H50" s="20"/>
      <c r="K50" s="124"/>
      <c r="M50" s="1561"/>
      <c r="N50" s="1561"/>
      <c r="P50" s="1562"/>
      <c r="Q50" s="1563"/>
      <c r="R50" s="126"/>
      <c r="S50" s="1562"/>
      <c r="T50" s="1563"/>
      <c r="W50" s="20"/>
      <c r="X50" s="20"/>
      <c r="Y50" s="20"/>
    </row>
    <row r="51" spans="1:25" ht="13.5" customHeight="1">
      <c r="A51" s="1100" t="str">
        <f>NTA!C160</f>
        <v>Earnings per equity share (Face value of Rs.10/- each)</v>
      </c>
      <c r="B51" s="264"/>
      <c r="C51" s="86"/>
      <c r="D51" s="79"/>
      <c r="K51" s="124"/>
      <c r="M51" s="586"/>
      <c r="N51" s="166"/>
      <c r="P51" s="1541"/>
      <c r="Q51" s="1540"/>
      <c r="R51" s="126"/>
      <c r="S51" s="1541"/>
      <c r="T51" s="1540"/>
      <c r="W51" s="20"/>
      <c r="X51" s="20"/>
      <c r="Y51" s="20"/>
    </row>
    <row r="52" spans="1:25" ht="15" customHeight="1">
      <c r="A52" s="1097" t="str">
        <f>NTA!C161</f>
        <v>Basic(in Rs.)</v>
      </c>
      <c r="B52" s="56"/>
      <c r="C52" s="129">
        <f ca="1">IFERROR(('NT PL2'!G391),)</f>
        <v>0</v>
      </c>
      <c r="D52" s="62">
        <f ca="1">IFERROR(('NT PL2'!I391),)</f>
        <v>0</v>
      </c>
      <c r="K52" s="124"/>
      <c r="M52" s="587"/>
      <c r="N52" s="166"/>
      <c r="P52" s="1539"/>
      <c r="Q52" s="1540"/>
      <c r="R52" s="1528"/>
      <c r="S52" s="1539"/>
      <c r="T52" s="1540"/>
      <c r="W52" s="20"/>
      <c r="X52" s="20"/>
      <c r="Y52" s="20"/>
    </row>
    <row r="53" spans="1:25" ht="15" customHeight="1">
      <c r="A53" s="1097" t="str">
        <f>NTA!C162</f>
        <v>Diluted(Rs.)</v>
      </c>
      <c r="B53" s="56"/>
      <c r="C53" s="129">
        <f ca="1">IFERROR(('NT PL2'!G392),)</f>
        <v>0</v>
      </c>
      <c r="D53" s="62">
        <f ca="1">IFERROR(('NT PL2'!I392),)</f>
        <v>0</v>
      </c>
      <c r="K53" s="124"/>
      <c r="M53" s="587"/>
      <c r="N53" s="166"/>
      <c r="P53" s="1539"/>
      <c r="Q53" s="1540"/>
      <c r="R53" s="1528"/>
      <c r="S53" s="1539"/>
      <c r="T53" s="1540"/>
      <c r="W53" s="20"/>
      <c r="X53" s="20"/>
      <c r="Y53" s="20"/>
    </row>
    <row r="54" spans="1:25" ht="15" customHeight="1">
      <c r="A54" s="730"/>
      <c r="B54" s="717"/>
      <c r="C54" s="659"/>
      <c r="D54" s="144"/>
      <c r="M54" s="586"/>
      <c r="N54" s="166"/>
      <c r="P54" s="1541"/>
      <c r="Q54" s="1540"/>
      <c r="R54" s="1528"/>
      <c r="S54" s="1541"/>
      <c r="T54" s="1540"/>
      <c r="W54" s="20"/>
      <c r="X54" s="20"/>
      <c r="Y54" s="20"/>
    </row>
    <row r="55" spans="1:25">
      <c r="A55" s="15"/>
      <c r="B55" s="23"/>
      <c r="C55" s="145"/>
      <c r="D55" s="123"/>
      <c r="F55" s="123"/>
      <c r="M55" s="145"/>
      <c r="N55" s="123"/>
      <c r="P55" s="145"/>
      <c r="Q55" s="123"/>
      <c r="S55" s="145"/>
      <c r="T55" s="123"/>
      <c r="W55" s="20"/>
      <c r="X55" s="20"/>
      <c r="Y55" s="20"/>
    </row>
    <row r="56" spans="1:25">
      <c r="A56" s="1054" t="str">
        <f>BS!A74</f>
        <v>The accompanying notes form an integral part of the Standalone Financial Statements</v>
      </c>
    </row>
    <row r="58" spans="1:25" ht="13.9">
      <c r="A58" s="1054" t="str">
        <f>BS!A76</f>
        <v>As per our report of even date attached</v>
      </c>
      <c r="B58" s="108"/>
      <c r="C58" s="44"/>
      <c r="D58" s="44"/>
      <c r="E58" s="44"/>
    </row>
    <row r="59" spans="1:25" ht="13.9">
      <c r="A59" s="44"/>
      <c r="B59" s="108"/>
      <c r="C59" s="44"/>
      <c r="D59" s="44"/>
      <c r="E59" s="44"/>
    </row>
    <row r="60" spans="1:25" ht="13.9">
      <c r="A60" s="1064" t="str">
        <f>BS!A78</f>
        <v xml:space="preserve">For </v>
      </c>
      <c r="B60" s="1101" t="str">
        <f>BS!B78</f>
        <v>For and on behalf of  Board of Directors</v>
      </c>
      <c r="C60" s="103"/>
      <c r="D60" s="103"/>
      <c r="E60" s="44"/>
      <c r="W60" s="20"/>
      <c r="X60" s="20"/>
      <c r="Y60" s="20"/>
    </row>
    <row r="61" spans="1:25" ht="13.9">
      <c r="A61" s="1064" t="str">
        <f>BS!A79</f>
        <v>Chartered Accountants</v>
      </c>
      <c r="B61" s="210"/>
      <c r="C61" s="44"/>
      <c r="D61" s="44"/>
      <c r="E61" s="44"/>
    </row>
    <row r="62" spans="1:25" ht="13.9">
      <c r="A62" s="1054" t="str">
        <f>BS!A80</f>
        <v xml:space="preserve">Firm's Registration Number: </v>
      </c>
      <c r="B62" s="108"/>
      <c r="C62" s="44"/>
      <c r="D62" s="44"/>
      <c r="E62" s="44"/>
    </row>
    <row r="63" spans="1:25" ht="13.9">
      <c r="A63" s="44"/>
      <c r="B63" s="108"/>
      <c r="C63" s="44"/>
      <c r="D63" s="44"/>
      <c r="E63" s="44"/>
    </row>
    <row r="64" spans="1:25" ht="13.9">
      <c r="A64" s="44"/>
      <c r="B64" s="108"/>
      <c r="C64" s="44"/>
      <c r="D64" s="44"/>
      <c r="E64" s="44"/>
    </row>
    <row r="65" spans="1:5" ht="13.9">
      <c r="A65" s="44"/>
      <c r="B65" s="108"/>
      <c r="C65" s="44"/>
      <c r="D65" s="44"/>
      <c r="E65" s="44"/>
    </row>
    <row r="66" spans="1:5" ht="13.9">
      <c r="A66" s="1064" t="str">
        <f>BS!A84</f>
        <v>(Name)</v>
      </c>
      <c r="B66" s="1249" t="str">
        <f>BS!B84</f>
        <v>(Name)</v>
      </c>
      <c r="D66" s="1102" t="str">
        <f>BS!D84</f>
        <v>(Name)</v>
      </c>
      <c r="E66" s="44"/>
    </row>
    <row r="67" spans="1:5" ht="13.9">
      <c r="A67" s="1054" t="str">
        <f>BS!A85</f>
        <v>Partner</v>
      </c>
      <c r="B67" s="1043" t="str">
        <f>BS!B85</f>
        <v>Designation</v>
      </c>
      <c r="D67" s="1054" t="str">
        <f>BS!D85</f>
        <v>Designation</v>
      </c>
      <c r="E67" s="44"/>
    </row>
    <row r="68" spans="1:5" ht="13.9">
      <c r="A68" s="1054" t="str">
        <f>BS!A86</f>
        <v>Membership No:</v>
      </c>
      <c r="B68" s="1043" t="str">
        <f>BS!B86</f>
        <v>DIN:</v>
      </c>
      <c r="D68" s="1054" t="str">
        <f>BS!D86</f>
        <v>DIN:</v>
      </c>
      <c r="E68" s="44"/>
    </row>
    <row r="69" spans="1:5" ht="13.9">
      <c r="E69" s="44"/>
    </row>
    <row r="70" spans="1:5" ht="13.9">
      <c r="E70" s="44"/>
    </row>
    <row r="71" spans="1:5" ht="13.9">
      <c r="E71" s="44"/>
    </row>
    <row r="72" spans="1:5" ht="13.9">
      <c r="E72" s="44"/>
    </row>
    <row r="73" spans="1:5" ht="13.9">
      <c r="B73" s="1103" t="str">
        <f>BS!B91</f>
        <v>(Name)</v>
      </c>
      <c r="D73" s="1102" t="str">
        <f>BS!D91</f>
        <v>(Name)</v>
      </c>
      <c r="E73" s="44"/>
    </row>
    <row r="74" spans="1:5" ht="13.9">
      <c r="B74" s="1043" t="str">
        <f>BS!B92</f>
        <v>Designation</v>
      </c>
      <c r="D74" s="1054" t="str">
        <f>BS!D92</f>
        <v>Designation</v>
      </c>
      <c r="E74" s="44"/>
    </row>
    <row r="75" spans="1:5" ht="13.9">
      <c r="A75" s="44"/>
      <c r="B75" s="108"/>
      <c r="C75" s="44"/>
      <c r="D75" s="44"/>
      <c r="E75" s="44"/>
    </row>
    <row r="76" spans="1:5" ht="13.9">
      <c r="A76" s="44"/>
      <c r="B76" s="108"/>
      <c r="C76" s="44"/>
      <c r="D76" s="44"/>
      <c r="E76" s="44"/>
    </row>
    <row r="77" spans="1:5" ht="13.9">
      <c r="A77" s="44"/>
      <c r="B77" s="108"/>
      <c r="C77" s="44"/>
      <c r="D77" s="44"/>
      <c r="E77" s="44"/>
    </row>
    <row r="78" spans="1:5" ht="13.9">
      <c r="A78" s="44"/>
      <c r="B78" s="108"/>
      <c r="C78" s="44"/>
      <c r="D78" s="44"/>
      <c r="E78" s="44"/>
    </row>
    <row r="79" spans="1:5" ht="13.9">
      <c r="A79" s="44"/>
      <c r="B79" s="108"/>
      <c r="C79" s="44"/>
      <c r="D79" s="44"/>
      <c r="E79" s="44"/>
    </row>
    <row r="80" spans="1:5" ht="13.9">
      <c r="A80" s="210" t="s">
        <v>570</v>
      </c>
      <c r="B80" s="210" t="s">
        <v>570</v>
      </c>
      <c r="D80" s="44"/>
      <c r="E80" s="44"/>
    </row>
    <row r="81" spans="1:25" ht="13.9">
      <c r="A81" s="1264" t="s">
        <v>571</v>
      </c>
      <c r="B81" s="1264" t="s">
        <v>571</v>
      </c>
      <c r="D81" s="44"/>
      <c r="E81" s="44"/>
    </row>
    <row r="90" spans="1:25" ht="15" customHeight="1">
      <c r="B90" s="20"/>
      <c r="G90" s="20"/>
      <c r="H90" s="20"/>
      <c r="I90" s="20"/>
      <c r="J90" s="20"/>
      <c r="K90" s="20"/>
      <c r="W90" s="20"/>
      <c r="X90" s="20"/>
      <c r="Y90" s="20"/>
    </row>
  </sheetData>
  <sheetProtection algorithmName="SHA-512" hashValue="4pUDllK1MMts9EEU4lzHMiHSKIpFbNb9Omxlc9C/G99InljumBYhMiOyGQ6ChyY9VvcunLwqnXVDFH+/g6S/Qw==" saltValue="idYXY3r6HxIT5vzmStoaow==" spinCount="100000" sheet="1" objects="1" scenarios="1"/>
  <mergeCells count="3">
    <mergeCell ref="M5:N5"/>
    <mergeCell ref="P5:Q5"/>
    <mergeCell ref="S5:T5"/>
  </mergeCells>
  <pageMargins left="0.5" right="0.5" top="0.5" bottom="0.5" header="0" footer="0"/>
  <pageSetup paperSize="9" scale="82" fitToHeight="0" orientation="portrait" r:id="rId1"/>
  <headerFooter alignWithMargins="0"/>
  <rowBreaks count="1" manualBreakCount="1">
    <brk id="54" max="4" man="1"/>
  </rowBreaks>
  <extLst>
    <ext xmlns:x14="http://schemas.microsoft.com/office/spreadsheetml/2009/9/main" uri="{CCE6A557-97BC-4b89-ADB6-D9C93CAAB3DF}">
      <x14:dataValidations xmlns:xm="http://schemas.microsoft.com/office/excel/2006/main" count="1">
        <x14:dataValidation type="list" allowBlank="1" showInputMessage="1" showErrorMessage="1" xr:uid="{09F81852-0D6F-4695-A6D1-EBC6988F7BDE}">
          <x14:formula1>
            <xm:f>'Master Sheet'!$C$37:$C$41</xm:f>
          </x14:formula1>
          <xm:sqref>K9:K53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6DAB7-CACB-413F-B1BC-FB050292A9F7}">
  <sheetPr codeName="Sheet13">
    <tabColor theme="5" tint="0.59999389629810485"/>
  </sheetPr>
  <dimension ref="A1:E30"/>
  <sheetViews>
    <sheetView showGridLines="0" view="pageBreakPreview" zoomScaleNormal="100" zoomScaleSheetLayoutView="100" workbookViewId="0">
      <selection activeCell="A9" sqref="A9"/>
    </sheetView>
  </sheetViews>
  <sheetFormatPr defaultColWidth="8.85546875" defaultRowHeight="13.15"/>
  <cols>
    <col min="1" max="1" customWidth="true" style="2" width="48.0"/>
    <col min="2" max="2" bestFit="true" customWidth="true" style="2" width="20.7109375"/>
    <col min="3" max="3" style="2" width="8.85546875"/>
    <col min="4" max="4" bestFit="true" customWidth="true" style="2" width="18.28515625"/>
    <col min="5" max="16384" style="2" width="8.85546875"/>
  </cols>
  <sheetData>
    <row r="1" spans="1:5" ht="17.45">
      <c r="A1" s="1077" t="e">
        <f ca="1">Company</f>
        <v>#NAME?</v>
      </c>
    </row>
    <row r="2" spans="1:5" ht="15.6">
      <c r="A2" s="1078" t="e">
        <f ca="1">Note_Head</f>
        <v>#NAME?</v>
      </c>
    </row>
    <row r="5" spans="1:5">
      <c r="A5" s="2" t="str">
        <f>'BS Sign page'!A4</f>
        <v>The accompanying notes form an integral part of the Standalone Financial Statements</v>
      </c>
    </row>
    <row r="6" spans="1:5" ht="13.9">
      <c r="A6" s="20"/>
      <c r="B6" s="108"/>
      <c r="C6" s="44"/>
      <c r="D6" s="44"/>
      <c r="E6" s="44"/>
    </row>
    <row r="7" spans="1:5" ht="13.9">
      <c r="A7" s="1054" t="str">
        <f>'BS Sign page'!A6</f>
        <v>As per our report of even date attached</v>
      </c>
      <c r="B7" s="108"/>
      <c r="C7" s="44"/>
      <c r="D7" s="44"/>
      <c r="E7" s="44"/>
    </row>
    <row r="8" spans="1:5" ht="13.9">
      <c r="A8" s="44"/>
      <c r="B8" s="108"/>
      <c r="C8" s="44"/>
      <c r="D8" s="44"/>
      <c r="E8" s="44"/>
    </row>
    <row r="9" spans="1:5" ht="13.9">
      <c r="A9" s="1064" t="str">
        <f>'BS Sign page'!A8</f>
        <v>For 0</v>
      </c>
      <c r="B9" s="548" t="s">
        <v>545</v>
      </c>
      <c r="C9" s="103"/>
      <c r="D9" s="103"/>
      <c r="E9" s="44"/>
    </row>
    <row r="10" spans="1:5" ht="13.9">
      <c r="A10" s="21" t="s">
        <v>143</v>
      </c>
      <c r="B10" s="210"/>
      <c r="C10" s="44"/>
      <c r="D10" s="44"/>
      <c r="E10" s="44"/>
    </row>
    <row r="11" spans="1:5" ht="13.9">
      <c r="A11" s="1054" t="str">
        <f>'BS Sign page'!A10</f>
        <v>Firm's Registration Number: 0</v>
      </c>
      <c r="B11" s="108"/>
      <c r="C11" s="44"/>
      <c r="D11" s="44"/>
      <c r="E11" s="44"/>
    </row>
    <row r="12" spans="1:5" ht="13.9">
      <c r="A12" s="44"/>
      <c r="B12" s="108"/>
      <c r="C12" s="44"/>
      <c r="D12" s="44"/>
      <c r="E12" s="44"/>
    </row>
    <row r="13" spans="1:5" ht="13.9">
      <c r="A13" s="44"/>
      <c r="B13" s="108"/>
      <c r="C13" s="44"/>
      <c r="D13" s="44"/>
      <c r="E13" s="44"/>
    </row>
    <row r="14" spans="1:5" ht="13.9">
      <c r="A14" s="44"/>
      <c r="B14" s="108"/>
      <c r="C14" s="44"/>
      <c r="D14" s="44"/>
      <c r="E14" s="44"/>
    </row>
    <row r="15" spans="1:5" ht="13.9">
      <c r="A15" s="1064">
        <f>'BS Sign page'!A14</f>
        <v>0</v>
      </c>
      <c r="B15" s="1249" t="str">
        <f>'BS Sign page'!B14</f>
        <v/>
      </c>
      <c r="C15" s="20"/>
      <c r="D15" s="1102" t="str">
        <f>'BS Sign page'!D14</f>
        <v/>
      </c>
      <c r="E15" s="44"/>
    </row>
    <row r="16" spans="1:5" ht="13.9">
      <c r="A16" s="1054" t="str">
        <f>'BS Sign page'!A15</f>
        <v>Partner</v>
      </c>
      <c r="B16" s="1043" t="str">
        <f>'BS Sign page'!B15</f>
        <v/>
      </c>
      <c r="C16" s="20"/>
      <c r="D16" s="1054" t="str">
        <f>'BS Sign page'!D15</f>
        <v/>
      </c>
      <c r="E16" s="44"/>
    </row>
    <row r="17" spans="1:5" ht="13.9">
      <c r="A17" s="1054" t="str">
        <f>'BS Sign page'!A16</f>
        <v>Registration  No: 0</v>
      </c>
      <c r="B17" s="1043" t="str">
        <f>'BS Sign page'!B16</f>
        <v xml:space="preserve">DIN: </v>
      </c>
      <c r="C17" s="20"/>
      <c r="D17" s="1054" t="str">
        <f>'BS Sign page'!D16</f>
        <v xml:space="preserve">DIN: </v>
      </c>
      <c r="E17" s="44"/>
    </row>
    <row r="18" spans="1:5" ht="13.9">
      <c r="A18" s="20"/>
      <c r="B18" s="50"/>
      <c r="C18" s="20"/>
      <c r="D18" s="20"/>
      <c r="E18" s="44"/>
    </row>
    <row r="19" spans="1:5" ht="13.9">
      <c r="A19" s="20"/>
      <c r="B19" s="50"/>
      <c r="C19" s="20"/>
      <c r="D19" s="20"/>
      <c r="E19" s="44"/>
    </row>
    <row r="20" spans="1:5" ht="13.9">
      <c r="A20" s="20"/>
      <c r="B20" s="50"/>
      <c r="C20" s="20"/>
      <c r="D20" s="20"/>
      <c r="E20" s="44"/>
    </row>
    <row r="21" spans="1:5" ht="13.9">
      <c r="A21" s="20"/>
      <c r="B21" s="50"/>
      <c r="C21" s="20"/>
      <c r="D21" s="20"/>
      <c r="E21" s="44"/>
    </row>
    <row r="22" spans="1:5" ht="13.9">
      <c r="A22" s="20"/>
      <c r="B22" s="1103" t="str">
        <f>'BS Sign page'!B21</f>
        <v/>
      </c>
      <c r="C22" s="20"/>
      <c r="D22" s="1249" t="str">
        <f>'BS Sign page'!D21</f>
        <v/>
      </c>
      <c r="E22" s="44"/>
    </row>
    <row r="23" spans="1:5" ht="13.9">
      <c r="A23" s="20"/>
      <c r="B23" s="1104" t="str">
        <f>'BS Sign page'!B22</f>
        <v/>
      </c>
      <c r="C23" s="20"/>
      <c r="D23" s="1105" t="str">
        <f>'BS Sign page'!D22</f>
        <v/>
      </c>
      <c r="E23" s="44"/>
    </row>
    <row r="24" spans="1:5" ht="13.9">
      <c r="A24" s="44"/>
      <c r="B24" s="108"/>
      <c r="C24" s="44"/>
      <c r="D24" s="44"/>
      <c r="E24" s="44"/>
    </row>
    <row r="25" spans="1:5" ht="13.9">
      <c r="A25" s="44"/>
      <c r="B25" s="108"/>
      <c r="C25" s="44"/>
      <c r="D25" s="44"/>
      <c r="E25" s="44"/>
    </row>
    <row r="26" spans="1:5" ht="13.9">
      <c r="A26" s="44"/>
      <c r="B26" s="108"/>
      <c r="C26" s="44"/>
      <c r="D26" s="44"/>
      <c r="E26" s="44"/>
    </row>
    <row r="27" spans="1:5" ht="13.9">
      <c r="A27" s="44"/>
      <c r="B27" s="108"/>
      <c r="C27" s="44"/>
      <c r="D27" s="44"/>
      <c r="E27" s="44"/>
    </row>
    <row r="28" spans="1:5" ht="13.9">
      <c r="A28" s="44"/>
      <c r="B28" s="108"/>
      <c r="C28" s="44"/>
      <c r="D28" s="44"/>
      <c r="E28" s="44"/>
    </row>
    <row r="29" spans="1:5" ht="13.9">
      <c r="A29" s="21" t="s">
        <v>551</v>
      </c>
      <c r="B29" s="210" t="s">
        <v>551</v>
      </c>
      <c r="C29" s="20"/>
      <c r="D29" s="44"/>
      <c r="E29" s="44"/>
    </row>
    <row r="30" spans="1:5" ht="13.9">
      <c r="A30" s="20" t="s">
        <v>552</v>
      </c>
      <c r="B30" s="1264" t="s">
        <v>552</v>
      </c>
      <c r="C30" s="20"/>
      <c r="D30" s="44"/>
      <c r="E30" s="44"/>
    </row>
  </sheetData>
  <sheetProtection algorithmName="SHA-512" hashValue="zETIFF/tiqqEaxbluuf5B7ZEo6UGqu4o4N+lK+o9zjoENWAv1VAKgIIEuFwUOzeMFI2gx6ldWMsHDnesZXi/VQ==" saltValue="7HIaCiAJZvXF3q6+HX1RVg==" spinCount="100000" sheet="1" objects="1" scenarios="1"/>
  <pageMargins left="0.7" right="0.7" top="0.75" bottom="0.75" header="0.3" footer="0.3"/>
  <pageSetup scale="9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79189-DF46-4DB6-8982-F1445B21615A}">
  <sheetPr codeName="Sheet14">
    <tabColor theme="5" tint="0.59999389629810485"/>
    <pageSetUpPr fitToPage="1"/>
  </sheetPr>
  <dimension ref="A1:AA51"/>
  <sheetViews>
    <sheetView showGridLines="0" view="pageBreakPreview" topLeftCell="A14" zoomScaleNormal="100" zoomScaleSheetLayoutView="100" workbookViewId="0">
      <pane xSplit="2" ySplit="1" topLeftCell="C15" activePane="bottomRight" state="frozen"/>
      <selection pane="bottomRight" activeCell="C19" sqref="C19"/>
      <selection pane="bottomLeft" activeCell="A15" sqref="A15"/>
      <selection pane="topRight" activeCell="C14" sqref="C14"/>
    </sheetView>
  </sheetViews>
  <sheetFormatPr defaultColWidth="9.42578125" defaultRowHeight="13.15" outlineLevelRow="1"/>
  <cols>
    <col min="1" max="1" customWidth="true" style="47" width="4.42578125"/>
    <col min="2" max="2" customWidth="true" style="47" width="44.42578125"/>
    <col min="3" max="3" customWidth="true" style="47" width="19.140625"/>
    <col min="4" max="4" customWidth="true" style="47" width="16.7109375"/>
    <col min="5" max="5" bestFit="true" customWidth="true" style="47" width="19.28515625"/>
    <col min="6" max="9" customWidth="true" style="47" width="16.7109375"/>
    <col min="10" max="10" bestFit="true" customWidth="true" style="47" width="19.28515625"/>
    <col min="11" max="11" customWidth="true" style="47" width="15.5703125"/>
    <col min="12" max="12" bestFit="true" customWidth="true" style="47" width="19.28515625"/>
    <col min="13" max="13" customWidth="true" style="47" width="2.5703125"/>
    <col min="14" max="14" customWidth="true" style="47" width="6.42578125"/>
    <col min="15" max="16" style="47" width="9.42578125"/>
    <col min="17" max="17" customWidth="true" hidden="true" style="47" width="0.0"/>
    <col min="18" max="26" customWidth="true" hidden="true" style="47" width="20.28515625"/>
    <col min="27" max="27" customWidth="true" hidden="true" style="47" width="0.0"/>
    <col min="28" max="16384" style="47" width="9.42578125"/>
  </cols>
  <sheetData>
    <row r="1" spans="1:27" outlineLevel="1">
      <c r="J1" s="1053" t="str">
        <f>'Master Sheet'!C52</f>
        <v>7755|001|INR|Actual|Consolidated</v>
      </c>
      <c r="K1" s="1053" t="str">
        <f>'Master Sheet'!C53</f>
        <v>7755|002|INR|Actual|Consolidated</v>
      </c>
      <c r="P1" s="146" t="s">
        <v>492</v>
      </c>
      <c r="Q1" s="47" t="s">
        <v>494</v>
      </c>
      <c r="R1" s="47" t="s">
        <v>495</v>
      </c>
    </row>
    <row r="2" spans="1:27" outlineLevel="1">
      <c r="P2" s="146"/>
      <c r="Q2" s="1564">
        <f>COUNTIF(SOCE!C48:L48,"&lt;&gt;0")+COUNTIF(SOCE!L50,"&lt;&gt;0")</f>
        <v>11</v>
      </c>
      <c r="R2" s="1564">
        <f>COUNTIF(SOCE!C49:L49,"&lt;&gt;0")+COUNTIF(SOCE!L51,"&lt;&gt;0")</f>
        <v>11</v>
      </c>
    </row>
    <row r="3" spans="1:27" ht="17.45">
      <c r="A3" s="1106" t="e">
        <f ca="1">Company</f>
        <v>#NAME?</v>
      </c>
      <c r="K3" s="115"/>
      <c r="L3" s="115"/>
    </row>
    <row r="4" spans="1:27" ht="15.6">
      <c r="A4" s="1107" t="e">
        <f ca="1">SOCE_Name</f>
        <v>#NAME?</v>
      </c>
      <c r="K4" s="115"/>
    </row>
    <row r="5" spans="1:27" ht="15.6">
      <c r="A5" s="111"/>
    </row>
    <row r="6" spans="1:27" s="148" customFormat="1">
      <c r="A6" s="147" t="s">
        <v>572</v>
      </c>
      <c r="B6" s="147" t="s">
        <v>573</v>
      </c>
    </row>
    <row r="7" spans="1:27" s="148" customFormat="1">
      <c r="B7" s="147"/>
      <c r="D7" s="47"/>
      <c r="E7" s="47"/>
      <c r="F7" s="146"/>
      <c r="G7" s="146"/>
      <c r="H7" s="146"/>
      <c r="I7" s="146"/>
      <c r="J7" s="146"/>
      <c r="K7" s="47"/>
      <c r="L7" s="1108" t="str">
        <f>+'Master Sheet'!$C$65</f>
        <v>(Amount in INR)</v>
      </c>
    </row>
    <row r="8" spans="1:27" s="148" customFormat="1" ht="39.6">
      <c r="A8" s="149"/>
      <c r="B8" s="150"/>
      <c r="C8" s="149"/>
      <c r="D8" s="151" t="s">
        <v>574</v>
      </c>
      <c r="E8" s="152" t="s">
        <v>575</v>
      </c>
      <c r="F8" s="151" t="s">
        <v>576</v>
      </c>
      <c r="G8" s="151"/>
      <c r="H8" s="151"/>
      <c r="I8" s="151"/>
      <c r="J8" s="151"/>
      <c r="K8" s="153" t="s">
        <v>577</v>
      </c>
      <c r="L8" s="1109" t="str">
        <f>CONCATENATE("Balance as at ", FZ_Reference_Master!$D$15)</f>
        <v>Balance as at 31st March 2024</v>
      </c>
    </row>
    <row r="9" spans="1:27" s="148" customFormat="1">
      <c r="A9" s="154"/>
      <c r="B9" s="155"/>
      <c r="C9" s="154"/>
      <c r="D9" s="735"/>
      <c r="E9" s="156">
        <v>0</v>
      </c>
      <c r="F9" s="740">
        <f>D9+E9</f>
        <v>0</v>
      </c>
      <c r="G9" s="736"/>
      <c r="H9" s="736"/>
      <c r="I9" s="736"/>
      <c r="J9" s="736"/>
      <c r="K9" s="735"/>
      <c r="L9" s="741">
        <f ca="1">'NT SC'!F21</f>
        <v>0</v>
      </c>
    </row>
    <row r="10" spans="1:27" s="148" customFormat="1">
      <c r="B10" s="157"/>
      <c r="D10" s="47"/>
      <c r="E10" s="47"/>
      <c r="F10" s="146"/>
      <c r="G10" s="146"/>
      <c r="H10" s="146"/>
      <c r="I10" s="146"/>
      <c r="J10" s="146"/>
      <c r="K10" s="47"/>
      <c r="L10" s="146"/>
    </row>
    <row r="11" spans="1:27" s="148" customFormat="1">
      <c r="A11" s="147" t="s">
        <v>578</v>
      </c>
      <c r="B11" s="147" t="s">
        <v>579</v>
      </c>
    </row>
    <row r="12" spans="1:27" s="148" customFormat="1">
      <c r="L12" s="1108" t="str">
        <f>+'Master Sheet'!$C$65</f>
        <v>(Amount in INR)</v>
      </c>
    </row>
    <row r="13" spans="1:27" s="148" customFormat="1">
      <c r="B13" s="1297" t="s">
        <v>500</v>
      </c>
      <c r="C13" s="1299" t="s">
        <v>580</v>
      </c>
      <c r="D13" s="1300"/>
      <c r="E13" s="1300"/>
      <c r="F13" s="1300"/>
      <c r="G13" s="1300"/>
      <c r="H13" s="1300"/>
      <c r="I13" s="1300"/>
      <c r="J13" s="1301"/>
      <c r="K13" s="1302" t="s">
        <v>581</v>
      </c>
      <c r="L13" s="1295" t="s">
        <v>582</v>
      </c>
    </row>
    <row r="14" spans="1:27" s="148" customFormat="1" ht="52.9">
      <c r="A14" s="534"/>
      <c r="B14" s="1298"/>
      <c r="C14" s="535" t="s">
        <v>583</v>
      </c>
      <c r="D14" s="535" t="s">
        <v>294</v>
      </c>
      <c r="E14" s="535" t="s">
        <v>584</v>
      </c>
      <c r="F14" s="536" t="s">
        <v>304</v>
      </c>
      <c r="G14" s="536" t="s">
        <v>585</v>
      </c>
      <c r="H14" s="536" t="s">
        <v>586</v>
      </c>
      <c r="I14" s="536" t="s">
        <v>587</v>
      </c>
      <c r="J14" s="536" t="s">
        <v>588</v>
      </c>
      <c r="K14" s="1303"/>
      <c r="L14" s="1296"/>
      <c r="R14" s="650" t="s">
        <v>583</v>
      </c>
      <c r="S14" s="650" t="s">
        <v>294</v>
      </c>
      <c r="T14" s="650" t="s">
        <v>584</v>
      </c>
      <c r="U14" s="650" t="s">
        <v>304</v>
      </c>
      <c r="V14" s="650" t="s">
        <v>585</v>
      </c>
      <c r="W14" s="650" t="s">
        <v>586</v>
      </c>
      <c r="X14" s="650" t="s">
        <v>587</v>
      </c>
      <c r="Y14" s="650" t="s">
        <v>588</v>
      </c>
      <c r="Z14" s="650" t="s">
        <v>589</v>
      </c>
    </row>
    <row r="15" spans="1:27" s="148" customFormat="1" ht="15" customHeight="1">
      <c r="B15" s="1110" t="e">
        <f ca="1">OE_PY_OP</f>
        <v>#NAME?</v>
      </c>
      <c r="C15" s="537">
        <f ca="1">'NT OE'!G32</f>
        <v>0</v>
      </c>
      <c r="D15" s="537">
        <f ca="1">'NT OE'!G24</f>
        <v>0</v>
      </c>
      <c r="E15" s="537">
        <f ca="1">'NT OE'!G44</f>
        <v>0</v>
      </c>
      <c r="F15" s="537">
        <f ca="1">'NT OE'!G77</f>
        <v>0</v>
      </c>
      <c r="G15" s="537">
        <f ca="1">'NT OE'!G65</f>
        <v>0</v>
      </c>
      <c r="H15" s="537">
        <f ca="1">'NT OE'!G86</f>
        <v>0</v>
      </c>
      <c r="I15" s="537">
        <f ca="1">'NT OE'!G71</f>
        <v>0</v>
      </c>
      <c r="J15" s="742">
        <f ca="1">SUM(C15:I15)</f>
        <v>0</v>
      </c>
      <c r="K15" s="743">
        <f ca="1">'NT OE'!G92</f>
        <v>0</v>
      </c>
      <c r="L15" s="744">
        <f ca="1">J15+K15</f>
        <v>0</v>
      </c>
      <c r="P15" s="1054" t="str">
        <f ca="1">IF(AND(C15=0,D15=0,E15=0,F15=0,G15=0,H15=0,I15=0,K15=0),"##H","")</f>
        <v>##H</v>
      </c>
      <c r="W15" s="148" t="s">
        <v>590</v>
      </c>
      <c r="AA15" s="124" t="s">
        <v>50</v>
      </c>
    </row>
    <row r="16" spans="1:27" s="148" customFormat="1" ht="15" hidden="1" customHeight="1">
      <c r="B16" s="542" t="s">
        <v>591</v>
      </c>
      <c r="C16" s="538"/>
      <c r="D16" s="538"/>
      <c r="E16" s="537">
        <f ca="1">'P&amp;L'!D39</f>
        <v>0</v>
      </c>
      <c r="F16" s="538"/>
      <c r="G16" s="538"/>
      <c r="H16" s="538"/>
      <c r="I16" s="538"/>
      <c r="J16" s="742">
        <f ca="1">SUM(C16:I16)</f>
        <v>0</v>
      </c>
      <c r="K16" s="537">
        <f ca="1">'NT OE'!G93</f>
        <v>0</v>
      </c>
      <c r="L16" s="744">
        <f t="shared" ref="L16:L25" ca="1" si="0">J16+K16</f>
        <v>0</v>
      </c>
      <c r="P16" s="1054" t="str">
        <f t="shared" ref="P16:P40" ca="1" si="1">IF(AND(C16=0,D16=0,E16=0,F16=0,G16=0,H16=0,I16=0,K16=0),"##H","")</f>
        <v>##H</v>
      </c>
    </row>
    <row r="17" spans="2:27" s="148" customFormat="1" ht="15" hidden="1" customHeight="1">
      <c r="B17" s="542" t="s">
        <v>592</v>
      </c>
      <c r="C17" s="538"/>
      <c r="D17" s="538"/>
      <c r="E17" s="537">
        <f ca="1">'NT OE'!G51</f>
        <v>0</v>
      </c>
      <c r="F17" s="538"/>
      <c r="G17" s="538"/>
      <c r="H17" s="538"/>
      <c r="I17" s="538"/>
      <c r="J17" s="742">
        <f ca="1">SUM(C17:I17)</f>
        <v>0</v>
      </c>
      <c r="K17" s="537">
        <f ca="1">'NT OE'!G94</f>
        <v>0</v>
      </c>
      <c r="L17" s="744">
        <f ca="1">J17+K17</f>
        <v>0</v>
      </c>
      <c r="P17" s="1054" t="str">
        <f ca="1">IF(AND(C17=0,D17=0,E17=0,F17=0,G17=0,H17=0,I17=0,K17=0),"##H","")</f>
        <v>##H</v>
      </c>
    </row>
    <row r="18" spans="2:27" s="148" customFormat="1" ht="15" customHeight="1">
      <c r="B18" s="542" t="s">
        <v>593</v>
      </c>
      <c r="C18" s="537">
        <f ca="1">'NT OE'!G33</f>
        <v>0</v>
      </c>
      <c r="D18" s="538"/>
      <c r="E18" s="538"/>
      <c r="F18" s="538"/>
      <c r="G18" s="538"/>
      <c r="H18" s="538"/>
      <c r="I18" s="538"/>
      <c r="J18" s="737"/>
      <c r="K18" s="538"/>
      <c r="L18" s="738"/>
      <c r="P18" s="20"/>
    </row>
    <row r="19" spans="2:27" s="148" customFormat="1" ht="28.15" customHeight="1">
      <c r="B19" s="542" t="s">
        <v>594</v>
      </c>
      <c r="C19" s="537">
        <f ca="1">'NT OE'!G34</f>
        <v>0</v>
      </c>
      <c r="D19" s="538"/>
      <c r="E19" s="538"/>
      <c r="F19" s="538"/>
      <c r="G19" s="538"/>
      <c r="H19" s="538"/>
      <c r="I19" s="538"/>
      <c r="J19" s="737"/>
      <c r="K19" s="538"/>
      <c r="L19" s="738"/>
      <c r="P19" s="20"/>
    </row>
    <row r="20" spans="2:27" s="148" customFormat="1" ht="26.45" hidden="1">
      <c r="B20" s="542" t="s">
        <v>595</v>
      </c>
      <c r="C20" s="538"/>
      <c r="D20" s="538"/>
      <c r="E20" s="537">
        <f>'NT OE'!G54</f>
        <v>0</v>
      </c>
      <c r="F20" s="538"/>
      <c r="G20" s="538"/>
      <c r="H20" s="538"/>
      <c r="I20" s="538"/>
      <c r="J20" s="742">
        <f t="shared" ref="J20:J25" si="2">SUM(C20:I20)</f>
        <v>0</v>
      </c>
      <c r="K20" s="537">
        <f ca="1">'NT OE'!G95</f>
        <v>0</v>
      </c>
      <c r="L20" s="744">
        <f t="shared" ca="1" si="0"/>
        <v>0</v>
      </c>
      <c r="P20" s="1054" t="str">
        <f t="shared" ca="1" si="1"/>
        <v>##H</v>
      </c>
    </row>
    <row r="21" spans="2:27" s="148" customFormat="1" ht="26.45" hidden="1">
      <c r="B21" s="542" t="s">
        <v>306</v>
      </c>
      <c r="C21" s="538"/>
      <c r="D21" s="538"/>
      <c r="E21" s="538"/>
      <c r="F21" s="538"/>
      <c r="G21" s="538"/>
      <c r="H21" s="537">
        <f ca="1">'NT OE'!G87</f>
        <v>0</v>
      </c>
      <c r="I21" s="538"/>
      <c r="J21" s="742">
        <f t="shared" ca="1" si="2"/>
        <v>0</v>
      </c>
      <c r="K21" s="537">
        <f ca="1">'NT OE'!G96</f>
        <v>0</v>
      </c>
      <c r="L21" s="744">
        <f t="shared" ca="1" si="0"/>
        <v>0</v>
      </c>
      <c r="P21" s="1054" t="str">
        <f t="shared" ca="1" si="1"/>
        <v>##H</v>
      </c>
      <c r="W21" s="148" t="s">
        <v>596</v>
      </c>
      <c r="AA21" s="124" t="s">
        <v>50</v>
      </c>
    </row>
    <row r="22" spans="2:27" s="148" customFormat="1">
      <c r="B22" s="542" t="s">
        <v>597</v>
      </c>
      <c r="C22" s="540"/>
      <c r="D22" s="540"/>
      <c r="E22" s="540"/>
      <c r="F22" s="540"/>
      <c r="G22" s="540"/>
      <c r="H22" s="540"/>
      <c r="I22" s="539">
        <f ca="1">'NT OE'!G72</f>
        <v>0</v>
      </c>
      <c r="J22" s="737"/>
      <c r="K22" s="540"/>
      <c r="L22" s="738"/>
      <c r="P22" s="20"/>
      <c r="AA22" s="124"/>
    </row>
    <row r="23" spans="2:27" s="148" customFormat="1" ht="26.45">
      <c r="B23" s="542" t="s">
        <v>598</v>
      </c>
      <c r="C23" s="540"/>
      <c r="D23" s="540"/>
      <c r="E23" s="539">
        <f ca="1">SUM('NT OE'!G55:G57)</f>
        <v>0</v>
      </c>
      <c r="F23" s="540"/>
      <c r="G23" s="540"/>
      <c r="H23" s="540"/>
      <c r="I23" s="540"/>
      <c r="J23" s="737"/>
      <c r="K23" s="540"/>
      <c r="L23" s="738"/>
      <c r="P23" s="20"/>
      <c r="AA23" s="124"/>
    </row>
    <row r="24" spans="2:27" s="148" customFormat="1" ht="26.45">
      <c r="B24" s="542" t="s">
        <v>599</v>
      </c>
      <c r="C24" s="540"/>
      <c r="D24" s="540"/>
      <c r="E24" s="540"/>
      <c r="F24" s="539">
        <f ca="1">'NT OE'!G78</f>
        <v>0</v>
      </c>
      <c r="G24" s="540"/>
      <c r="H24" s="540"/>
      <c r="I24" s="540"/>
      <c r="J24" s="737"/>
      <c r="K24" s="540"/>
      <c r="L24" s="738"/>
      <c r="P24" s="20"/>
      <c r="AA24" s="124"/>
    </row>
    <row r="25" spans="2:27" s="148" customFormat="1" ht="15" hidden="1" customHeight="1">
      <c r="B25" s="543" t="s">
        <v>600</v>
      </c>
      <c r="C25" s="540"/>
      <c r="D25" s="540"/>
      <c r="E25" s="540"/>
      <c r="F25" s="540"/>
      <c r="G25" s="540"/>
      <c r="H25" s="540"/>
      <c r="I25" s="540"/>
      <c r="J25" s="742">
        <f t="shared" si="2"/>
        <v>0</v>
      </c>
      <c r="K25" s="540"/>
      <c r="L25" s="744">
        <f t="shared" si="0"/>
        <v>0</v>
      </c>
      <c r="P25" s="1054" t="str">
        <f t="shared" si="1"/>
        <v>##H</v>
      </c>
    </row>
    <row r="26" spans="2:27" s="148" customFormat="1" ht="15" customHeight="1">
      <c r="B26" s="1111" t="e">
        <f ca="1">OE_OP_Bal</f>
        <v>#NAME?</v>
      </c>
      <c r="C26" s="745">
        <f ca="1">'NT OE'!G38</f>
        <v>0</v>
      </c>
      <c r="D26" s="745">
        <f ca="1">'NT OE'!G26</f>
        <v>0</v>
      </c>
      <c r="E26" s="745">
        <f ca="1">'NT OE'!G58</f>
        <v>0</v>
      </c>
      <c r="F26" s="745">
        <f ca="1">'NT OE'!G79</f>
        <v>0</v>
      </c>
      <c r="G26" s="745">
        <f ca="1">'NT OE'!G67</f>
        <v>0</v>
      </c>
      <c r="H26" s="745">
        <f ca="1">'NT OE'!G88</f>
        <v>0</v>
      </c>
      <c r="I26" s="745">
        <f ca="1">'NT OE'!G73</f>
        <v>0</v>
      </c>
      <c r="J26" s="745">
        <f ca="1">SUM(C26:I26)</f>
        <v>0</v>
      </c>
      <c r="K26" s="745">
        <f ca="1">'NT OE'!G99</f>
        <v>0</v>
      </c>
      <c r="L26" s="746">
        <f ca="1">SUM(L15:L25)</f>
        <v>0</v>
      </c>
      <c r="P26" s="1054" t="str">
        <f t="shared" ca="1" si="1"/>
        <v>##H</v>
      </c>
    </row>
    <row r="27" spans="2:27" s="148" customFormat="1" ht="15" hidden="1" customHeight="1">
      <c r="B27" s="544" t="s">
        <v>591</v>
      </c>
      <c r="C27" s="739"/>
      <c r="D27" s="739"/>
      <c r="E27" s="541">
        <f ca="1">'P&amp;L'!C39</f>
        <v>0</v>
      </c>
      <c r="F27" s="739"/>
      <c r="G27" s="739"/>
      <c r="H27" s="739"/>
      <c r="I27" s="739"/>
      <c r="J27" s="742">
        <f t="shared" ref="J27:J39" ca="1" si="3">SUM(C27:I27)</f>
        <v>0</v>
      </c>
      <c r="K27" s="541">
        <f ca="1">'NT OE'!F93</f>
        <v>0</v>
      </c>
      <c r="L27" s="747">
        <f ca="1">J27+K27</f>
        <v>0</v>
      </c>
      <c r="P27" s="1054" t="str">
        <f t="shared" ca="1" si="1"/>
        <v>##H</v>
      </c>
    </row>
    <row r="28" spans="2:27" s="148" customFormat="1" ht="15" hidden="1" customHeight="1">
      <c r="B28" s="542" t="s">
        <v>592</v>
      </c>
      <c r="C28" s="538"/>
      <c r="D28" s="538"/>
      <c r="E28" s="537">
        <f ca="1">'NT OE'!F51</f>
        <v>0</v>
      </c>
      <c r="F28" s="538"/>
      <c r="G28" s="538"/>
      <c r="H28" s="538"/>
      <c r="I28" s="538"/>
      <c r="J28" s="742">
        <f t="shared" ca="1" si="3"/>
        <v>0</v>
      </c>
      <c r="K28" s="541">
        <f ca="1">'NT OE'!F94</f>
        <v>0</v>
      </c>
      <c r="L28" s="747">
        <f t="shared" ref="L28:L39" ca="1" si="4">J28+K28</f>
        <v>0</v>
      </c>
      <c r="P28" s="1054" t="str">
        <f t="shared" ca="1" si="1"/>
        <v>##H</v>
      </c>
    </row>
    <row r="29" spans="2:27" s="148" customFormat="1" ht="15" hidden="1" customHeight="1">
      <c r="B29" s="542" t="s">
        <v>593</v>
      </c>
      <c r="C29" s="537">
        <f ca="1">'NT OE'!F33</f>
        <v>0</v>
      </c>
      <c r="D29" s="538"/>
      <c r="E29" s="538"/>
      <c r="F29" s="538"/>
      <c r="G29" s="538"/>
      <c r="H29" s="538"/>
      <c r="I29" s="538"/>
      <c r="J29" s="742">
        <f t="shared" ca="1" si="3"/>
        <v>0</v>
      </c>
      <c r="K29" s="538"/>
      <c r="L29" s="747">
        <f t="shared" ca="1" si="4"/>
        <v>0</v>
      </c>
      <c r="P29" s="1054" t="str">
        <f t="shared" ca="1" si="1"/>
        <v>##H</v>
      </c>
    </row>
    <row r="30" spans="2:27" s="148" customFormat="1" ht="26.45" hidden="1">
      <c r="B30" s="542" t="s">
        <v>594</v>
      </c>
      <c r="C30" s="537">
        <f ca="1">'NT OE'!F34</f>
        <v>0</v>
      </c>
      <c r="D30" s="538"/>
      <c r="E30" s="538"/>
      <c r="F30" s="538"/>
      <c r="G30" s="538"/>
      <c r="H30" s="538"/>
      <c r="I30" s="538"/>
      <c r="J30" s="742">
        <f t="shared" ca="1" si="3"/>
        <v>0</v>
      </c>
      <c r="K30" s="538"/>
      <c r="L30" s="747">
        <f t="shared" ca="1" si="4"/>
        <v>0</v>
      </c>
      <c r="P30" s="1054" t="str">
        <f t="shared" ca="1" si="1"/>
        <v>##H</v>
      </c>
    </row>
    <row r="31" spans="2:27" s="148" customFormat="1" ht="26.45" hidden="1">
      <c r="B31" s="542" t="s">
        <v>595</v>
      </c>
      <c r="C31" s="538"/>
      <c r="D31" s="538"/>
      <c r="E31" s="538"/>
      <c r="F31" s="538"/>
      <c r="G31" s="538"/>
      <c r="H31" s="538"/>
      <c r="I31" s="538"/>
      <c r="J31" s="742">
        <f>SUM(C31:I31)</f>
        <v>0</v>
      </c>
      <c r="K31" s="537">
        <f ca="1">'NT OE'!F95</f>
        <v>0</v>
      </c>
      <c r="L31" s="747">
        <f ca="1">J31+K31</f>
        <v>0</v>
      </c>
      <c r="P31" s="1054" t="str">
        <f ca="1">IF(AND(C31=0,D31=0,E31=0,F31=0,G31=0,H31=0,I31=0,K31=0),"##H","")</f>
        <v>##H</v>
      </c>
    </row>
    <row r="32" spans="2:27" s="148" customFormat="1" ht="26.45" hidden="1">
      <c r="B32" s="542" t="s">
        <v>306</v>
      </c>
      <c r="C32" s="538"/>
      <c r="D32" s="538"/>
      <c r="E32" s="538"/>
      <c r="F32" s="538"/>
      <c r="G32" s="538"/>
      <c r="H32" s="538"/>
      <c r="I32" s="538"/>
      <c r="J32" s="742">
        <f t="shared" si="3"/>
        <v>0</v>
      </c>
      <c r="K32" s="537">
        <f ca="1">'NT OE'!F96</f>
        <v>0</v>
      </c>
      <c r="L32" s="747">
        <f t="shared" ca="1" si="4"/>
        <v>0</v>
      </c>
      <c r="P32" s="1054" t="str">
        <f t="shared" ca="1" si="1"/>
        <v>##H</v>
      </c>
    </row>
    <row r="33" spans="2:16" s="148" customFormat="1" ht="31.5" hidden="1" customHeight="1">
      <c r="B33" s="656" t="s">
        <v>601</v>
      </c>
      <c r="C33" s="538"/>
      <c r="D33" s="538"/>
      <c r="E33" s="538"/>
      <c r="F33" s="538"/>
      <c r="G33" s="538"/>
      <c r="H33" s="538"/>
      <c r="I33" s="538"/>
      <c r="J33" s="742">
        <f t="shared" si="3"/>
        <v>0</v>
      </c>
      <c r="K33" s="538"/>
      <c r="L33" s="747">
        <f t="shared" si="4"/>
        <v>0</v>
      </c>
      <c r="P33" s="1054" t="str">
        <f t="shared" si="1"/>
        <v>##H</v>
      </c>
    </row>
    <row r="34" spans="2:16" s="148" customFormat="1" ht="29.25" hidden="1" customHeight="1">
      <c r="B34" s="657" t="s">
        <v>602</v>
      </c>
      <c r="C34" s="538"/>
      <c r="D34" s="538"/>
      <c r="E34" s="538"/>
      <c r="F34" s="538"/>
      <c r="G34" s="538"/>
      <c r="H34" s="538"/>
      <c r="I34" s="538"/>
      <c r="J34" s="742">
        <f t="shared" si="3"/>
        <v>0</v>
      </c>
      <c r="K34" s="538"/>
      <c r="L34" s="747">
        <f t="shared" si="4"/>
        <v>0</v>
      </c>
      <c r="P34" s="1054" t="str">
        <f t="shared" si="1"/>
        <v>##H</v>
      </c>
    </row>
    <row r="35" spans="2:16" s="148" customFormat="1" ht="26.45" hidden="1">
      <c r="B35" s="656" t="s">
        <v>603</v>
      </c>
      <c r="C35" s="538"/>
      <c r="D35" s="538"/>
      <c r="E35" s="538"/>
      <c r="F35" s="538"/>
      <c r="G35" s="538"/>
      <c r="H35" s="538"/>
      <c r="I35" s="538"/>
      <c r="J35" s="742">
        <f t="shared" si="3"/>
        <v>0</v>
      </c>
      <c r="K35" s="538"/>
      <c r="L35" s="747">
        <f t="shared" si="4"/>
        <v>0</v>
      </c>
      <c r="P35" s="1054" t="str">
        <f t="shared" si="1"/>
        <v>##H</v>
      </c>
    </row>
    <row r="36" spans="2:16" s="148" customFormat="1" ht="15" customHeight="1">
      <c r="B36" s="542" t="s">
        <v>597</v>
      </c>
      <c r="C36" s="538"/>
      <c r="D36" s="538"/>
      <c r="E36" s="538"/>
      <c r="F36" s="538"/>
      <c r="G36" s="538"/>
      <c r="H36" s="538"/>
      <c r="I36" s="537">
        <f ca="1">'NT OE'!F72</f>
        <v>0</v>
      </c>
      <c r="J36" s="742">
        <f t="shared" ca="1" si="3"/>
        <v>0</v>
      </c>
      <c r="K36" s="538"/>
      <c r="L36" s="747">
        <f t="shared" ca="1" si="4"/>
        <v>0</v>
      </c>
      <c r="P36" s="1054" t="str">
        <f t="shared" ca="1" si="1"/>
        <v>##H</v>
      </c>
    </row>
    <row r="37" spans="2:16" s="148" customFormat="1" ht="28.15" hidden="1" customHeight="1">
      <c r="B37" s="542" t="s">
        <v>598</v>
      </c>
      <c r="C37" s="538"/>
      <c r="D37" s="538"/>
      <c r="E37" s="537">
        <f ca="1">SUM('NT OE'!F55:F57)</f>
        <v>0</v>
      </c>
      <c r="F37" s="538"/>
      <c r="G37" s="538"/>
      <c r="H37" s="538"/>
      <c r="I37" s="538"/>
      <c r="J37" s="742">
        <f t="shared" ca="1" si="3"/>
        <v>0</v>
      </c>
      <c r="K37" s="538"/>
      <c r="L37" s="747">
        <f t="shared" ca="1" si="4"/>
        <v>0</v>
      </c>
      <c r="P37" s="1054" t="str">
        <f t="shared" ca="1" si="1"/>
        <v>##H</v>
      </c>
    </row>
    <row r="38" spans="2:16" s="148" customFormat="1" ht="28.15" customHeight="1">
      <c r="B38" s="542" t="s">
        <v>599</v>
      </c>
      <c r="C38" s="538"/>
      <c r="D38" s="538"/>
      <c r="E38" s="538"/>
      <c r="F38" s="537">
        <f ca="1">'NT OE'!F78</f>
        <v>0</v>
      </c>
      <c r="G38" s="538"/>
      <c r="H38" s="538"/>
      <c r="I38" s="538"/>
      <c r="J38" s="742">
        <f t="shared" ca="1" si="3"/>
        <v>0</v>
      </c>
      <c r="K38" s="538"/>
      <c r="L38" s="747">
        <f t="shared" ca="1" si="4"/>
        <v>0</v>
      </c>
      <c r="P38" s="1054" t="str">
        <f t="shared" ca="1" si="1"/>
        <v>##H</v>
      </c>
    </row>
    <row r="39" spans="2:16" s="148" customFormat="1" ht="15" hidden="1" customHeight="1">
      <c r="B39" s="543" t="s">
        <v>604</v>
      </c>
      <c r="C39" s="540"/>
      <c r="D39" s="553"/>
      <c r="E39" s="553"/>
      <c r="F39" s="553"/>
      <c r="G39" s="553"/>
      <c r="H39" s="553"/>
      <c r="I39" s="553"/>
      <c r="J39" s="968">
        <f t="shared" si="3"/>
        <v>0</v>
      </c>
      <c r="K39" s="553"/>
      <c r="L39" s="747">
        <f t="shared" si="4"/>
        <v>0</v>
      </c>
      <c r="P39" s="1054" t="str">
        <f t="shared" si="1"/>
        <v>##H</v>
      </c>
    </row>
    <row r="40" spans="2:16" s="148" customFormat="1" ht="15" customHeight="1">
      <c r="B40" s="1111" t="e">
        <f ca="1">OE_CL_Bal</f>
        <v>#NAME?</v>
      </c>
      <c r="C40" s="746">
        <f ca="1">'NT OE'!F38</f>
        <v>0</v>
      </c>
      <c r="D40" s="746">
        <f ca="1">'NT OE'!F26</f>
        <v>0</v>
      </c>
      <c r="E40" s="746">
        <f ca="1">'NT OE'!F58</f>
        <v>0</v>
      </c>
      <c r="F40" s="746">
        <f ca="1">'NT OE'!F79</f>
        <v>0</v>
      </c>
      <c r="G40" s="746">
        <f ca="1">'NT OE'!F67</f>
        <v>0</v>
      </c>
      <c r="H40" s="746">
        <f ca="1">'NT OE'!F88</f>
        <v>0</v>
      </c>
      <c r="I40" s="746">
        <f ca="1">'NT OE'!F73</f>
        <v>0</v>
      </c>
      <c r="J40" s="746">
        <f ca="1">SUM(C40:I40)</f>
        <v>0</v>
      </c>
      <c r="K40" s="746">
        <f ca="1">'NT OE'!F99</f>
        <v>0</v>
      </c>
      <c r="L40" s="746">
        <f ca="1">J40+K40</f>
        <v>0</v>
      </c>
      <c r="P40" s="1054" t="str">
        <f t="shared" ca="1" si="1"/>
        <v>##H</v>
      </c>
    </row>
    <row r="41" spans="2:16" s="148" customFormat="1">
      <c r="B41" s="159"/>
      <c r="C41" s="161"/>
      <c r="D41" s="161"/>
      <c r="E41" s="161"/>
      <c r="F41" s="161"/>
      <c r="G41" s="161"/>
      <c r="H41" s="161"/>
      <c r="I41" s="161"/>
      <c r="J41" s="161"/>
      <c r="K41" s="161"/>
      <c r="L41" s="160"/>
    </row>
    <row r="42" spans="2:16" s="148" customFormat="1">
      <c r="B42" s="162"/>
      <c r="C42" s="162"/>
      <c r="D42" s="162"/>
      <c r="E42" s="162"/>
      <c r="F42" s="162"/>
      <c r="G42" s="162"/>
      <c r="H42" s="162"/>
      <c r="I42" s="162"/>
      <c r="J42" s="162"/>
      <c r="K42" s="162"/>
      <c r="L42" s="162"/>
    </row>
    <row r="43" spans="2:16" s="148" customFormat="1">
      <c r="B43" s="163"/>
      <c r="C43" s="1565"/>
      <c r="D43" s="164"/>
      <c r="E43" s="164"/>
      <c r="F43" s="164"/>
      <c r="G43" s="164"/>
      <c r="H43" s="164"/>
      <c r="I43" s="164"/>
      <c r="J43" s="164"/>
      <c r="K43" s="164"/>
      <c r="L43" s="164"/>
    </row>
    <row r="44" spans="2:16" s="148" customFormat="1" hidden="1">
      <c r="B44" s="653" t="s">
        <v>496</v>
      </c>
      <c r="D44" s="164"/>
      <c r="E44" s="164"/>
      <c r="F44" s="164"/>
      <c r="G44" s="164"/>
      <c r="H44" s="164"/>
      <c r="I44" s="164"/>
      <c r="J44" s="164"/>
      <c r="K44" s="164"/>
      <c r="L44" s="164"/>
    </row>
    <row r="45" spans="2:16" s="148" customFormat="1" hidden="1">
      <c r="B45" s="654" t="s">
        <v>495</v>
      </c>
      <c r="C45" s="1566">
        <f t="shared" ref="C45:L45" ca="1" si="5">C26-SUM(C15:C25)</f>
        <v>0</v>
      </c>
      <c r="D45" s="1566">
        <f t="shared" ca="1" si="5"/>
        <v>0</v>
      </c>
      <c r="E45" s="1566">
        <f t="shared" ca="1" si="5"/>
        <v>0</v>
      </c>
      <c r="F45" s="1566">
        <f t="shared" ca="1" si="5"/>
        <v>0</v>
      </c>
      <c r="G45" s="1566">
        <f t="shared" ca="1" si="5"/>
        <v>0</v>
      </c>
      <c r="H45" s="1566">
        <f t="shared" ca="1" si="5"/>
        <v>0</v>
      </c>
      <c r="I45" s="1566">
        <f t="shared" ca="1" si="5"/>
        <v>0</v>
      </c>
      <c r="J45" s="1566">
        <f t="shared" ca="1" si="5"/>
        <v>0</v>
      </c>
      <c r="K45" s="1566">
        <f t="shared" ca="1" si="5"/>
        <v>0</v>
      </c>
      <c r="L45" s="1566">
        <f t="shared" ca="1" si="5"/>
        <v>0</v>
      </c>
    </row>
    <row r="46" spans="2:16" s="148" customFormat="1" hidden="1">
      <c r="B46" s="655" t="s">
        <v>494</v>
      </c>
      <c r="C46" s="748">
        <f t="shared" ref="C46:L46" ca="1" si="6">SUM(C26:C39)-C40</f>
        <v>0</v>
      </c>
      <c r="D46" s="748">
        <f t="shared" ca="1" si="6"/>
        <v>0</v>
      </c>
      <c r="E46" s="748">
        <f t="shared" ca="1" si="6"/>
        <v>0</v>
      </c>
      <c r="F46" s="748">
        <f t="shared" ca="1" si="6"/>
        <v>0</v>
      </c>
      <c r="G46" s="748">
        <f t="shared" ca="1" si="6"/>
        <v>0</v>
      </c>
      <c r="H46" s="748">
        <f t="shared" ca="1" si="6"/>
        <v>0</v>
      </c>
      <c r="I46" s="748">
        <f t="shared" ca="1" si="6"/>
        <v>0</v>
      </c>
      <c r="J46" s="748">
        <f t="shared" ca="1" si="6"/>
        <v>0</v>
      </c>
      <c r="K46" s="748">
        <f t="shared" ca="1" si="6"/>
        <v>0</v>
      </c>
      <c r="L46" s="748">
        <f t="shared" ca="1" si="6"/>
        <v>0</v>
      </c>
    </row>
    <row r="47" spans="2:16" s="148" customFormat="1" hidden="1">
      <c r="B47" s="163"/>
      <c r="C47" s="1565"/>
      <c r="D47" s="164"/>
      <c r="E47" s="164"/>
      <c r="F47" s="164"/>
      <c r="G47" s="164"/>
      <c r="H47" s="164"/>
      <c r="I47" s="164"/>
      <c r="J47" s="164"/>
      <c r="K47" s="164"/>
      <c r="L47" s="164"/>
    </row>
    <row r="48" spans="2:16" s="148" customFormat="1">
      <c r="C48" s="165"/>
      <c r="D48" s="165"/>
      <c r="E48" s="165"/>
      <c r="F48" s="165"/>
      <c r="G48" s="165"/>
      <c r="H48" s="165"/>
      <c r="I48" s="165"/>
      <c r="J48" s="165"/>
      <c r="K48" s="165"/>
      <c r="L48" s="165"/>
    </row>
    <row r="49" spans="3:12" s="148" customFormat="1">
      <c r="C49" s="165"/>
      <c r="D49" s="165"/>
      <c r="E49" s="165"/>
      <c r="F49" s="165"/>
      <c r="G49" s="165"/>
      <c r="H49" s="165"/>
      <c r="I49" s="165"/>
      <c r="J49" s="165"/>
      <c r="K49" s="165"/>
      <c r="L49" s="165"/>
    </row>
    <row r="50" spans="3:12" s="148" customFormat="1">
      <c r="C50" s="165"/>
      <c r="D50" s="165"/>
      <c r="E50" s="165"/>
      <c r="F50" s="165"/>
      <c r="G50" s="165"/>
      <c r="H50" s="165"/>
      <c r="I50" s="165"/>
      <c r="J50" s="165"/>
      <c r="K50" s="165"/>
      <c r="L50" s="165"/>
    </row>
    <row r="51" spans="3:12">
      <c r="C51" s="165"/>
      <c r="D51" s="165"/>
      <c r="E51" s="165"/>
      <c r="F51" s="165"/>
      <c r="G51" s="165"/>
      <c r="H51" s="165"/>
      <c r="I51" s="165"/>
      <c r="J51" s="165"/>
      <c r="K51" s="165"/>
      <c r="L51" s="165"/>
    </row>
  </sheetData>
  <sheetProtection algorithmName="SHA-512" hashValue="IZ/6cy5Cb7JrIb07hAa3uJEchT4wzO3KzRDOOWOYfumSgk4ZHgiPzKdQUjYjNZTtKVqFWwqBX1L+2N1CcVTUcw==" saltValue="3GvYlb1p8DX9d4NrgmaAbA==" spinCount="100000" sheet="1" objects="1" scenarios="1"/>
  <mergeCells count="4">
    <mergeCell ref="L13:L14"/>
    <mergeCell ref="B13:B14"/>
    <mergeCell ref="C13:J13"/>
    <mergeCell ref="K13:K14"/>
  </mergeCells>
  <pageMargins left="0.51181102362204722" right="0.51181102362204722" top="0.51181102362204722" bottom="0.51181102362204722" header="0" footer="0"/>
  <pageSetup paperSize="9" scale="54" fitToHeight="0" orientation="landscape" r:id="rId1"/>
  <headerFooter alignWithMargins="0"/>
  <ignoredErrors>
    <ignoredError sqref="L26" 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BF7FF6D-F284-4F25-9DCD-37CE639CC7C7}">
          <x14:formula1>
            <xm:f>'Master Sheet'!$C$37:$C$41</xm:f>
          </x14:formula1>
          <xm:sqref>AA15 AA21:AA24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AB3E-07FF-4168-995E-6D5D746FB1D8}">
  <sheetPr codeName="Sheet15">
    <tabColor theme="5" tint="0.59999389629810485"/>
  </sheetPr>
  <dimension ref="A1:H55"/>
  <sheetViews>
    <sheetView showGridLines="0" view="pageBreakPreview" zoomScaleNormal="100" zoomScaleSheetLayoutView="100" workbookViewId="0">
      <selection activeCell="B13" sqref="B13"/>
    </sheetView>
  </sheetViews>
  <sheetFormatPr defaultColWidth="9.42578125" defaultRowHeight="13.15"/>
  <cols>
    <col min="1" max="1" customWidth="true" style="2" width="47.42578125"/>
    <col min="2" max="2" customWidth="true" style="2" width="20.7109375"/>
    <col min="3" max="3" customWidth="true" style="2" width="8.0"/>
    <col min="4" max="4" customWidth="true" style="2" width="18.42578125"/>
    <col min="5" max="16384" style="2" width="9.42578125"/>
  </cols>
  <sheetData>
    <row r="1" spans="1:8" ht="17.45">
      <c r="A1" s="1106" t="e">
        <f ca="1">Company</f>
        <v>#NAME?</v>
      </c>
      <c r="H1" s="110"/>
    </row>
    <row r="2" spans="1:8" ht="15.6">
      <c r="A2" s="1107" t="e">
        <f ca="1">Note_Head</f>
        <v>#NAME?</v>
      </c>
    </row>
    <row r="3" spans="1:8" ht="15.6">
      <c r="A3" s="111"/>
    </row>
    <row r="4" spans="1:8" ht="13.9">
      <c r="A4" s="21"/>
      <c r="B4" s="548"/>
      <c r="C4" s="103"/>
      <c r="D4" s="103"/>
    </row>
    <row r="5" spans="1:8" ht="13.9">
      <c r="A5" s="1054" t="str">
        <f>'BS Sign page'!A6</f>
        <v>As per our report of even date attached</v>
      </c>
      <c r="B5" s="108"/>
      <c r="C5" s="44"/>
      <c r="D5" s="44"/>
    </row>
    <row r="6" spans="1:8" ht="13.9">
      <c r="A6" s="44"/>
      <c r="B6" s="108"/>
      <c r="C6" s="44"/>
      <c r="D6" s="44"/>
    </row>
    <row r="7" spans="1:8" ht="13.9">
      <c r="A7" s="1064" t="str">
        <f>'BS Sign page'!A8</f>
        <v>For 0</v>
      </c>
      <c r="B7" s="1101" t="str">
        <f>'BS Sign page'!B8</f>
        <v>For and on behalf of  Board of Directors</v>
      </c>
      <c r="C7" s="103"/>
      <c r="D7" s="103"/>
    </row>
    <row r="8" spans="1:8" ht="13.9">
      <c r="A8" s="1064" t="str">
        <f>'BS Sign page'!A9</f>
        <v>Chartered Accountants</v>
      </c>
      <c r="B8" s="210"/>
      <c r="C8" s="44"/>
      <c r="D8" s="44"/>
    </row>
    <row r="9" spans="1:8" ht="13.9">
      <c r="A9" s="1054" t="str">
        <f>'BS Sign page'!A10</f>
        <v>Firm's Registration Number: 0</v>
      </c>
      <c r="B9" s="108"/>
      <c r="C9" s="44"/>
      <c r="D9" s="44"/>
    </row>
    <row r="10" spans="1:8" ht="13.9">
      <c r="A10" s="44"/>
      <c r="B10" s="108"/>
      <c r="C10" s="44"/>
      <c r="D10" s="44"/>
    </row>
    <row r="11" spans="1:8" ht="13.9">
      <c r="A11" s="44"/>
      <c r="B11" s="108"/>
      <c r="C11" s="44"/>
      <c r="D11" s="44"/>
    </row>
    <row r="12" spans="1:8" ht="13.9">
      <c r="A12" s="44"/>
      <c r="B12" s="108"/>
      <c r="C12" s="44"/>
      <c r="D12" s="44"/>
    </row>
    <row r="13" spans="1:8">
      <c r="A13" s="1064">
        <f>'BS Sign page'!A14</f>
        <v>0</v>
      </c>
      <c r="B13" s="1249" t="str">
        <f>'BS Sign page'!B14</f>
        <v/>
      </c>
      <c r="C13" s="20"/>
      <c r="D13" s="1249" t="str">
        <f>'BS Sign page'!D14</f>
        <v/>
      </c>
    </row>
    <row r="14" spans="1:8">
      <c r="A14" s="1054" t="str">
        <f>'BS Sign page'!A15</f>
        <v>Partner</v>
      </c>
      <c r="B14" s="1276" t="str">
        <f>'BS Sign page'!B15</f>
        <v/>
      </c>
      <c r="C14" s="20"/>
      <c r="D14" s="1276" t="str">
        <f>'BS Sign page'!D15</f>
        <v/>
      </c>
    </row>
    <row r="15" spans="1:8">
      <c r="A15" s="1054" t="str">
        <f>'BS Sign page'!A16</f>
        <v>Registration  No: 0</v>
      </c>
      <c r="B15" s="1276" t="str">
        <f>'BS Sign page'!B16</f>
        <v xml:space="preserve">DIN: </v>
      </c>
      <c r="C15" s="20"/>
      <c r="D15" s="1276" t="str">
        <f>'BS Sign page'!D16</f>
        <v xml:space="preserve">DIN: </v>
      </c>
    </row>
    <row r="16" spans="1:8">
      <c r="A16" s="20"/>
      <c r="B16" s="50"/>
      <c r="C16" s="20"/>
      <c r="D16" s="20"/>
    </row>
    <row r="17" spans="1:4">
      <c r="A17" s="20"/>
      <c r="B17" s="50"/>
      <c r="C17" s="20"/>
      <c r="D17" s="20"/>
    </row>
    <row r="18" spans="1:4">
      <c r="A18" s="20"/>
      <c r="B18" s="50"/>
      <c r="C18" s="20"/>
      <c r="D18" s="20"/>
    </row>
    <row r="19" spans="1:4">
      <c r="A19" s="20"/>
      <c r="B19" s="50"/>
      <c r="C19" s="20"/>
      <c r="D19" s="20"/>
    </row>
    <row r="20" spans="1:4">
      <c r="A20" s="20"/>
      <c r="B20" s="1249" t="str">
        <f>'BS Sign page'!B21</f>
        <v/>
      </c>
      <c r="C20" s="20"/>
      <c r="D20" s="1103" t="str">
        <f>'BS Sign page'!D21</f>
        <v/>
      </c>
    </row>
    <row r="21" spans="1:4">
      <c r="A21" s="20"/>
      <c r="B21" s="1276" t="str">
        <f>'BS Sign page'!B22</f>
        <v/>
      </c>
      <c r="C21" s="20"/>
      <c r="D21" s="1105" t="str">
        <f>'BS Sign page'!D22</f>
        <v/>
      </c>
    </row>
    <row r="22" spans="1:4" ht="13.9">
      <c r="A22" s="44"/>
      <c r="B22" s="108"/>
      <c r="C22" s="44"/>
      <c r="D22" s="44"/>
    </row>
    <row r="23" spans="1:4" ht="13.9">
      <c r="A23" s="44"/>
      <c r="B23" s="108"/>
      <c r="C23" s="44"/>
      <c r="D23" s="44"/>
    </row>
    <row r="24" spans="1:4" ht="13.9">
      <c r="A24" s="44"/>
      <c r="B24" s="108"/>
      <c r="C24" s="44"/>
      <c r="D24" s="44"/>
    </row>
    <row r="25" spans="1:4" ht="13.9">
      <c r="A25" s="44"/>
      <c r="B25" s="108"/>
      <c r="C25" s="44"/>
      <c r="D25" s="44"/>
    </row>
    <row r="26" spans="1:4" ht="13.9">
      <c r="A26" s="44"/>
      <c r="B26" s="108"/>
      <c r="C26" s="44"/>
      <c r="D26" s="44"/>
    </row>
    <row r="27" spans="1:4" ht="13.9">
      <c r="A27" s="21" t="s">
        <v>551</v>
      </c>
      <c r="B27" s="210" t="s">
        <v>551</v>
      </c>
      <c r="C27" s="20"/>
      <c r="D27" s="44"/>
    </row>
    <row r="28" spans="1:4" ht="13.9">
      <c r="A28" s="20" t="s">
        <v>552</v>
      </c>
      <c r="B28" s="1264" t="s">
        <v>552</v>
      </c>
      <c r="C28" s="20"/>
      <c r="D28" s="44"/>
    </row>
    <row r="29" spans="1:4">
      <c r="B29" s="15"/>
      <c r="D29" s="15"/>
    </row>
    <row r="30" spans="1:4">
      <c r="B30" s="25"/>
      <c r="D30" s="15"/>
    </row>
    <row r="31" spans="1:4">
      <c r="D31" s="15"/>
    </row>
    <row r="32" spans="1:4">
      <c r="B32" s="15"/>
      <c r="D32" s="15"/>
    </row>
    <row r="33" spans="2:4">
      <c r="B33" s="15"/>
      <c r="D33" s="15"/>
    </row>
    <row r="34" spans="2:4">
      <c r="B34" s="15"/>
      <c r="D34" s="15"/>
    </row>
    <row r="35" spans="2:4">
      <c r="B35" s="15"/>
      <c r="D35" s="15"/>
    </row>
    <row r="36" spans="2:4">
      <c r="B36" s="25"/>
      <c r="D36" s="15"/>
    </row>
    <row r="37" spans="2:4">
      <c r="D37" s="15"/>
    </row>
    <row r="38" spans="2:4">
      <c r="B38" s="15"/>
      <c r="D38" s="15"/>
    </row>
    <row r="39" spans="2:4">
      <c r="B39" s="15"/>
      <c r="D39" s="15"/>
    </row>
    <row r="40" spans="2:4">
      <c r="B40" s="15"/>
      <c r="D40" s="15"/>
    </row>
    <row r="41" spans="2:4">
      <c r="B41" s="15"/>
    </row>
    <row r="42" spans="2:4">
      <c r="B42" s="25"/>
    </row>
    <row r="44" spans="2:4">
      <c r="B44" s="15"/>
    </row>
    <row r="47" spans="2:4">
      <c r="B47" s="15"/>
    </row>
    <row r="48" spans="2:4">
      <c r="B48" s="25"/>
    </row>
    <row r="52" spans="2:2">
      <c r="B52" s="15"/>
    </row>
    <row r="53" spans="2:2">
      <c r="B53" s="25"/>
    </row>
    <row r="55" spans="2:2" ht="5.0999999999999996" customHeight="1"/>
  </sheetData>
  <sheetProtection algorithmName="SHA-512" hashValue="BF7ulnRo6i03mtqujcWRKNnJikZoawZ3q+4bpYWEdN8XdhpKCX/lvQLMnupKGNRKNtP4ZS2GCc+5AVKO2+X3zw==" saltValue="Z05+YAzFKbgb/moy4p3Xdw==" spinCount="100000" sheet="1" objects="1" scenarios="1"/>
  <pageMargins left="0.5" right="0.5" top="0.5" bottom="0.5" header="0" footer="0"/>
  <pageSetup paperSize="9" scale="97"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6339-3B66-47AD-BDE2-86F54B87DDFB}">
  <sheetPr codeName="Sheet16">
    <tabColor theme="5" tint="0.59999389629810485"/>
  </sheetPr>
  <dimension ref="A1:O123"/>
  <sheetViews>
    <sheetView showGridLines="0" view="pageBreakPreview" topLeftCell="A3" zoomScaleNormal="80" zoomScaleSheetLayoutView="100" workbookViewId="0">
      <selection activeCell="C68" sqref="C68"/>
    </sheetView>
  </sheetViews>
  <sheetFormatPr defaultColWidth="9.42578125" defaultRowHeight="13.15" outlineLevelRow="1" outlineLevelCol="1"/>
  <cols>
    <col min="1" max="1" customWidth="true" style="20" width="3.42578125"/>
    <col min="2" max="2" customWidth="true" style="20" width="60.42578125"/>
    <col min="3" max="3" bestFit="true" customWidth="true" style="117" width="19.0"/>
    <col min="4" max="4" bestFit="true" customWidth="true" style="117" width="21.5703125"/>
    <col min="5" max="6" customWidth="true" style="20" width="2.5703125"/>
    <col min="7" max="7" customWidth="true" style="20" width="6.42578125"/>
    <col min="8" max="8" bestFit="true" customWidth="true" style="2" width="4.42578125"/>
    <col min="9" max="9" customWidth="true" hidden="true" style="2" width="6.42578125" outlineLevel="1"/>
    <col min="10" max="10" customWidth="true" hidden="true" style="39" width="8.42578125" outlineLevel="1"/>
    <col min="11" max="11" customWidth="true" hidden="true" style="39" width="13.5703125" outlineLevel="1"/>
    <col min="12" max="12" customWidth="true" hidden="true" style="2" width="13.5703125" outlineLevel="1"/>
    <col min="13" max="13" customWidth="true" hidden="true" style="2" width="10.5703125" outlineLevel="1"/>
    <col min="14" max="14" customWidth="true" hidden="true" style="20" width="0.0" collapsed="true"/>
    <col min="15" max="15" customWidth="true" hidden="true" style="20" width="0.0"/>
    <col min="16" max="16384" style="20" width="9.42578125"/>
  </cols>
  <sheetData>
    <row r="1" spans="1:15" hidden="1" outlineLevel="1">
      <c r="C1" s="1112" t="str">
        <f>BS!C1</f>
        <v>7756|001|INR|Actual|Standalone</v>
      </c>
      <c r="D1" s="1112" t="str">
        <f>BS!D1</f>
        <v>7756|002|INR|Actual|Standalone</v>
      </c>
      <c r="E1" s="1054" t="str">
        <f>'Master Sheet'!$C56</f>
        <v>7755|003|INR|Actual|Consolidated</v>
      </c>
      <c r="H1" s="112" t="s">
        <v>492</v>
      </c>
      <c r="I1" s="112" t="s">
        <v>605</v>
      </c>
      <c r="J1" s="21" t="s">
        <v>553</v>
      </c>
      <c r="K1" s="21" t="s">
        <v>606</v>
      </c>
      <c r="L1" s="28" t="s">
        <v>493</v>
      </c>
      <c r="M1" s="28" t="s">
        <v>607</v>
      </c>
    </row>
    <row r="2" spans="1:15" hidden="1" outlineLevel="1">
      <c r="C2" s="166"/>
      <c r="D2" s="166"/>
      <c r="H2" s="112"/>
      <c r="I2" s="112"/>
      <c r="J2" s="112"/>
      <c r="K2" s="112"/>
      <c r="L2" s="112"/>
      <c r="M2" s="112"/>
      <c r="N2" s="20" t="s">
        <v>495</v>
      </c>
    </row>
    <row r="3" spans="1:15" ht="17.45" collapsed="1">
      <c r="A3" s="1106" t="e">
        <f ca="1">Company</f>
        <v>#NAME?</v>
      </c>
      <c r="C3" s="20"/>
      <c r="E3" s="115"/>
      <c r="K3" s="20"/>
      <c r="N3" s="1113">
        <f ca="1">COUNTA(CF!C81)-COUNTIF(CF!C81,"=0")</f>
        <v>1</v>
      </c>
      <c r="O3" s="1113">
        <f ca="1">COUNTA(CF!D81)-COUNTIF(CF!D81,"=0")</f>
        <v>1</v>
      </c>
    </row>
    <row r="4" spans="1:15" ht="15.6">
      <c r="A4" s="1107" t="e">
        <f ca="1">'Master Sheet'!C6</f>
        <v>#NAME?</v>
      </c>
      <c r="C4" s="20"/>
      <c r="E4" s="115"/>
      <c r="K4" s="20"/>
    </row>
    <row r="5" spans="1:15" ht="15.6">
      <c r="A5" s="111"/>
      <c r="B5" s="1241"/>
      <c r="D5" s="32"/>
    </row>
    <row r="6" spans="1:15">
      <c r="A6" s="21"/>
      <c r="B6" s="1241"/>
      <c r="D6" s="1114" t="str">
        <f>+'Master Sheet'!C65</f>
        <v>(Amount in INR)</v>
      </c>
    </row>
    <row r="7" spans="1:15" ht="15" customHeight="1">
      <c r="A7" s="167" t="s">
        <v>500</v>
      </c>
      <c r="B7" s="168"/>
      <c r="C7" s="1115" t="e">
        <f ca="1">Current_year</f>
        <v>#NAME?</v>
      </c>
      <c r="D7" s="1116" t="e">
        <f ca="1">Previous_year</f>
        <v>#NAME?</v>
      </c>
    </row>
    <row r="8" spans="1:15" ht="15" customHeight="1">
      <c r="A8" s="169"/>
      <c r="B8" s="170"/>
      <c r="C8" s="142"/>
      <c r="D8" s="171"/>
    </row>
    <row r="9" spans="1:15" ht="15" customHeight="1">
      <c r="A9" s="56" t="s">
        <v>608</v>
      </c>
      <c r="B9" s="33" t="s">
        <v>609</v>
      </c>
      <c r="C9" s="142"/>
      <c r="D9" s="119"/>
    </row>
    <row r="10" spans="1:15" ht="15" customHeight="1">
      <c r="A10" s="58"/>
      <c r="B10" s="33" t="s">
        <v>610</v>
      </c>
      <c r="C10" s="172">
        <f ca="1">'P&amp;L'!C23</f>
        <v>0</v>
      </c>
      <c r="D10" s="173">
        <f ca="1">'P&amp;L'!D23</f>
        <v>0</v>
      </c>
      <c r="H10" s="1054" t="str">
        <f ca="1">IF(C10=0,IF(D10=0,"##H",""),"")</f>
        <v>##H</v>
      </c>
    </row>
    <row r="11" spans="1:15" ht="15" customHeight="1">
      <c r="A11" s="58"/>
      <c r="B11" s="33" t="s">
        <v>611</v>
      </c>
      <c r="C11" s="78"/>
      <c r="D11" s="174"/>
    </row>
    <row r="12" spans="1:15" ht="26.45" hidden="1">
      <c r="A12" s="56"/>
      <c r="B12" s="1251" t="s">
        <v>612</v>
      </c>
      <c r="C12" s="61">
        <f t="shared" ref="C12:C22" ca="1" si="0">IFERROR(INDEX(INDIRECT(VLOOKUP($L12,Source_Master,2,0),),MATCH(TEXT($J12,0),INDIRECT(VLOOKUP($L12,Source_Master,4,0)),0),MATCH(C$1,INDIRECT(VLOOKUP($L12,Source_Master,3,0),),0)),0)*I12</f>
        <v>0</v>
      </c>
      <c r="D12" s="122">
        <f t="shared" ref="D12:D22" ca="1" si="1">IFERROR(INDEX(INDIRECT(VLOOKUP($M12,Source_Master,2,0),),MATCH(TEXT($J12,0),INDIRECT(VLOOKUP($M12,Source_Master,4,0)),0),MATCH(D$1,INDIRECT(VLOOKUP($M12,Source_Master,3,0),),0)),0)*I12</f>
        <v>0</v>
      </c>
      <c r="H12" s="1054" t="str">
        <f t="shared" ref="H12:H23" ca="1" si="2">IF(C12=0,IF(D12=0,"##H",""),"")</f>
        <v>##H</v>
      </c>
      <c r="I12" s="2">
        <f>IFERROR(VLOOKUP(TEXT(J12,0),#REF!,2,0),1)</f>
        <v>1</v>
      </c>
      <c r="J12" s="39">
        <v>3403939</v>
      </c>
      <c r="L12" s="39" t="s">
        <v>613</v>
      </c>
      <c r="M12" s="39" t="s">
        <v>614</v>
      </c>
    </row>
    <row r="13" spans="1:15" ht="15" hidden="1" customHeight="1">
      <c r="A13" s="56"/>
      <c r="B13" s="68" t="s">
        <v>615</v>
      </c>
      <c r="C13" s="61">
        <f t="shared" ca="1" si="0"/>
        <v>0</v>
      </c>
      <c r="D13" s="122">
        <f t="shared" ca="1" si="1"/>
        <v>0</v>
      </c>
      <c r="H13" s="1054" t="str">
        <f t="shared" ca="1" si="2"/>
        <v>##H</v>
      </c>
      <c r="I13" s="2">
        <f>IFERROR(VLOOKUP(TEXT(J13,0),#REF!,2,0),1)</f>
        <v>1</v>
      </c>
      <c r="J13" s="39">
        <v>3403948</v>
      </c>
      <c r="L13" s="39" t="s">
        <v>613</v>
      </c>
      <c r="M13" s="39" t="s">
        <v>614</v>
      </c>
    </row>
    <row r="14" spans="1:15" ht="15" hidden="1" customHeight="1">
      <c r="A14" s="56"/>
      <c r="B14" s="68" t="s">
        <v>616</v>
      </c>
      <c r="C14" s="61">
        <f t="shared" ca="1" si="0"/>
        <v>0</v>
      </c>
      <c r="D14" s="122">
        <f t="shared" ca="1" si="1"/>
        <v>0</v>
      </c>
      <c r="H14" s="1054" t="str">
        <f t="shared" ca="1" si="2"/>
        <v>##H</v>
      </c>
      <c r="I14" s="2">
        <f>IFERROR(VLOOKUP(TEXT(J14,0),#REF!,2,0),1)</f>
        <v>1</v>
      </c>
      <c r="J14" s="39">
        <v>3403952</v>
      </c>
      <c r="L14" s="39" t="s">
        <v>613</v>
      </c>
      <c r="M14" s="39" t="s">
        <v>614</v>
      </c>
    </row>
    <row r="15" spans="1:15" ht="15" hidden="1" customHeight="1">
      <c r="A15" s="56"/>
      <c r="B15" s="68" t="s">
        <v>617</v>
      </c>
      <c r="C15" s="61">
        <f t="shared" ca="1" si="0"/>
        <v>0</v>
      </c>
      <c r="D15" s="122">
        <f t="shared" ca="1" si="1"/>
        <v>0</v>
      </c>
      <c r="H15" s="1054" t="str">
        <f t="shared" ca="1" si="2"/>
        <v>##H</v>
      </c>
      <c r="I15" s="1117">
        <f>IFERROR(VLOOKUP(TEXT(J15,0),#REF!,2,0),1)</f>
        <v>1</v>
      </c>
      <c r="J15" s="39">
        <v>3403961</v>
      </c>
      <c r="L15" s="39" t="s">
        <v>613</v>
      </c>
      <c r="M15" s="39" t="s">
        <v>614</v>
      </c>
    </row>
    <row r="16" spans="1:15" ht="15" hidden="1" customHeight="1">
      <c r="A16" s="56"/>
      <c r="B16" s="68" t="s">
        <v>618</v>
      </c>
      <c r="C16" s="61">
        <f t="shared" ca="1" si="0"/>
        <v>0</v>
      </c>
      <c r="D16" s="122">
        <f t="shared" ca="1" si="1"/>
        <v>0</v>
      </c>
      <c r="H16" s="1054" t="str">
        <f t="shared" ca="1" si="2"/>
        <v>##H</v>
      </c>
      <c r="I16" s="2">
        <f>IFERROR(VLOOKUP(TEXT(J16,0),#REF!,2,0),1)</f>
        <v>1</v>
      </c>
      <c r="J16" s="39">
        <v>3403968</v>
      </c>
      <c r="L16" s="39" t="s">
        <v>613</v>
      </c>
      <c r="M16" s="39" t="s">
        <v>614</v>
      </c>
    </row>
    <row r="17" spans="1:13" ht="15" hidden="1" customHeight="1">
      <c r="A17" s="56"/>
      <c r="B17" s="1251" t="s">
        <v>619</v>
      </c>
      <c r="C17" s="61">
        <f t="shared" ca="1" si="0"/>
        <v>0</v>
      </c>
      <c r="D17" s="122">
        <f t="shared" ca="1" si="1"/>
        <v>0</v>
      </c>
      <c r="H17" s="1054" t="str">
        <f t="shared" ca="1" si="2"/>
        <v>##H</v>
      </c>
      <c r="I17" s="2">
        <f>IFERROR(VLOOKUP(TEXT(J17,0),#REF!,2,0),1)</f>
        <v>1</v>
      </c>
      <c r="J17" s="39">
        <v>3403976</v>
      </c>
      <c r="L17" s="39" t="s">
        <v>613</v>
      </c>
      <c r="M17" s="39" t="s">
        <v>614</v>
      </c>
    </row>
    <row r="18" spans="1:13" ht="26.45" hidden="1">
      <c r="A18" s="56"/>
      <c r="B18" s="1251" t="s">
        <v>620</v>
      </c>
      <c r="C18" s="61">
        <f t="shared" ca="1" si="0"/>
        <v>0</v>
      </c>
      <c r="D18" s="122">
        <f t="shared" ca="1" si="1"/>
        <v>0</v>
      </c>
      <c r="H18" s="1054" t="str">
        <f t="shared" ca="1" si="2"/>
        <v>##H</v>
      </c>
      <c r="I18" s="2">
        <f>IFERROR(VLOOKUP(TEXT(J18,0),#REF!,2,0),1)</f>
        <v>1</v>
      </c>
      <c r="J18" s="39">
        <v>3403980</v>
      </c>
      <c r="L18" s="39" t="s">
        <v>613</v>
      </c>
      <c r="M18" s="39" t="s">
        <v>614</v>
      </c>
    </row>
    <row r="19" spans="1:13" ht="15" hidden="1" customHeight="1">
      <c r="A19" s="56"/>
      <c r="B19" s="68" t="s">
        <v>621</v>
      </c>
      <c r="C19" s="61">
        <f t="shared" ca="1" si="0"/>
        <v>0</v>
      </c>
      <c r="D19" s="122">
        <f t="shared" ca="1" si="1"/>
        <v>0</v>
      </c>
      <c r="H19" s="1054" t="str">
        <f t="shared" ca="1" si="2"/>
        <v>##H</v>
      </c>
      <c r="I19" s="2">
        <f>IFERROR(VLOOKUP(TEXT(J19,0),#REF!,2,0),1)</f>
        <v>1</v>
      </c>
      <c r="J19" s="39">
        <v>3403994</v>
      </c>
      <c r="L19" s="39" t="s">
        <v>613</v>
      </c>
      <c r="M19" s="39" t="s">
        <v>614</v>
      </c>
    </row>
    <row r="20" spans="1:13" ht="15" hidden="1" customHeight="1">
      <c r="A20" s="56"/>
      <c r="B20" s="68" t="s">
        <v>622</v>
      </c>
      <c r="C20" s="61">
        <f t="shared" ca="1" si="0"/>
        <v>0</v>
      </c>
      <c r="D20" s="122">
        <f t="shared" ca="1" si="1"/>
        <v>0</v>
      </c>
      <c r="H20" s="1054" t="str">
        <f t="shared" ca="1" si="2"/>
        <v>##H</v>
      </c>
      <c r="I20" s="2">
        <f>IFERROR(VLOOKUP(TEXT(J20,0),#REF!,2,0),1)</f>
        <v>1</v>
      </c>
      <c r="J20" s="39">
        <v>3403998</v>
      </c>
      <c r="L20" s="39" t="s">
        <v>613</v>
      </c>
      <c r="M20" s="39" t="s">
        <v>614</v>
      </c>
    </row>
    <row r="21" spans="1:13" ht="15" hidden="1" customHeight="1">
      <c r="A21" s="56"/>
      <c r="B21" s="68" t="s">
        <v>623</v>
      </c>
      <c r="C21" s="61">
        <f t="shared" ca="1" si="0"/>
        <v>0</v>
      </c>
      <c r="D21" s="122">
        <f t="shared" ca="1" si="1"/>
        <v>0</v>
      </c>
      <c r="H21" s="1054" t="str">
        <f t="shared" ca="1" si="2"/>
        <v>##H</v>
      </c>
      <c r="I21" s="2">
        <f>IFERROR(VLOOKUP(TEXT(J21,0),#REF!,2,0),1)</f>
        <v>1</v>
      </c>
      <c r="J21" s="39">
        <v>3404004</v>
      </c>
      <c r="L21" s="39" t="s">
        <v>613</v>
      </c>
      <c r="M21" s="39" t="s">
        <v>614</v>
      </c>
    </row>
    <row r="22" spans="1:13" ht="15" hidden="1" customHeight="1">
      <c r="A22" s="56"/>
      <c r="B22" s="68" t="s">
        <v>386</v>
      </c>
      <c r="C22" s="61">
        <f t="shared" ca="1" si="0"/>
        <v>0</v>
      </c>
      <c r="D22" s="122">
        <f t="shared" ca="1" si="1"/>
        <v>0</v>
      </c>
      <c r="H22" s="1054" t="str">
        <f t="shared" ca="1" si="2"/>
        <v>##H</v>
      </c>
      <c r="I22" s="2">
        <f>IFERROR(VLOOKUP(TEXT(J22,0),#REF!,2,0),1)</f>
        <v>1</v>
      </c>
      <c r="J22" s="39">
        <v>3404010</v>
      </c>
      <c r="L22" s="39" t="s">
        <v>613</v>
      </c>
      <c r="M22" s="39" t="s">
        <v>614</v>
      </c>
    </row>
    <row r="23" spans="1:13" ht="15" customHeight="1">
      <c r="A23" s="56"/>
      <c r="B23" s="81" t="s">
        <v>624</v>
      </c>
      <c r="C23" s="69">
        <f ca="1">SUM(C10:C22)</f>
        <v>0</v>
      </c>
      <c r="D23" s="70">
        <f ca="1">SUM(D10:D22)</f>
        <v>0</v>
      </c>
      <c r="H23" s="1054" t="str">
        <f t="shared" ca="1" si="2"/>
        <v>##H</v>
      </c>
    </row>
    <row r="24" spans="1:13" ht="15" customHeight="1">
      <c r="A24" s="56"/>
      <c r="B24" s="68" t="s">
        <v>611</v>
      </c>
      <c r="C24" s="74"/>
      <c r="D24" s="75"/>
    </row>
    <row r="25" spans="1:13" ht="15" hidden="1" customHeight="1">
      <c r="A25" s="56"/>
      <c r="B25" s="68" t="s">
        <v>625</v>
      </c>
      <c r="C25" s="61">
        <f ca="1">IFERROR(INDEX(INDIRECT(VLOOKUP($L25,Source_Master,2,0),),MATCH(TEXT($J25,0),INDIRECT(VLOOKUP($L25,Source_Master,4,0)),0),MATCH(C$1,INDIRECT(VLOOKUP($L25,Source_Master,3,0),),0)),0)*I25</f>
        <v>0</v>
      </c>
      <c r="D25" s="122">
        <f ca="1">IFERROR(INDEX(INDIRECT(VLOOKUP($M25,Source_Master,2,0),),MATCH(TEXT($J25,0),INDIRECT(VLOOKUP($M25,Source_Master,4,0)),0),MATCH(D$1,INDIRECT(VLOOKUP($M25,Source_Master,3,0),),0)),0)*I25</f>
        <v>0</v>
      </c>
      <c r="H25" s="1054" t="str">
        <f t="shared" ref="H25:H30" ca="1" si="3">IF(C25=0,IF(D25=0,"##H",""),"")</f>
        <v>##H</v>
      </c>
      <c r="I25" s="2">
        <f>IFERROR(VLOOKUP(TEXT(J25,0),#REF!,2,0),1)</f>
        <v>1</v>
      </c>
      <c r="J25" s="39">
        <v>3403863</v>
      </c>
      <c r="L25" s="39" t="s">
        <v>613</v>
      </c>
      <c r="M25" s="39" t="s">
        <v>614</v>
      </c>
    </row>
    <row r="26" spans="1:13" ht="15" hidden="1" customHeight="1">
      <c r="A26" s="56"/>
      <c r="B26" s="68" t="s">
        <v>248</v>
      </c>
      <c r="C26" s="61">
        <f ca="1">IFERROR(INDEX(INDIRECT(VLOOKUP($L26,Source_Master,2,0),),MATCH(TEXT($J26,0),INDIRECT(VLOOKUP($L26,Source_Master,4,0)),0),MATCH(C$1,INDIRECT(VLOOKUP($L26,Source_Master,3,0),),0)),0)*I26</f>
        <v>0</v>
      </c>
      <c r="D26" s="122">
        <f ca="1">IFERROR(INDEX(INDIRECT(VLOOKUP($M26,Source_Master,2,0),),MATCH(TEXT($J26,0),INDIRECT(VLOOKUP($M26,Source_Master,4,0)),0),MATCH(D$1,INDIRECT(VLOOKUP($M26,Source_Master,3,0),),0)),0)*I26</f>
        <v>0</v>
      </c>
      <c r="H26" s="1054" t="str">
        <f t="shared" ca="1" si="3"/>
        <v>##H</v>
      </c>
      <c r="I26" s="2">
        <f>IFERROR(VLOOKUP(TEXT(J26,0),#REF!,2,0),1)</f>
        <v>1</v>
      </c>
      <c r="J26" s="39">
        <v>3403864</v>
      </c>
      <c r="L26" s="39" t="s">
        <v>613</v>
      </c>
      <c r="M26" s="39" t="s">
        <v>614</v>
      </c>
    </row>
    <row r="27" spans="1:13" ht="15" hidden="1" customHeight="1">
      <c r="A27" s="56"/>
      <c r="B27" s="68" t="s">
        <v>626</v>
      </c>
      <c r="C27" s="61">
        <f ca="1">IFERROR(INDEX(INDIRECT(VLOOKUP($L27,Source_Master,2,0),),MATCH(TEXT($J27,0),INDIRECT(VLOOKUP($L27,Source_Master,4,0)),0),MATCH(C$1,INDIRECT(VLOOKUP($L27,Source_Master,3,0),),0)),0)*I27</f>
        <v>0</v>
      </c>
      <c r="D27" s="122">
        <f ca="1">IFERROR(INDEX(INDIRECT(VLOOKUP($M27,Source_Master,2,0),),MATCH(TEXT($J27,0),INDIRECT(VLOOKUP($M27,Source_Master,4,0)),0),MATCH(D$1,INDIRECT(VLOOKUP($M27,Source_Master,3,0),),0)),0)*I27</f>
        <v>0</v>
      </c>
      <c r="H27" s="1054" t="str">
        <f t="shared" ca="1" si="3"/>
        <v>##H</v>
      </c>
      <c r="I27" s="2">
        <f>IFERROR(VLOOKUP(TEXT(J27,0),#REF!,2,0),1)</f>
        <v>1</v>
      </c>
      <c r="J27" s="39">
        <v>3403865</v>
      </c>
      <c r="L27" s="39" t="s">
        <v>613</v>
      </c>
      <c r="M27" s="39" t="s">
        <v>614</v>
      </c>
    </row>
    <row r="28" spans="1:13" ht="15" customHeight="1">
      <c r="A28" s="56"/>
      <c r="B28" s="81" t="s">
        <v>627</v>
      </c>
      <c r="C28" s="69">
        <f ca="1">SUM(C23:C27)</f>
        <v>0</v>
      </c>
      <c r="D28" s="70">
        <f ca="1">SUM(D23:D27)</f>
        <v>0</v>
      </c>
      <c r="H28" s="1054" t="str">
        <f t="shared" ca="1" si="3"/>
        <v>##H</v>
      </c>
      <c r="L28" s="39"/>
      <c r="M28" s="39"/>
    </row>
    <row r="29" spans="1:13" ht="15" customHeight="1">
      <c r="A29" s="56"/>
      <c r="B29" s="68" t="s">
        <v>628</v>
      </c>
      <c r="C29" s="61">
        <f ca="1">IFERROR(INDEX(INDIRECT(VLOOKUP($L29,Source_Master,2,0),),MATCH(TEXT($J29,0),INDIRECT(VLOOKUP($L29,Source_Master,4,0)),0),MATCH(C$1,INDIRECT(VLOOKUP($L29,Source_Master,3,0),),0)),0)*I29</f>
        <v>0</v>
      </c>
      <c r="D29" s="122">
        <f ca="1">IFERROR(INDEX(INDIRECT(VLOOKUP($M29,Source_Master,2,0),),MATCH(TEXT($J29,0),INDIRECT(VLOOKUP($M29,Source_Master,4,0)),0),MATCH(D$1,INDIRECT(VLOOKUP($M29,Source_Master,3,0),),0)),0)*I29-1</f>
        <v>-1</v>
      </c>
      <c r="H29" s="1054" t="str">
        <f t="shared" ca="1" si="3"/>
        <v/>
      </c>
      <c r="I29" s="2">
        <f>IFERROR(VLOOKUP(TEXT(J29,0),#REF!,2,0),1)</f>
        <v>1</v>
      </c>
      <c r="J29" s="39">
        <v>3403866</v>
      </c>
      <c r="L29" s="39" t="s">
        <v>613</v>
      </c>
      <c r="M29" s="39" t="s">
        <v>614</v>
      </c>
    </row>
    <row r="30" spans="1:13">
      <c r="A30" s="56"/>
      <c r="B30" s="1277" t="s">
        <v>629</v>
      </c>
      <c r="C30" s="69">
        <f ca="1">SUM(C28:C29)</f>
        <v>0</v>
      </c>
      <c r="D30" s="70">
        <f ca="1">SUM(D28:D29)</f>
        <v>-1</v>
      </c>
      <c r="H30" s="1054" t="str">
        <f t="shared" ca="1" si="3"/>
        <v/>
      </c>
    </row>
    <row r="31" spans="1:13">
      <c r="A31" s="56"/>
      <c r="B31" s="1277"/>
      <c r="C31" s="1567"/>
      <c r="D31" s="1568"/>
    </row>
    <row r="32" spans="1:13" ht="15" customHeight="1">
      <c r="A32" s="56" t="s">
        <v>630</v>
      </c>
      <c r="B32" s="33" t="s">
        <v>631</v>
      </c>
      <c r="C32" s="86"/>
      <c r="D32" s="79"/>
    </row>
    <row r="33" spans="1:13" ht="26.45" hidden="1">
      <c r="A33" s="58"/>
      <c r="B33" s="1251" t="s">
        <v>632</v>
      </c>
      <c r="C33" s="61">
        <f t="shared" ref="C33:C46" ca="1" si="4">IFERROR(INDEX(INDIRECT(VLOOKUP($L33,Source_Master,2,0),),MATCH(TEXT($J33,0),INDIRECT(VLOOKUP($L33,Source_Master,4,0)),0),MATCH(C$1,INDIRECT(VLOOKUP($L33,Source_Master,3,0),),0)),0)*I33</f>
        <v>0</v>
      </c>
      <c r="D33" s="122">
        <f t="shared" ref="D33:D46" ca="1" si="5">IFERROR(INDEX(INDIRECT(VLOOKUP($M33,Source_Master,2,0),),MATCH(TEXT($J33,0),INDIRECT(VLOOKUP($M33,Source_Master,4,0)),0),MATCH(D$1,INDIRECT(VLOOKUP($M33,Source_Master,3,0),),0)),0)*I33</f>
        <v>0</v>
      </c>
      <c r="H33" s="1054" t="str">
        <f t="shared" ref="H33:H47" ca="1" si="6">IF(C33=0,IF(D33=0,"##H",""),"")</f>
        <v>##H</v>
      </c>
      <c r="I33" s="1118">
        <f>IFERROR(VLOOKUP(TEXT(J33,0),#REF!,2,0),1)</f>
        <v>1</v>
      </c>
      <c r="J33" s="39">
        <v>3403868</v>
      </c>
      <c r="L33" s="39" t="s">
        <v>613</v>
      </c>
      <c r="M33" s="39" t="s">
        <v>614</v>
      </c>
    </row>
    <row r="34" spans="1:13" ht="26.45" hidden="1">
      <c r="A34" s="58"/>
      <c r="B34" s="1251" t="s">
        <v>633</v>
      </c>
      <c r="C34" s="61">
        <f t="shared" ca="1" si="4"/>
        <v>0</v>
      </c>
      <c r="D34" s="122">
        <f t="shared" ca="1" si="5"/>
        <v>0</v>
      </c>
      <c r="H34" s="1054" t="str">
        <f t="shared" ca="1" si="6"/>
        <v>##H</v>
      </c>
      <c r="I34" s="1118">
        <f>IFERROR(VLOOKUP(TEXT(J34,0),#REF!,2,0),1)</f>
        <v>1</v>
      </c>
      <c r="J34" s="39">
        <v>3403873</v>
      </c>
      <c r="L34" s="39" t="s">
        <v>613</v>
      </c>
      <c r="M34" s="39" t="s">
        <v>614</v>
      </c>
    </row>
    <row r="35" spans="1:13" ht="15" hidden="1" customHeight="1">
      <c r="A35" s="58"/>
      <c r="B35" s="58" t="s">
        <v>634</v>
      </c>
      <c r="C35" s="61">
        <f t="shared" ca="1" si="4"/>
        <v>0</v>
      </c>
      <c r="D35" s="122">
        <f t="shared" ca="1" si="5"/>
        <v>0</v>
      </c>
      <c r="H35" s="1054" t="str">
        <f t="shared" ca="1" si="6"/>
        <v>##H</v>
      </c>
      <c r="I35" s="2">
        <f>IFERROR(VLOOKUP(TEXT(J35,0),#REF!,2,0),1)</f>
        <v>1</v>
      </c>
      <c r="J35" s="39">
        <v>3403876</v>
      </c>
      <c r="L35" s="39" t="s">
        <v>613</v>
      </c>
      <c r="M35" s="39" t="s">
        <v>614</v>
      </c>
    </row>
    <row r="36" spans="1:13" ht="15" hidden="1" customHeight="1">
      <c r="A36" s="58"/>
      <c r="B36" s="58" t="s">
        <v>635</v>
      </c>
      <c r="C36" s="61">
        <f t="shared" ca="1" si="4"/>
        <v>0</v>
      </c>
      <c r="D36" s="122">
        <f t="shared" ca="1" si="5"/>
        <v>0</v>
      </c>
      <c r="H36" s="1054" t="str">
        <f t="shared" ca="1" si="6"/>
        <v>##H</v>
      </c>
      <c r="I36" s="2">
        <f>IFERROR(VLOOKUP(TEXT(J36,0),#REF!,2,0),1)</f>
        <v>1</v>
      </c>
      <c r="J36" s="39">
        <v>3404032</v>
      </c>
      <c r="L36" s="39" t="s">
        <v>613</v>
      </c>
      <c r="M36" s="39" t="s">
        <v>614</v>
      </c>
    </row>
    <row r="37" spans="1:13" ht="15" hidden="1" customHeight="1">
      <c r="A37" s="58"/>
      <c r="B37" s="58" t="s">
        <v>636</v>
      </c>
      <c r="C37" s="61">
        <f t="shared" ca="1" si="4"/>
        <v>0</v>
      </c>
      <c r="D37" s="122">
        <f t="shared" ca="1" si="5"/>
        <v>0</v>
      </c>
      <c r="H37" s="1054" t="str">
        <f t="shared" ca="1" si="6"/>
        <v>##H</v>
      </c>
      <c r="I37" s="2">
        <f>IFERROR(VLOOKUP(TEXT(J37,0),#REF!,2,0),1)</f>
        <v>1</v>
      </c>
      <c r="J37" s="39">
        <v>3403877</v>
      </c>
      <c r="L37" s="39" t="s">
        <v>613</v>
      </c>
      <c r="M37" s="39" t="s">
        <v>614</v>
      </c>
    </row>
    <row r="38" spans="1:13" ht="15" hidden="1" customHeight="1">
      <c r="A38" s="58"/>
      <c r="B38" s="58" t="s">
        <v>637</v>
      </c>
      <c r="C38" s="61">
        <f t="shared" ca="1" si="4"/>
        <v>0</v>
      </c>
      <c r="D38" s="122">
        <f t="shared" ca="1" si="5"/>
        <v>0</v>
      </c>
      <c r="H38" s="1054" t="str">
        <f t="shared" ca="1" si="6"/>
        <v>##H</v>
      </c>
      <c r="I38" s="2">
        <f>IFERROR(VLOOKUP(TEXT(J38,0),#REF!,2,0),1)</f>
        <v>1</v>
      </c>
      <c r="J38" s="39">
        <v>3404037</v>
      </c>
      <c r="L38" s="39" t="s">
        <v>613</v>
      </c>
      <c r="M38" s="39" t="s">
        <v>614</v>
      </c>
    </row>
    <row r="39" spans="1:13" ht="15" hidden="1" customHeight="1">
      <c r="A39" s="58"/>
      <c r="B39" s="58" t="s">
        <v>638</v>
      </c>
      <c r="C39" s="61">
        <f t="shared" ca="1" si="4"/>
        <v>0</v>
      </c>
      <c r="D39" s="122">
        <f t="shared" ca="1" si="5"/>
        <v>0</v>
      </c>
      <c r="H39" s="1054" t="str">
        <f t="shared" ca="1" si="6"/>
        <v>##H</v>
      </c>
      <c r="I39" s="2">
        <f>IFERROR(VLOOKUP(TEXT(J39,0),#REF!,2,0),1)</f>
        <v>1</v>
      </c>
      <c r="J39" s="39">
        <v>3404044</v>
      </c>
      <c r="L39" s="39" t="s">
        <v>613</v>
      </c>
      <c r="M39" s="39" t="s">
        <v>614</v>
      </c>
    </row>
    <row r="40" spans="1:13" ht="15" hidden="1" customHeight="1">
      <c r="A40" s="58"/>
      <c r="B40" s="58" t="s">
        <v>639</v>
      </c>
      <c r="C40" s="61">
        <f t="shared" ca="1" si="4"/>
        <v>0</v>
      </c>
      <c r="D40" s="122">
        <f t="shared" ca="1" si="5"/>
        <v>0</v>
      </c>
      <c r="H40" s="1054" t="str">
        <f t="shared" ca="1" si="6"/>
        <v>##H</v>
      </c>
      <c r="I40" s="2">
        <f>IFERROR(VLOOKUP(TEXT(J40,0),#REF!,2,0),1)</f>
        <v>1</v>
      </c>
      <c r="J40" s="39">
        <v>3403878</v>
      </c>
      <c r="L40" s="39" t="s">
        <v>613</v>
      </c>
      <c r="M40" s="39" t="s">
        <v>614</v>
      </c>
    </row>
    <row r="41" spans="1:13" ht="15" hidden="1" customHeight="1">
      <c r="A41" s="58"/>
      <c r="B41" s="58" t="s">
        <v>640</v>
      </c>
      <c r="C41" s="61">
        <f t="shared" ca="1" si="4"/>
        <v>0</v>
      </c>
      <c r="D41" s="122">
        <f t="shared" ca="1" si="5"/>
        <v>0</v>
      </c>
      <c r="H41" s="1054" t="str">
        <f t="shared" ca="1" si="6"/>
        <v>##H</v>
      </c>
      <c r="I41" s="2">
        <f>IFERROR(VLOOKUP(TEXT(J41,0),#REF!,2,0),1)</f>
        <v>1</v>
      </c>
      <c r="J41" s="39">
        <v>3403879</v>
      </c>
      <c r="L41" s="39" t="s">
        <v>613</v>
      </c>
      <c r="M41" s="39" t="s">
        <v>614</v>
      </c>
    </row>
    <row r="42" spans="1:13" ht="15" hidden="1" customHeight="1">
      <c r="A42" s="58"/>
      <c r="B42" s="58" t="s">
        <v>641</v>
      </c>
      <c r="C42" s="61">
        <f t="shared" ca="1" si="4"/>
        <v>0</v>
      </c>
      <c r="D42" s="122">
        <f t="shared" ca="1" si="5"/>
        <v>0</v>
      </c>
      <c r="H42" s="1054" t="str">
        <f t="shared" ca="1" si="6"/>
        <v>##H</v>
      </c>
      <c r="I42" s="2">
        <f>IFERROR(VLOOKUP(TEXT(J42,0),#REF!,2,0),1)</f>
        <v>1</v>
      </c>
      <c r="J42" s="39">
        <v>3404048</v>
      </c>
      <c r="L42" s="39" t="s">
        <v>613</v>
      </c>
      <c r="M42" s="39" t="s">
        <v>614</v>
      </c>
    </row>
    <row r="43" spans="1:13" ht="15" hidden="1" customHeight="1">
      <c r="A43" s="58"/>
      <c r="B43" s="58" t="s">
        <v>642</v>
      </c>
      <c r="C43" s="61">
        <f t="shared" ca="1" si="4"/>
        <v>0</v>
      </c>
      <c r="D43" s="122">
        <f t="shared" ca="1" si="5"/>
        <v>0</v>
      </c>
      <c r="H43" s="1054" t="str">
        <f t="shared" ca="1" si="6"/>
        <v>##H</v>
      </c>
      <c r="I43" s="2">
        <f>IFERROR(VLOOKUP(TEXT(J43,0),#REF!,2,0),1)</f>
        <v>1</v>
      </c>
      <c r="J43" s="39">
        <v>3403880</v>
      </c>
      <c r="L43" s="39" t="s">
        <v>613</v>
      </c>
      <c r="M43" s="39" t="s">
        <v>614</v>
      </c>
    </row>
    <row r="44" spans="1:13" ht="15" hidden="1" customHeight="1">
      <c r="A44" s="58"/>
      <c r="B44" s="58" t="s">
        <v>643</v>
      </c>
      <c r="C44" s="61">
        <f t="shared" ca="1" si="4"/>
        <v>0</v>
      </c>
      <c r="D44" s="122">
        <f t="shared" ca="1" si="5"/>
        <v>0</v>
      </c>
      <c r="H44" s="1054" t="str">
        <f t="shared" ca="1" si="6"/>
        <v>##H</v>
      </c>
      <c r="I44" s="2">
        <f>IFERROR(VLOOKUP(TEXT(J44,0),#REF!,2,0),1)</f>
        <v>1</v>
      </c>
      <c r="J44" s="39">
        <v>3403894</v>
      </c>
      <c r="L44" s="39" t="s">
        <v>613</v>
      </c>
      <c r="M44" s="39" t="s">
        <v>614</v>
      </c>
    </row>
    <row r="45" spans="1:13" ht="15" hidden="1" customHeight="1">
      <c r="A45" s="58"/>
      <c r="B45" s="58" t="s">
        <v>621</v>
      </c>
      <c r="C45" s="61">
        <f t="shared" ca="1" si="4"/>
        <v>0</v>
      </c>
      <c r="D45" s="122">
        <f t="shared" ca="1" si="5"/>
        <v>0</v>
      </c>
      <c r="H45" s="1054" t="str">
        <f t="shared" ca="1" si="6"/>
        <v>##H</v>
      </c>
      <c r="I45" s="2">
        <f>IFERROR(VLOOKUP(TEXT(J45,0),#REF!,2,0),1)</f>
        <v>1</v>
      </c>
      <c r="J45" s="39">
        <v>3404033</v>
      </c>
      <c r="L45" s="39" t="s">
        <v>613</v>
      </c>
      <c r="M45" s="39" t="s">
        <v>614</v>
      </c>
    </row>
    <row r="46" spans="1:13" ht="15" hidden="1" customHeight="1">
      <c r="A46" s="58"/>
      <c r="B46" s="58" t="s">
        <v>622</v>
      </c>
      <c r="C46" s="61">
        <f t="shared" ca="1" si="4"/>
        <v>0</v>
      </c>
      <c r="D46" s="122">
        <f t="shared" ca="1" si="5"/>
        <v>0</v>
      </c>
      <c r="H46" s="1054" t="str">
        <f t="shared" ca="1" si="6"/>
        <v>##H</v>
      </c>
      <c r="I46" s="2">
        <f>IFERROR(VLOOKUP(TEXT(J46,0),#REF!,2,0),1)</f>
        <v>1</v>
      </c>
      <c r="J46" s="39">
        <v>3404001</v>
      </c>
      <c r="L46" s="39" t="s">
        <v>613</v>
      </c>
      <c r="M46" s="39" t="s">
        <v>614</v>
      </c>
    </row>
    <row r="47" spans="1:13" ht="15" hidden="1" customHeight="1">
      <c r="A47" s="58"/>
      <c r="B47" s="33" t="s">
        <v>644</v>
      </c>
      <c r="C47" s="69">
        <f ca="1">SUM(C33:C46)</f>
        <v>0</v>
      </c>
      <c r="D47" s="70">
        <f ca="1">SUM(D33:D46)</f>
        <v>0</v>
      </c>
      <c r="H47" s="1054" t="str">
        <f t="shared" ca="1" si="6"/>
        <v>##H</v>
      </c>
    </row>
    <row r="48" spans="1:13" ht="15" customHeight="1">
      <c r="A48" s="58"/>
      <c r="B48" s="33"/>
      <c r="C48" s="1567"/>
      <c r="D48" s="1568"/>
    </row>
    <row r="49" spans="1:13" ht="15" customHeight="1">
      <c r="A49" s="56" t="s">
        <v>645</v>
      </c>
      <c r="B49" s="33" t="s">
        <v>646</v>
      </c>
      <c r="C49" s="86"/>
      <c r="D49" s="79"/>
    </row>
    <row r="50" spans="1:13" ht="15" hidden="1" customHeight="1">
      <c r="A50" s="58"/>
      <c r="B50" s="1251" t="s">
        <v>44</v>
      </c>
      <c r="C50" s="61">
        <f t="shared" ref="C50" ca="1" si="7">IFERROR(INDEX(INDIRECT(VLOOKUP($L50,Source_Master,2,0),),MATCH(TEXT($J50,0),INDIRECT(VLOOKUP($L50,Source_Master,4,0)),0),MATCH(C$1,INDIRECT(VLOOKUP($L50,Source_Master,3,0),),0)),0)*I50</f>
        <v>0</v>
      </c>
      <c r="D50" s="122">
        <f t="shared" ref="D50" ca="1" si="8">IFERROR(INDEX(INDIRECT(VLOOKUP($M50,Source_Master,2,0),),MATCH(TEXT($J50,0),INDIRECT(VLOOKUP($M50,Source_Master,4,0)),0),MATCH(D$1,INDIRECT(VLOOKUP($M50,Source_Master,3,0),),0)),0)*I50</f>
        <v>0</v>
      </c>
      <c r="H50" s="1054" t="str">
        <f t="shared" ref="H50:H59" ca="1" si="9">IF(C50=0,IF(D50=0,"##H",""),"")</f>
        <v>##H</v>
      </c>
      <c r="I50" s="2">
        <f>IFERROR(VLOOKUP(TEXT(J50,0),#REF!,2,0),1)</f>
        <v>1</v>
      </c>
      <c r="J50" s="39">
        <v>3403884</v>
      </c>
      <c r="L50" s="39" t="s">
        <v>613</v>
      </c>
      <c r="M50" s="39" t="s">
        <v>614</v>
      </c>
    </row>
    <row r="51" spans="1:13" ht="15" hidden="1" customHeight="1">
      <c r="A51" s="58"/>
      <c r="B51" s="1251" t="s">
        <v>647</v>
      </c>
      <c r="C51" s="61">
        <f t="shared" ref="C51:C58" ca="1" si="10">IFERROR(INDEX(INDIRECT(VLOOKUP($L51,Source_Master,2,0),),MATCH(TEXT($J51,0),INDIRECT(VLOOKUP($L51,Source_Master,4,0)),0),MATCH(C$1,INDIRECT(VLOOKUP($L51,Source_Master,3,0),),0)),0)*I51</f>
        <v>0</v>
      </c>
      <c r="D51" s="122">
        <f t="shared" ref="D51:D58" ca="1" si="11">IFERROR(INDEX(INDIRECT(VLOOKUP($M51,Source_Master,2,0),),MATCH(TEXT($J51,0),INDIRECT(VLOOKUP($M51,Source_Master,4,0)),0),MATCH(D$1,INDIRECT(VLOOKUP($M51,Source_Master,3,0),),0)),0)*I51</f>
        <v>0</v>
      </c>
      <c r="H51" s="1054" t="str">
        <f t="shared" ca="1" si="9"/>
        <v>##H</v>
      </c>
      <c r="I51" s="2">
        <f>IFERROR(VLOOKUP(TEXT(J51,0),#REF!,2,0),1)</f>
        <v>1</v>
      </c>
      <c r="J51" s="39">
        <v>3403883</v>
      </c>
      <c r="L51" s="39" t="s">
        <v>613</v>
      </c>
      <c r="M51" s="39" t="s">
        <v>614</v>
      </c>
    </row>
    <row r="52" spans="1:13" ht="15" hidden="1" customHeight="1">
      <c r="A52" s="58"/>
      <c r="B52" s="1251" t="s">
        <v>648</v>
      </c>
      <c r="C52" s="61">
        <f t="shared" ca="1" si="10"/>
        <v>0</v>
      </c>
      <c r="D52" s="122">
        <f t="shared" ca="1" si="11"/>
        <v>0</v>
      </c>
      <c r="H52" s="1054" t="str">
        <f t="shared" ca="1" si="9"/>
        <v>##H</v>
      </c>
      <c r="I52" s="2">
        <f>IFERROR(VLOOKUP(TEXT(J52,0),#REF!,2,0),1)</f>
        <v>1</v>
      </c>
      <c r="J52" s="39">
        <v>3403886</v>
      </c>
      <c r="L52" s="39" t="s">
        <v>613</v>
      </c>
      <c r="M52" s="39" t="s">
        <v>614</v>
      </c>
    </row>
    <row r="53" spans="1:13" ht="15" hidden="1" customHeight="1">
      <c r="A53" s="58"/>
      <c r="B53" s="58" t="s">
        <v>649</v>
      </c>
      <c r="C53" s="61">
        <f t="shared" ca="1" si="10"/>
        <v>0</v>
      </c>
      <c r="D53" s="122">
        <f t="shared" ca="1" si="11"/>
        <v>0</v>
      </c>
      <c r="H53" s="1054" t="str">
        <f t="shared" ca="1" si="9"/>
        <v>##H</v>
      </c>
      <c r="I53" s="2">
        <f>IFERROR(VLOOKUP(TEXT(J53,0),#REF!,2,0),1)</f>
        <v>1</v>
      </c>
      <c r="J53" s="39">
        <v>3404053</v>
      </c>
      <c r="L53" s="39" t="s">
        <v>613</v>
      </c>
      <c r="M53" s="39" t="s">
        <v>614</v>
      </c>
    </row>
    <row r="54" spans="1:13" ht="15" hidden="1" customHeight="1">
      <c r="A54" s="58"/>
      <c r="B54" s="58" t="s">
        <v>650</v>
      </c>
      <c r="C54" s="61">
        <f t="shared" ca="1" si="10"/>
        <v>0</v>
      </c>
      <c r="D54" s="122">
        <f t="shared" ca="1" si="11"/>
        <v>0</v>
      </c>
      <c r="H54" s="1054" t="str">
        <f t="shared" ca="1" si="9"/>
        <v>##H</v>
      </c>
      <c r="I54" s="2">
        <f>IFERROR(VLOOKUP(TEXT(J54,0),#REF!,2,0),1)</f>
        <v>1</v>
      </c>
      <c r="J54" s="39">
        <v>3403882</v>
      </c>
      <c r="L54" s="39" t="s">
        <v>613</v>
      </c>
      <c r="M54" s="39" t="s">
        <v>614</v>
      </c>
    </row>
    <row r="55" spans="1:13" ht="15" hidden="1" customHeight="1">
      <c r="A55" s="58"/>
      <c r="B55" s="58" t="s">
        <v>651</v>
      </c>
      <c r="C55" s="61">
        <f t="shared" ca="1" si="10"/>
        <v>0</v>
      </c>
      <c r="D55" s="122">
        <f t="shared" ca="1" si="11"/>
        <v>0</v>
      </c>
      <c r="H55" s="1054" t="str">
        <f t="shared" ca="1" si="9"/>
        <v>##H</v>
      </c>
      <c r="I55" s="2">
        <f>IFERROR(VLOOKUP(TEXT(J55,0),#REF!,2,0),1)</f>
        <v>1</v>
      </c>
      <c r="J55" s="39">
        <v>3403885</v>
      </c>
      <c r="L55" s="39" t="s">
        <v>613</v>
      </c>
      <c r="M55" s="39" t="s">
        <v>614</v>
      </c>
    </row>
    <row r="56" spans="1:13" ht="15" hidden="1" customHeight="1">
      <c r="A56" s="58"/>
      <c r="B56" s="58" t="s">
        <v>652</v>
      </c>
      <c r="C56" s="61">
        <f t="shared" ca="1" si="10"/>
        <v>0</v>
      </c>
      <c r="D56" s="122">
        <f t="shared" ca="1" si="11"/>
        <v>0</v>
      </c>
      <c r="H56" s="1054" t="str">
        <f t="shared" ca="1" si="9"/>
        <v>##H</v>
      </c>
      <c r="I56" s="2">
        <f>IFERROR(VLOOKUP(TEXT(J56,0),#REF!,2,0),1)</f>
        <v>1</v>
      </c>
      <c r="J56" s="39">
        <v>3403913</v>
      </c>
      <c r="L56" s="39" t="s">
        <v>613</v>
      </c>
      <c r="M56" s="39" t="s">
        <v>614</v>
      </c>
    </row>
    <row r="57" spans="1:13" ht="15" hidden="1" customHeight="1">
      <c r="A57" s="58"/>
      <c r="B57" s="58" t="s">
        <v>653</v>
      </c>
      <c r="C57" s="61">
        <f t="shared" ca="1" si="10"/>
        <v>0</v>
      </c>
      <c r="D57" s="122">
        <f t="shared" ca="1" si="11"/>
        <v>0</v>
      </c>
      <c r="H57" s="1054" t="str">
        <f t="shared" ca="1" si="9"/>
        <v>##H</v>
      </c>
      <c r="I57" s="2">
        <f>IFERROR(VLOOKUP(TEXT(J57,0),#REF!,2,0),1)</f>
        <v>1</v>
      </c>
      <c r="J57" s="39">
        <v>3403916</v>
      </c>
      <c r="L57" s="39" t="s">
        <v>613</v>
      </c>
      <c r="M57" s="39" t="s">
        <v>614</v>
      </c>
    </row>
    <row r="58" spans="1:13" ht="15" hidden="1" customHeight="1">
      <c r="A58" s="58"/>
      <c r="B58" s="58" t="s">
        <v>386</v>
      </c>
      <c r="C58" s="61">
        <f t="shared" ca="1" si="10"/>
        <v>0</v>
      </c>
      <c r="D58" s="122">
        <f t="shared" ca="1" si="11"/>
        <v>0</v>
      </c>
      <c r="H58" s="1054" t="str">
        <f t="shared" ca="1" si="9"/>
        <v>##H</v>
      </c>
      <c r="I58" s="2">
        <f>IFERROR(VLOOKUP(TEXT(J58,0),#REF!,2,0),1)</f>
        <v>1</v>
      </c>
      <c r="J58" s="39">
        <v>3403922</v>
      </c>
      <c r="L58" s="39" t="s">
        <v>613</v>
      </c>
      <c r="M58" s="39" t="s">
        <v>614</v>
      </c>
    </row>
    <row r="59" spans="1:13" ht="15" hidden="1" customHeight="1">
      <c r="A59" s="58"/>
      <c r="B59" s="33" t="s">
        <v>654</v>
      </c>
      <c r="C59" s="69">
        <f ca="1">SUM(C50:C58)</f>
        <v>0</v>
      </c>
      <c r="D59" s="175">
        <f ca="1">SUM(D50:D58)</f>
        <v>0</v>
      </c>
      <c r="H59" s="1054" t="str">
        <f t="shared" ca="1" si="9"/>
        <v>##H</v>
      </c>
    </row>
    <row r="60" spans="1:13" ht="15" customHeight="1">
      <c r="A60" s="58"/>
      <c r="B60" s="33"/>
      <c r="C60" s="1567"/>
      <c r="D60" s="1568"/>
    </row>
    <row r="61" spans="1:13" ht="15" customHeight="1">
      <c r="A61" s="58"/>
      <c r="B61" s="33" t="s">
        <v>655</v>
      </c>
      <c r="C61" s="129">
        <f ca="1">C30+C47+C59</f>
        <v>0</v>
      </c>
      <c r="D61" s="122">
        <f ca="1">D30+D47+D59</f>
        <v>-1</v>
      </c>
      <c r="H61" s="1054" t="str">
        <f t="shared" ref="H61:H63" ca="1" si="12">IF(C61=0,IF(D61=0,"##H",""),"")</f>
        <v/>
      </c>
    </row>
    <row r="62" spans="1:13" ht="15" customHeight="1">
      <c r="A62" s="58"/>
      <c r="B62" s="33" t="s">
        <v>656</v>
      </c>
      <c r="C62" s="176">
        <f ca="1">D63</f>
        <v>-1</v>
      </c>
      <c r="D62" s="122">
        <f ca="1">IFERROR(INDEX(INDIRECT(VLOOKUP($M62,Source_Master,2,0),),MATCH(TEXT($J62,0),INDIRECT(VLOOKUP($M62,Source_Master,4,0)),0),MATCH(E$1,INDIRECT(VLOOKUP($M62,Source_Master,3,0),),0)),0)*I62</f>
        <v>0</v>
      </c>
      <c r="H62" s="1054" t="str">
        <f t="shared" ca="1" si="12"/>
        <v/>
      </c>
      <c r="I62" s="1117">
        <f>-IFERROR(VLOOKUP(TEXT(J62,0),#REF!,2,0),1)</f>
        <v>-1</v>
      </c>
      <c r="J62" s="39">
        <v>3400638</v>
      </c>
      <c r="L62" s="2" t="s">
        <v>657</v>
      </c>
      <c r="M62" s="2" t="s">
        <v>658</v>
      </c>
    </row>
    <row r="63" spans="1:13" ht="15" customHeight="1">
      <c r="A63" s="177"/>
      <c r="B63" s="1119" t="e">
        <f>CONCATENATE("Closing balance of Cash and Cash Equivalents (Refer Note ",'NT BS1'!#REF!,")")</f>
        <v>#REF!</v>
      </c>
      <c r="C63" s="178">
        <f ca="1">SUM(C61:C62)</f>
        <v>-1</v>
      </c>
      <c r="D63" s="70">
        <f ca="1">SUM(D61:D62)</f>
        <v>-1</v>
      </c>
      <c r="H63" s="1054" t="str">
        <f t="shared" ca="1" si="12"/>
        <v/>
      </c>
    </row>
    <row r="64" spans="1:13" ht="15" customHeight="1">
      <c r="B64" s="21"/>
      <c r="C64" s="1569"/>
      <c r="D64" s="1568"/>
    </row>
    <row r="65" spans="1:13" ht="15" customHeight="1">
      <c r="B65" s="21"/>
      <c r="C65" s="1569"/>
      <c r="D65" s="1568"/>
    </row>
    <row r="66" spans="1:13" ht="15" customHeight="1">
      <c r="A66" s="21" t="s">
        <v>659</v>
      </c>
      <c r="C66" s="1569"/>
      <c r="D66" s="1568"/>
    </row>
    <row r="67" spans="1:13">
      <c r="A67" s="179"/>
      <c r="B67" s="180"/>
      <c r="C67" s="181"/>
      <c r="D67" s="182" t="str">
        <f>'Master Sheet'!C65</f>
        <v>(Amount in INR)</v>
      </c>
      <c r="E67" s="100"/>
    </row>
    <row r="68" spans="1:13" ht="43.5" customHeight="1">
      <c r="A68" s="183"/>
      <c r="B68" s="184"/>
      <c r="C68" s="1031" t="e">
        <f ca="1">C7</f>
        <v>#NAME?</v>
      </c>
      <c r="D68" s="135" t="e">
        <f>CONCATENATE("Borrowings Current (net) (Refer Note ", 'NT BS1'!#REF!, " )")</f>
        <v>#REF!</v>
      </c>
      <c r="E68" s="21"/>
    </row>
    <row r="69" spans="1:13" ht="15" customHeight="1">
      <c r="A69" s="68" t="s">
        <v>660</v>
      </c>
      <c r="B69" s="58"/>
      <c r="C69" s="158">
        <f ca="1">IFERROR(INDEX(INDIRECT(VLOOKUP($K69,Source_Master,2,0),),MATCH(TEXT($M69,0),INDIRECT(VLOOKUP($K69,Source_Master,4,0)),0),MATCH($E$1,INDIRECT(VLOOKUP($K69,Source_Master,3,0),),0)),0)</f>
        <v>0</v>
      </c>
      <c r="D69" s="122">
        <f ca="1">IFERROR(INDEX(INDIRECT(VLOOKUP($L69,Source_Master,2,0),),MATCH(TEXT($J69,0),INDIRECT(VLOOKUP($L69,Source_Master,4,0)),0),MATCH($E$1,INDIRECT(VLOOKUP($L69,Source_Master,3,0),),0)),0)</f>
        <v>0</v>
      </c>
      <c r="E69" s="21"/>
      <c r="J69" s="114" t="s">
        <v>661</v>
      </c>
      <c r="K69" s="124" t="s">
        <v>658</v>
      </c>
      <c r="L69" s="124" t="s">
        <v>658</v>
      </c>
      <c r="M69" s="114">
        <v>3400888</v>
      </c>
    </row>
    <row r="70" spans="1:13" ht="15" customHeight="1">
      <c r="A70" s="68" t="s">
        <v>662</v>
      </c>
      <c r="B70" s="58"/>
      <c r="C70" s="185" t="e">
        <f ca="1">C72-C69-C71</f>
        <v>#REF!</v>
      </c>
      <c r="D70" s="185" t="e">
        <f ca="1">D72-D69-D71</f>
        <v>#REF!</v>
      </c>
      <c r="E70" s="21"/>
    </row>
    <row r="71" spans="1:13" ht="15" customHeight="1">
      <c r="A71" s="68" t="s">
        <v>663</v>
      </c>
      <c r="B71" s="58"/>
      <c r="C71" s="185">
        <f ca="1">D51+D53</f>
        <v>0</v>
      </c>
      <c r="D71" s="186">
        <f ca="1">D55</f>
        <v>0</v>
      </c>
      <c r="E71" s="21"/>
    </row>
    <row r="72" spans="1:13" ht="15" customHeight="1">
      <c r="A72" s="1120" t="str">
        <f>CONCATENATE("Closing balance as at ", FZ_Reference_Master!E15)</f>
        <v>Closing balance as at 31st March 2023</v>
      </c>
      <c r="B72" s="58"/>
      <c r="C72" s="175" t="e">
        <f>'NT BS1'!#REF!+'NT BS1'!#REF!</f>
        <v>#REF!</v>
      </c>
      <c r="D72" s="175" t="e">
        <f>'NT BS1'!#REF!</f>
        <v>#REF!</v>
      </c>
    </row>
    <row r="73" spans="1:13" ht="15" customHeight="1">
      <c r="A73" s="68" t="s">
        <v>664</v>
      </c>
      <c r="B73" s="58"/>
      <c r="C73" s="158" t="e">
        <f>C72</f>
        <v>#REF!</v>
      </c>
      <c r="D73" s="131" t="e">
        <f>D72</f>
        <v>#REF!</v>
      </c>
    </row>
    <row r="74" spans="1:13" ht="15" customHeight="1">
      <c r="A74" s="68" t="s">
        <v>662</v>
      </c>
      <c r="B74" s="58"/>
      <c r="C74" s="185" t="e">
        <f ca="1">C76-C73-C75</f>
        <v>#REF!</v>
      </c>
      <c r="D74" s="186" t="e">
        <f ca="1">D76-D73-D75</f>
        <v>#REF!</v>
      </c>
    </row>
    <row r="75" spans="1:13" ht="15" customHeight="1">
      <c r="A75" s="68" t="s">
        <v>663</v>
      </c>
      <c r="B75" s="58"/>
      <c r="C75" s="185">
        <f ca="1">C51+C53</f>
        <v>0</v>
      </c>
      <c r="D75" s="186">
        <f ca="1">C55</f>
        <v>0</v>
      </c>
    </row>
    <row r="76" spans="1:13">
      <c r="A76" s="1121" t="str">
        <f>CONCATENATE("Closing balance as at ", FZ_Reference_Master!D15)</f>
        <v>Closing balance as at 31st March 2024</v>
      </c>
      <c r="B76" s="177"/>
      <c r="C76" s="175" t="e">
        <f>'NT BS1'!#REF!+'NT BS1'!#REF!</f>
        <v>#REF!</v>
      </c>
      <c r="D76" s="175" t="e">
        <f>'NT BS1'!#REF!</f>
        <v>#REF!</v>
      </c>
    </row>
    <row r="77" spans="1:13" ht="5.0999999999999996" customHeight="1">
      <c r="B77" s="1264"/>
      <c r="C77" s="1569"/>
      <c r="D77" s="1568"/>
    </row>
    <row r="78" spans="1:13">
      <c r="B78" s="1264"/>
      <c r="C78" s="1569"/>
      <c r="D78" s="1568"/>
    </row>
    <row r="79" spans="1:13">
      <c r="B79" s="1264"/>
      <c r="C79" s="1569"/>
      <c r="D79" s="1568"/>
    </row>
    <row r="80" spans="1:13">
      <c r="B80" s="1264"/>
      <c r="C80" s="1569"/>
      <c r="D80" s="1568"/>
    </row>
    <row r="81" spans="2:4">
      <c r="B81" s="188" t="s">
        <v>665</v>
      </c>
      <c r="C81" s="189">
        <f ca="1">+C63-'NT BS1'!H265</f>
        <v>-1</v>
      </c>
      <c r="D81" s="189">
        <f ca="1">+D63-'NT BS1'!J265</f>
        <v>-1</v>
      </c>
    </row>
    <row r="82" spans="2:4">
      <c r="B82" s="188"/>
    </row>
    <row r="83" spans="2:4">
      <c r="B83" s="188"/>
    </row>
    <row r="88" spans="2:4">
      <c r="C88" s="20"/>
    </row>
    <row r="89" spans="2:4">
      <c r="B89" s="190"/>
    </row>
    <row r="98" s="20" customFormat="1"/>
    <row r="99" s="20" customFormat="1"/>
    <row r="100" s="20" customFormat="1"/>
    <row r="101" s="20" customFormat="1"/>
    <row r="102" s="20" customFormat="1"/>
    <row r="103" s="20" customFormat="1"/>
    <row r="104" s="20" customFormat="1"/>
    <row r="105" s="20" customFormat="1"/>
    <row r="106" s="20" customFormat="1"/>
    <row r="107" s="20" customFormat="1"/>
    <row r="108" s="20" customFormat="1"/>
    <row r="109" s="20" customFormat="1"/>
    <row r="110" s="20" customFormat="1"/>
    <row r="111" s="20" customFormat="1"/>
    <row r="112" s="20" customFormat="1"/>
    <row r="113" s="20" customFormat="1"/>
    <row r="114" s="20" customFormat="1"/>
    <row r="115" s="20" customFormat="1"/>
    <row r="116" s="20" customFormat="1"/>
    <row r="117" s="20" customFormat="1"/>
    <row r="118" s="20" customFormat="1"/>
    <row r="119" s="20" customFormat="1"/>
    <row r="120" s="20" customFormat="1"/>
    <row r="121" s="20" customFormat="1"/>
    <row r="122" s="20" customFormat="1"/>
    <row r="123" s="20" customFormat="1"/>
  </sheetData>
  <sheetProtection algorithmName="SHA-512" hashValue="gHah83RRYaKoB2SKPIeCxCf+6wZMRNC1y8g/b2oPFb9Ae0VYLTD8AcloF7QhUnuzOXyvDDn4BnrONBGadtJj5Q==" saltValue="JiTX8EMQcJHfMQa36Nj0aw==" spinCount="100000" sheet="1" objects="1" scenarios="1"/>
  <dataValidations count="1">
    <dataValidation type="list" allowBlank="1" showInputMessage="1" showErrorMessage="1" sqref="K69:L69" xr:uid="{A0FC7088-1CC1-4473-B80C-33C6BA35A6E1}">
      <formula1>$C$6:$C$11</formula1>
    </dataValidation>
  </dataValidations>
  <pageMargins left="0.51181102362204722" right="0.51181102362204722" top="0.51181102362204722" bottom="0.51181102362204722" header="0" footer="0"/>
  <pageSetup paperSize="9" scale="83" orientation="portrait" r:id="rId1"/>
  <headerFooter alignWithMargins="0"/>
  <rowBreaks count="1" manualBreakCount="1">
    <brk id="63" max="4" man="1"/>
  </rowBreaks>
  <colBreaks count="1" manualBreakCount="1">
    <brk id="5" max="1048575" man="1"/>
  </colBreaks>
  <extLst>
    <ext xmlns:x14="http://schemas.microsoft.com/office/spreadsheetml/2009/9/main" uri="{CCE6A557-97BC-4b89-ADB6-D9C93CAAB3DF}">
      <x14:dataValidations xmlns:xm="http://schemas.microsoft.com/office/excel/2006/main" count="1">
        <x14:dataValidation type="list" allowBlank="1" showInputMessage="1" showErrorMessage="1" xr:uid="{A045862D-EF1C-4685-A9DE-ADFB47349F3E}">
          <x14:formula1>
            <xm:f>SourceMaster!$C$6:$C$11</xm:f>
          </x14:formula1>
          <xm:sqref>L12:M13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F05BF-73B4-4015-BB2F-E7909E872A59}">
  <sheetPr codeName="Sheet17">
    <tabColor theme="5" tint="0.59999389629810485"/>
  </sheetPr>
  <dimension ref="A1:H55"/>
  <sheetViews>
    <sheetView showGridLines="0" view="pageBreakPreview" zoomScaleNormal="100" zoomScaleSheetLayoutView="100" workbookViewId="0">
      <selection activeCell="A8" sqref="A8"/>
    </sheetView>
  </sheetViews>
  <sheetFormatPr defaultColWidth="9.42578125" defaultRowHeight="13.15"/>
  <cols>
    <col min="1" max="1" customWidth="true" style="2" width="47.42578125"/>
    <col min="2" max="2" customWidth="true" style="2" width="20.7109375"/>
    <col min="3" max="3" customWidth="true" style="2" width="8.0"/>
    <col min="4" max="4" customWidth="true" style="2" width="18.42578125"/>
    <col min="5" max="16384" style="2" width="9.42578125"/>
  </cols>
  <sheetData>
    <row r="1" spans="1:8" ht="17.45">
      <c r="A1" s="1106" t="e">
        <f ca="1">Company</f>
        <v>#NAME?</v>
      </c>
      <c r="H1" s="110"/>
    </row>
    <row r="2" spans="1:8" ht="15.6">
      <c r="A2" s="1107" t="e">
        <f ca="1">CF!A4</f>
        <v>#NAME?</v>
      </c>
    </row>
    <row r="3" spans="1:8" ht="15.6">
      <c r="A3" s="111"/>
    </row>
    <row r="4" spans="1:8" ht="13.9">
      <c r="A4" s="21"/>
      <c r="B4" s="548"/>
      <c r="C4" s="103"/>
      <c r="D4" s="103"/>
    </row>
    <row r="5" spans="1:8" ht="13.9">
      <c r="A5" s="1054" t="str">
        <f>'BS Sign page'!A6</f>
        <v>As per our report of even date attached</v>
      </c>
      <c r="B5" s="108"/>
      <c r="C5" s="44"/>
      <c r="D5" s="44"/>
    </row>
    <row r="6" spans="1:8" ht="13.9">
      <c r="A6" s="44"/>
      <c r="B6" s="108"/>
      <c r="C6" s="44"/>
      <c r="D6" s="44"/>
    </row>
    <row r="7" spans="1:8" ht="13.9">
      <c r="A7" s="1064" t="str">
        <f>'BS Sign page'!A8</f>
        <v>For 0</v>
      </c>
      <c r="B7" s="1101" t="str">
        <f>'BS Sign page'!B8</f>
        <v>For and on behalf of  Board of Directors</v>
      </c>
      <c r="C7" s="103"/>
      <c r="D7" s="103"/>
    </row>
    <row r="8" spans="1:8" ht="13.9">
      <c r="A8" s="1064" t="str">
        <f>'BS Sign page'!A9</f>
        <v>Chartered Accountants</v>
      </c>
      <c r="B8" s="210"/>
      <c r="C8" s="44"/>
      <c r="D8" s="44"/>
    </row>
    <row r="9" spans="1:8" ht="13.9">
      <c r="A9" s="1054" t="str">
        <f>'BS Sign page'!A10</f>
        <v>Firm's Registration Number: 0</v>
      </c>
      <c r="B9" s="108"/>
      <c r="C9" s="44"/>
      <c r="D9" s="44"/>
    </row>
    <row r="10" spans="1:8" ht="13.9">
      <c r="A10" s="44"/>
      <c r="B10" s="108"/>
      <c r="C10" s="44"/>
      <c r="D10" s="44"/>
    </row>
    <row r="11" spans="1:8" ht="13.9">
      <c r="A11" s="44"/>
      <c r="B11" s="108"/>
      <c r="C11" s="44"/>
      <c r="D11" s="44"/>
    </row>
    <row r="12" spans="1:8" ht="13.9">
      <c r="A12" s="44"/>
      <c r="B12" s="108"/>
      <c r="C12" s="44"/>
      <c r="D12" s="44"/>
    </row>
    <row r="13" spans="1:8">
      <c r="A13" s="1064">
        <f>'BS Sign page'!A14</f>
        <v>0</v>
      </c>
      <c r="B13" s="1249" t="str">
        <f>'BS Sign page'!B14</f>
        <v/>
      </c>
      <c r="C13" s="20"/>
      <c r="D13" s="1102" t="str">
        <f>'BS Sign page'!D14</f>
        <v/>
      </c>
    </row>
    <row r="14" spans="1:8">
      <c r="A14" s="1054" t="str">
        <f>'BS Sign page'!A15</f>
        <v>Partner</v>
      </c>
      <c r="B14" s="1043" t="str">
        <f>'BS Sign page'!B15</f>
        <v/>
      </c>
      <c r="C14" s="20"/>
      <c r="D14" s="1054" t="str">
        <f>'BS Sign page'!D15</f>
        <v/>
      </c>
    </row>
    <row r="15" spans="1:8">
      <c r="A15" s="1054" t="str">
        <f>'BS Sign page'!A16</f>
        <v>Registration  No: 0</v>
      </c>
      <c r="B15" s="1043" t="str">
        <f>'BS Sign page'!B16</f>
        <v xml:space="preserve">DIN: </v>
      </c>
      <c r="C15" s="20"/>
      <c r="D15" s="1054" t="str">
        <f>'BS Sign page'!D16</f>
        <v xml:space="preserve">DIN: </v>
      </c>
    </row>
    <row r="16" spans="1:8">
      <c r="A16" s="20"/>
      <c r="B16" s="50"/>
      <c r="C16" s="20"/>
      <c r="D16" s="20"/>
    </row>
    <row r="17" spans="1:4">
      <c r="A17" s="20"/>
      <c r="B17" s="50"/>
      <c r="C17" s="20"/>
      <c r="D17" s="20"/>
    </row>
    <row r="18" spans="1:4">
      <c r="A18" s="20"/>
      <c r="B18" s="50"/>
      <c r="C18" s="20"/>
      <c r="D18" s="20"/>
    </row>
    <row r="19" spans="1:4">
      <c r="A19" s="20"/>
      <c r="B19" s="50"/>
      <c r="C19" s="20"/>
      <c r="D19" s="20"/>
    </row>
    <row r="20" spans="1:4">
      <c r="A20" s="20"/>
      <c r="B20" s="1103" t="str">
        <f>'BS Sign page'!B21</f>
        <v/>
      </c>
      <c r="C20" s="20"/>
      <c r="D20" s="1249" t="str">
        <f>'BS Sign page'!D21</f>
        <v/>
      </c>
    </row>
    <row r="21" spans="1:4">
      <c r="A21" s="20"/>
      <c r="B21" s="1043" t="str">
        <f>'BS Sign page'!B22</f>
        <v/>
      </c>
      <c r="C21" s="20"/>
      <c r="D21" s="1054" t="str">
        <f>'BS Sign page'!D22</f>
        <v/>
      </c>
    </row>
    <row r="22" spans="1:4" ht="13.9">
      <c r="A22" s="44"/>
      <c r="B22" s="108"/>
      <c r="C22" s="44"/>
      <c r="D22" s="44"/>
    </row>
    <row r="23" spans="1:4" ht="13.9">
      <c r="A23" s="44"/>
      <c r="B23" s="108"/>
      <c r="C23" s="44"/>
      <c r="D23" s="44"/>
    </row>
    <row r="24" spans="1:4" ht="13.9">
      <c r="A24" s="44"/>
      <c r="B24" s="108"/>
      <c r="C24" s="44"/>
      <c r="D24" s="44"/>
    </row>
    <row r="25" spans="1:4" ht="13.9">
      <c r="A25" s="44"/>
      <c r="B25" s="108"/>
      <c r="C25" s="44"/>
      <c r="D25" s="44"/>
    </row>
    <row r="26" spans="1:4" ht="13.9">
      <c r="A26" s="44"/>
      <c r="B26" s="108"/>
      <c r="C26" s="44"/>
      <c r="D26" s="44"/>
    </row>
    <row r="27" spans="1:4" ht="13.9">
      <c r="A27" s="21" t="s">
        <v>551</v>
      </c>
      <c r="B27" s="210" t="s">
        <v>551</v>
      </c>
      <c r="C27" s="20"/>
      <c r="D27" s="44"/>
    </row>
    <row r="28" spans="1:4" ht="13.9">
      <c r="A28" s="20" t="s">
        <v>552</v>
      </c>
      <c r="B28" s="1264" t="s">
        <v>552</v>
      </c>
      <c r="C28" s="20"/>
      <c r="D28" s="44"/>
    </row>
    <row r="29" spans="1:4">
      <c r="B29" s="15"/>
      <c r="D29" s="15"/>
    </row>
    <row r="30" spans="1:4">
      <c r="B30" s="25"/>
      <c r="D30" s="15"/>
    </row>
    <row r="31" spans="1:4">
      <c r="D31" s="15"/>
    </row>
    <row r="32" spans="1:4">
      <c r="B32" s="15"/>
      <c r="D32" s="15"/>
    </row>
    <row r="33" spans="2:4">
      <c r="B33" s="15"/>
      <c r="D33" s="15"/>
    </row>
    <row r="34" spans="2:4">
      <c r="B34" s="15"/>
      <c r="D34" s="15"/>
    </row>
    <row r="35" spans="2:4">
      <c r="B35" s="15"/>
      <c r="D35" s="15"/>
    </row>
    <row r="36" spans="2:4">
      <c r="B36" s="25"/>
      <c r="D36" s="15"/>
    </row>
    <row r="37" spans="2:4">
      <c r="D37" s="15"/>
    </row>
    <row r="38" spans="2:4">
      <c r="B38" s="15"/>
      <c r="D38" s="15"/>
    </row>
    <row r="39" spans="2:4">
      <c r="B39" s="15"/>
      <c r="D39" s="15"/>
    </row>
    <row r="40" spans="2:4">
      <c r="B40" s="15"/>
      <c r="D40" s="15"/>
    </row>
    <row r="41" spans="2:4">
      <c r="B41" s="15"/>
    </row>
    <row r="42" spans="2:4">
      <c r="B42" s="25"/>
    </row>
    <row r="44" spans="2:4">
      <c r="B44" s="15"/>
    </row>
    <row r="47" spans="2:4">
      <c r="B47" s="15"/>
    </row>
    <row r="48" spans="2:4">
      <c r="B48" s="25"/>
    </row>
    <row r="52" spans="2:2">
      <c r="B52" s="15"/>
    </row>
    <row r="53" spans="2:2">
      <c r="B53" s="25"/>
    </row>
    <row r="55" spans="2:2" ht="5.0999999999999996" customHeight="1"/>
  </sheetData>
  <sheetProtection algorithmName="SHA-512" hashValue="7iHfrUKJMZmDVfss1hPe6PT0Z2afGztE62EDIB2lgysqaq6Epe0BSdv3f3qzeP0fHXUkoDI1ZYXy/S7eRu9oog==" saltValue="vqyPz7FVQRUKVLG8kOH+jQ==" spinCount="100000" sheet="1" objects="1" scenarios="1"/>
  <pageMargins left="0.5" right="0.5" top="0.5" bottom="0.5" header="0" footer="0"/>
  <pageSetup paperSize="9" scale="97" orientation="portrait"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23DE3-F538-4880-B7AC-001EEDBF9CB0}">
  <sheetPr codeName="Sheet18">
    <tabColor theme="9" tint="0.39997558519241921"/>
  </sheetPr>
  <dimension ref="A1:XFD328"/>
  <sheetViews>
    <sheetView showGridLines="0" view="pageBreakPreview" zoomScaleNormal="100" zoomScaleSheetLayoutView="100" workbookViewId="0">
      <selection activeCell="A2" sqref="A2"/>
    </sheetView>
  </sheetViews>
  <sheetFormatPr defaultColWidth="9.42578125" defaultRowHeight="13.15"/>
  <cols>
    <col min="1" max="1" customWidth="true" style="39" width="3.42578125"/>
    <col min="2" max="2" customWidth="true" style="39" width="5.28515625"/>
    <col min="3" max="7" customWidth="true" style="39" width="3.42578125"/>
    <col min="8" max="8" customWidth="true" style="39" width="71.5703125"/>
    <col min="9" max="9" style="2" width="9.42578125"/>
    <col min="10" max="11" customWidth="true" style="2" width="9.0"/>
    <col min="12" max="16384" style="2" width="9.42578125"/>
  </cols>
  <sheetData>
    <row r="1" spans="1:9" ht="20.100000000000001" customHeight="1">
      <c r="A1" s="1085" t="e">
        <f ca="1">Company</f>
        <v>#NAME?</v>
      </c>
    </row>
    <row r="2" spans="1:9" ht="16.350000000000001" customHeight="1">
      <c r="A2" s="1086" t="e">
        <f ca="1">Note_Head</f>
        <v>#NAME?</v>
      </c>
      <c r="B2" s="40"/>
      <c r="C2" s="40"/>
      <c r="D2" s="40"/>
      <c r="E2" s="40"/>
      <c r="F2" s="40"/>
      <c r="G2" s="40"/>
      <c r="H2" s="1282"/>
      <c r="I2" s="711"/>
    </row>
    <row r="3" spans="1:9" s="18" customFormat="1" ht="15" customHeight="1">
      <c r="A3" s="40"/>
      <c r="B3" s="40"/>
      <c r="C3" s="40"/>
      <c r="D3" s="40"/>
      <c r="E3" s="40"/>
      <c r="F3" s="40"/>
      <c r="G3" s="40"/>
      <c r="H3" s="40"/>
    </row>
    <row r="4" spans="1:9" ht="12.75" customHeight="1">
      <c r="A4" s="46">
        <v>1</v>
      </c>
      <c r="B4" s="21" t="s">
        <v>666</v>
      </c>
      <c r="C4" s="21"/>
      <c r="D4" s="21"/>
      <c r="E4" s="21"/>
      <c r="F4" s="21"/>
      <c r="G4" s="21"/>
    </row>
    <row r="5" spans="1:9" s="18" customFormat="1" ht="54" customHeight="1">
      <c r="A5" s="43"/>
      <c r="B5" s="1305" t="s">
        <v>667</v>
      </c>
      <c r="C5" s="1304"/>
      <c r="D5" s="1304"/>
      <c r="E5" s="1304"/>
      <c r="F5" s="1304"/>
      <c r="G5" s="1304"/>
      <c r="H5" s="1304"/>
    </row>
    <row r="6" spans="1:9" ht="6" customHeight="1">
      <c r="A6" s="46"/>
      <c r="C6" s="21"/>
      <c r="D6" s="21"/>
      <c r="E6" s="21"/>
      <c r="F6" s="21"/>
      <c r="G6" s="21"/>
    </row>
    <row r="7" spans="1:9" ht="12.75" customHeight="1">
      <c r="A7" s="46">
        <v>2</v>
      </c>
      <c r="B7" s="21" t="s">
        <v>668</v>
      </c>
      <c r="C7" s="21"/>
      <c r="D7" s="21"/>
      <c r="E7" s="21"/>
      <c r="F7" s="21"/>
      <c r="G7" s="21"/>
    </row>
    <row r="8" spans="1:9" ht="12.75" customHeight="1">
      <c r="A8" s="1282"/>
      <c r="B8" s="46">
        <v>2.1</v>
      </c>
      <c r="C8" s="21" t="s">
        <v>669</v>
      </c>
    </row>
    <row r="9" spans="1:9" ht="41.25" customHeight="1">
      <c r="A9" s="1282"/>
      <c r="B9" s="1282"/>
      <c r="C9" s="1305" t="s">
        <v>670</v>
      </c>
      <c r="D9" s="1304"/>
      <c r="E9" s="1304"/>
      <c r="F9" s="1304"/>
      <c r="G9" s="1304"/>
      <c r="H9" s="1304"/>
    </row>
    <row r="10" spans="1:9" ht="6" customHeight="1">
      <c r="A10" s="1282"/>
      <c r="B10" s="1282"/>
    </row>
    <row r="11" spans="1:9" ht="70.5" customHeight="1">
      <c r="A11" s="1282"/>
      <c r="B11" s="1282"/>
      <c r="C11" s="1305" t="s">
        <v>671</v>
      </c>
      <c r="D11" s="1304"/>
      <c r="E11" s="1304"/>
      <c r="F11" s="1304"/>
      <c r="G11" s="1304"/>
      <c r="H11" s="1304"/>
    </row>
    <row r="12" spans="1:9" ht="6" customHeight="1">
      <c r="A12" s="1282"/>
      <c r="B12" s="1282"/>
    </row>
    <row r="13" spans="1:9" ht="39.75" customHeight="1">
      <c r="A13" s="1282"/>
      <c r="B13" s="1282"/>
      <c r="C13" s="1305" t="s">
        <v>672</v>
      </c>
      <c r="D13" s="1304"/>
      <c r="E13" s="1304"/>
      <c r="F13" s="1304"/>
      <c r="G13" s="1304"/>
      <c r="H13" s="1304"/>
    </row>
    <row r="14" spans="1:9" ht="6" customHeight="1">
      <c r="A14" s="1282"/>
      <c r="B14" s="1282"/>
    </row>
    <row r="15" spans="1:9" ht="12.75" customHeight="1">
      <c r="A15" s="1282"/>
      <c r="B15" s="46">
        <v>2.2000000000000002</v>
      </c>
      <c r="C15" s="21" t="s">
        <v>673</v>
      </c>
    </row>
    <row r="16" spans="1:9" ht="6" customHeight="1">
      <c r="A16" s="1282"/>
    </row>
    <row r="17" spans="1:8" ht="12.75" customHeight="1">
      <c r="A17" s="1282"/>
      <c r="B17" s="1282"/>
      <c r="C17" s="46" t="s">
        <v>674</v>
      </c>
      <c r="D17" s="21" t="s">
        <v>675</v>
      </c>
    </row>
    <row r="18" spans="1:8" ht="25.5" customHeight="1">
      <c r="A18" s="1282"/>
      <c r="B18" s="1282"/>
      <c r="C18" s="1282"/>
      <c r="D18" s="1304" t="s">
        <v>676</v>
      </c>
      <c r="E18" s="1304"/>
      <c r="F18" s="1304"/>
      <c r="G18" s="1304"/>
      <c r="H18" s="1304"/>
    </row>
    <row r="19" spans="1:8" ht="12.75" customHeight="1">
      <c r="A19" s="1282"/>
      <c r="B19" s="1282"/>
      <c r="C19" s="1282"/>
      <c r="D19" s="1306" t="s">
        <v>677</v>
      </c>
      <c r="E19" s="1306"/>
      <c r="F19" s="1306"/>
      <c r="G19" s="1306"/>
      <c r="H19" s="1306"/>
    </row>
    <row r="20" spans="1:8" ht="12.75" customHeight="1">
      <c r="A20" s="1282"/>
      <c r="B20" s="1282"/>
      <c r="C20" s="1282"/>
      <c r="D20" s="1247" t="s">
        <v>678</v>
      </c>
      <c r="E20" s="1304" t="s">
        <v>679</v>
      </c>
      <c r="F20" s="1304"/>
      <c r="G20" s="1304"/>
      <c r="H20" s="1304"/>
    </row>
    <row r="21" spans="1:8" ht="12.75" customHeight="1">
      <c r="A21" s="1282"/>
      <c r="B21" s="1282"/>
      <c r="C21" s="1282"/>
      <c r="D21" s="1247" t="s">
        <v>678</v>
      </c>
      <c r="E21" s="1304" t="s">
        <v>680</v>
      </c>
      <c r="F21" s="1304"/>
      <c r="G21" s="1304"/>
      <c r="H21" s="1304"/>
    </row>
    <row r="22" spans="1:8" ht="12.75" customHeight="1">
      <c r="A22" s="1282"/>
      <c r="B22" s="1282"/>
      <c r="C22" s="1282"/>
      <c r="D22" s="1247" t="s">
        <v>678</v>
      </c>
      <c r="E22" s="1304" t="s">
        <v>681</v>
      </c>
      <c r="F22" s="1304"/>
      <c r="G22" s="1304"/>
      <c r="H22" s="1304"/>
    </row>
    <row r="23" spans="1:8" ht="25.5" customHeight="1">
      <c r="A23" s="1282"/>
      <c r="B23" s="1282"/>
      <c r="C23" s="1282"/>
      <c r="D23" s="1247" t="s">
        <v>678</v>
      </c>
      <c r="E23" s="1304" t="s">
        <v>682</v>
      </c>
      <c r="F23" s="1304"/>
      <c r="G23" s="1304"/>
      <c r="H23" s="1304"/>
    </row>
    <row r="24" spans="1:8" ht="6" customHeight="1">
      <c r="A24" s="1282"/>
      <c r="B24" s="1282"/>
      <c r="C24" s="1282"/>
      <c r="D24" s="1247"/>
      <c r="E24" s="1247"/>
      <c r="F24" s="1247"/>
      <c r="G24" s="1247"/>
      <c r="H24" s="1247"/>
    </row>
    <row r="25" spans="1:8" ht="12.75" customHeight="1">
      <c r="A25" s="1282"/>
      <c r="B25" s="1282"/>
      <c r="C25" s="1282"/>
      <c r="D25" s="1304" t="s">
        <v>683</v>
      </c>
      <c r="E25" s="1304"/>
      <c r="F25" s="1304"/>
      <c r="G25" s="1304"/>
      <c r="H25" s="1304"/>
    </row>
    <row r="26" spans="1:8" ht="6" customHeight="1">
      <c r="A26" s="1282"/>
      <c r="B26" s="1282"/>
      <c r="C26" s="1282"/>
      <c r="D26" s="1247"/>
      <c r="E26" s="1247"/>
      <c r="F26" s="1247"/>
      <c r="G26" s="1247"/>
      <c r="H26" s="1247"/>
    </row>
    <row r="27" spans="1:8" ht="12.75" customHeight="1">
      <c r="A27" s="1282"/>
      <c r="B27" s="1282"/>
      <c r="C27" s="1282"/>
      <c r="D27" s="1304" t="s">
        <v>684</v>
      </c>
      <c r="E27" s="1304"/>
      <c r="F27" s="1304"/>
      <c r="G27" s="1304"/>
      <c r="H27" s="1304"/>
    </row>
    <row r="28" spans="1:8" ht="12.75" customHeight="1">
      <c r="A28" s="1282"/>
      <c r="B28" s="1282"/>
      <c r="C28" s="1282"/>
      <c r="D28" s="1247" t="s">
        <v>685</v>
      </c>
      <c r="E28" s="1304" t="s">
        <v>686</v>
      </c>
      <c r="F28" s="1304"/>
      <c r="G28" s="1304"/>
      <c r="H28" s="1304"/>
    </row>
    <row r="29" spans="1:8" ht="12.75" customHeight="1">
      <c r="A29" s="1282"/>
      <c r="B29" s="1282"/>
      <c r="C29" s="1282"/>
      <c r="D29" s="1247" t="s">
        <v>685</v>
      </c>
      <c r="E29" s="1307" t="s">
        <v>687</v>
      </c>
      <c r="F29" s="1307"/>
      <c r="G29" s="1307"/>
      <c r="H29" s="1307"/>
    </row>
    <row r="30" spans="1:8" ht="12.75" customHeight="1">
      <c r="A30" s="1282"/>
      <c r="B30" s="1282"/>
      <c r="C30" s="1282"/>
      <c r="D30" s="1247" t="s">
        <v>685</v>
      </c>
      <c r="E30" s="1307" t="s">
        <v>688</v>
      </c>
      <c r="F30" s="1307"/>
      <c r="G30" s="1307"/>
      <c r="H30" s="1307"/>
    </row>
    <row r="31" spans="1:8" ht="25.5" customHeight="1">
      <c r="A31" s="1282"/>
      <c r="B31" s="1282"/>
      <c r="C31" s="1282"/>
      <c r="D31" s="1247" t="s">
        <v>685</v>
      </c>
      <c r="E31" s="1304" t="s">
        <v>689</v>
      </c>
      <c r="F31" s="1304"/>
      <c r="G31" s="1304"/>
      <c r="H31" s="1304"/>
    </row>
    <row r="32" spans="1:8" ht="7.35" customHeight="1">
      <c r="A32" s="1282"/>
      <c r="B32" s="1282"/>
      <c r="C32" s="1282"/>
      <c r="D32" s="1247"/>
      <c r="E32" s="1247"/>
      <c r="F32" s="1247"/>
      <c r="G32" s="1247"/>
      <c r="H32" s="1247"/>
    </row>
    <row r="33" spans="1:10" ht="12.75" customHeight="1">
      <c r="A33" s="1282"/>
      <c r="B33" s="1282"/>
      <c r="C33" s="1282"/>
      <c r="D33" s="1307" t="s">
        <v>690</v>
      </c>
      <c r="E33" s="1307"/>
      <c r="F33" s="1307"/>
      <c r="G33" s="1307"/>
      <c r="H33" s="1307"/>
    </row>
    <row r="34" spans="1:10" ht="7.35" customHeight="1">
      <c r="A34" s="1282"/>
      <c r="B34" s="1282"/>
      <c r="C34" s="1282"/>
      <c r="D34" s="1247"/>
      <c r="E34" s="1247"/>
      <c r="F34" s="1247"/>
      <c r="G34" s="1247"/>
      <c r="H34" s="1247"/>
    </row>
    <row r="35" spans="1:10" ht="12.75" customHeight="1">
      <c r="A35" s="1282"/>
      <c r="B35" s="1282"/>
      <c r="C35" s="1282"/>
      <c r="D35" s="1307" t="s">
        <v>691</v>
      </c>
      <c r="E35" s="1307"/>
      <c r="F35" s="1307"/>
      <c r="G35" s="1307"/>
      <c r="H35" s="1307"/>
    </row>
    <row r="36" spans="1:10" ht="7.35" customHeight="1">
      <c r="A36" s="1282"/>
      <c r="B36" s="1282"/>
      <c r="C36" s="1282"/>
      <c r="D36" s="1247"/>
      <c r="E36" s="1247"/>
      <c r="F36" s="1247"/>
      <c r="G36" s="1247"/>
      <c r="H36" s="1247"/>
    </row>
    <row r="37" spans="1:10" ht="12.75" customHeight="1">
      <c r="A37" s="1282"/>
      <c r="B37" s="1282"/>
      <c r="C37" s="46" t="s">
        <v>692</v>
      </c>
      <c r="D37" s="21" t="s">
        <v>693</v>
      </c>
    </row>
    <row r="38" spans="1:10" s="750" customFormat="1" ht="51" customHeight="1">
      <c r="A38" s="1279"/>
      <c r="B38" s="1279"/>
      <c r="C38" s="1279"/>
      <c r="D38" s="1304" t="s">
        <v>694</v>
      </c>
      <c r="E38" s="1304"/>
      <c r="F38" s="1304"/>
      <c r="G38" s="1304"/>
      <c r="H38" s="1304"/>
      <c r="J38" s="751"/>
    </row>
    <row r="39" spans="1:10" ht="7.35" customHeight="1">
      <c r="A39" s="1282"/>
      <c r="B39" s="1282"/>
      <c r="C39" s="1282"/>
      <c r="D39" s="1247"/>
      <c r="E39" s="1247"/>
      <c r="F39" s="1247"/>
      <c r="G39" s="1247"/>
      <c r="H39" s="1247"/>
    </row>
    <row r="40" spans="1:10" s="750" customFormat="1" ht="38.25" customHeight="1">
      <c r="A40" s="1279"/>
      <c r="B40" s="1279"/>
      <c r="C40" s="1279"/>
      <c r="D40" s="1304" t="s">
        <v>695</v>
      </c>
      <c r="E40" s="1304"/>
      <c r="F40" s="1304"/>
      <c r="G40" s="1304"/>
      <c r="H40" s="1304"/>
      <c r="J40" s="751"/>
    </row>
    <row r="41" spans="1:10" ht="7.35" customHeight="1">
      <c r="A41" s="1282"/>
      <c r="B41" s="1282"/>
      <c r="C41" s="1282"/>
      <c r="D41" s="1247"/>
      <c r="E41" s="1247"/>
      <c r="F41" s="1247"/>
      <c r="G41" s="1247"/>
      <c r="H41" s="1247"/>
    </row>
    <row r="42" spans="1:10" ht="29.25" customHeight="1">
      <c r="A42" s="1282"/>
      <c r="B42" s="1282"/>
      <c r="C42" s="1282"/>
      <c r="D42" s="1304" t="s">
        <v>696</v>
      </c>
      <c r="E42" s="1304"/>
      <c r="F42" s="1304"/>
      <c r="G42" s="1304"/>
      <c r="H42" s="1304"/>
      <c r="J42" s="751"/>
    </row>
    <row r="43" spans="1:10" ht="7.35" customHeight="1">
      <c r="A43" s="1282"/>
      <c r="B43" s="1282"/>
      <c r="C43" s="1282"/>
      <c r="D43" s="1247"/>
      <c r="E43" s="1247"/>
      <c r="F43" s="1247"/>
      <c r="G43" s="1247"/>
      <c r="H43" s="1247"/>
    </row>
    <row r="44" spans="1:10" s="750" customFormat="1" ht="51" customHeight="1">
      <c r="A44" s="1279"/>
      <c r="B44" s="1279"/>
      <c r="C44" s="1279"/>
      <c r="D44" s="1304" t="s">
        <v>697</v>
      </c>
      <c r="E44" s="1304"/>
      <c r="F44" s="1304"/>
      <c r="G44" s="1304"/>
      <c r="H44" s="1304"/>
      <c r="J44" s="751"/>
    </row>
    <row r="45" spans="1:10" ht="7.35" customHeight="1">
      <c r="A45" s="1282"/>
      <c r="B45" s="1282"/>
      <c r="C45" s="1282"/>
      <c r="D45" s="1247"/>
      <c r="E45" s="1247"/>
      <c r="F45" s="1247"/>
      <c r="G45" s="1247"/>
      <c r="H45" s="1247"/>
    </row>
    <row r="46" spans="1:10" s="750" customFormat="1" ht="25.5" customHeight="1">
      <c r="A46" s="1279"/>
      <c r="B46" s="1279"/>
      <c r="C46" s="1279"/>
      <c r="D46" s="1304" t="s">
        <v>698</v>
      </c>
      <c r="E46" s="1304"/>
      <c r="F46" s="1304"/>
      <c r="G46" s="1304"/>
      <c r="H46" s="1304"/>
      <c r="J46" s="751"/>
    </row>
    <row r="47" spans="1:10" ht="7.35" customHeight="1">
      <c r="A47" s="1282"/>
      <c r="B47" s="1282"/>
      <c r="C47" s="1282"/>
      <c r="D47" s="1247"/>
      <c r="E47" s="1247"/>
      <c r="F47" s="1247"/>
      <c r="G47" s="1247"/>
      <c r="H47" s="1247"/>
    </row>
    <row r="48" spans="1:10" s="750" customFormat="1" ht="38.25" customHeight="1">
      <c r="A48" s="1279"/>
      <c r="B48" s="1279"/>
      <c r="C48" s="1279"/>
      <c r="D48" s="1304" t="s">
        <v>699</v>
      </c>
      <c r="E48" s="1304"/>
      <c r="F48" s="1304"/>
      <c r="G48" s="1304"/>
      <c r="H48" s="1304"/>
    </row>
    <row r="49" spans="1:8" ht="7.35" customHeight="1">
      <c r="A49" s="1282"/>
      <c r="B49" s="1282"/>
      <c r="C49" s="1282"/>
    </row>
    <row r="50" spans="1:8" ht="12.75" customHeight="1">
      <c r="A50" s="1282"/>
      <c r="B50" s="1282"/>
      <c r="C50" s="46" t="s">
        <v>700</v>
      </c>
      <c r="D50" s="21" t="s">
        <v>701</v>
      </c>
    </row>
    <row r="51" spans="1:8" ht="67.5" customHeight="1">
      <c r="A51" s="1282"/>
      <c r="B51" s="1282"/>
      <c r="C51" s="1282"/>
      <c r="D51" s="1304" t="s">
        <v>702</v>
      </c>
      <c r="E51" s="1304"/>
      <c r="F51" s="1304"/>
      <c r="G51" s="1304"/>
      <c r="H51" s="1304"/>
    </row>
    <row r="52" spans="1:8" ht="7.35" customHeight="1">
      <c r="A52" s="1282"/>
      <c r="B52" s="1282"/>
      <c r="C52" s="1282"/>
    </row>
    <row r="53" spans="1:8" ht="68.849999999999994" customHeight="1">
      <c r="A53" s="1282"/>
      <c r="B53" s="1282"/>
      <c r="C53" s="1282"/>
      <c r="D53" s="1304" t="s">
        <v>703</v>
      </c>
      <c r="E53" s="1304"/>
      <c r="F53" s="1304"/>
      <c r="G53" s="1304"/>
      <c r="H53" s="1304"/>
    </row>
    <row r="54" spans="1:8" ht="7.35" customHeight="1">
      <c r="A54" s="1282"/>
      <c r="B54" s="1282"/>
      <c r="C54" s="1282"/>
    </row>
    <row r="55" spans="1:8" ht="25.5" customHeight="1">
      <c r="A55" s="1282"/>
      <c r="B55" s="1282"/>
      <c r="C55" s="1282"/>
      <c r="D55" s="1304" t="s">
        <v>704</v>
      </c>
      <c r="E55" s="1304"/>
      <c r="F55" s="1304"/>
      <c r="G55" s="1304"/>
      <c r="H55" s="1304"/>
    </row>
    <row r="56" spans="1:8" ht="7.35" customHeight="1">
      <c r="A56" s="1282"/>
      <c r="B56" s="1282"/>
      <c r="C56" s="1282"/>
    </row>
    <row r="57" spans="1:8" ht="51" customHeight="1">
      <c r="A57" s="1282"/>
      <c r="B57" s="1282"/>
      <c r="C57" s="1282"/>
      <c r="D57" s="1304" t="s">
        <v>705</v>
      </c>
      <c r="E57" s="1304"/>
      <c r="F57" s="1304"/>
      <c r="G57" s="1304"/>
      <c r="H57" s="1304"/>
    </row>
    <row r="58" spans="1:8" ht="7.35" customHeight="1">
      <c r="A58" s="1282"/>
      <c r="B58" s="1282"/>
      <c r="C58" s="1282"/>
    </row>
    <row r="59" spans="1:8" ht="27.75" customHeight="1">
      <c r="A59" s="1282"/>
      <c r="B59" s="1282"/>
      <c r="C59" s="1282"/>
      <c r="D59" s="1304" t="s">
        <v>706</v>
      </c>
      <c r="E59" s="1304"/>
      <c r="F59" s="1304"/>
      <c r="G59" s="1304"/>
      <c r="H59" s="1304"/>
    </row>
    <row r="60" spans="1:8" ht="7.35" customHeight="1">
      <c r="A60" s="1282"/>
      <c r="B60" s="1282"/>
      <c r="C60" s="1282"/>
    </row>
    <row r="61" spans="1:8" ht="12.75" customHeight="1">
      <c r="A61" s="1282"/>
      <c r="B61" s="1282"/>
      <c r="C61" s="46" t="s">
        <v>707</v>
      </c>
      <c r="D61" s="21" t="s">
        <v>708</v>
      </c>
    </row>
    <row r="62" spans="1:8" ht="51" customHeight="1">
      <c r="A62" s="1282"/>
      <c r="B62" s="1282"/>
      <c r="C62" s="1282"/>
      <c r="D62" s="1304" t="s">
        <v>709</v>
      </c>
      <c r="E62" s="1304"/>
      <c r="F62" s="1304"/>
      <c r="G62" s="1304"/>
      <c r="H62" s="1304"/>
    </row>
    <row r="63" spans="1:8" ht="7.35" customHeight="1">
      <c r="A63" s="1282"/>
      <c r="B63" s="1282"/>
      <c r="C63" s="1282"/>
    </row>
    <row r="64" spans="1:8" ht="38.25" customHeight="1">
      <c r="A64" s="1282"/>
      <c r="B64" s="1282"/>
      <c r="C64" s="1282"/>
      <c r="D64" s="1304" t="s">
        <v>710</v>
      </c>
      <c r="E64" s="1304"/>
      <c r="F64" s="1304"/>
      <c r="G64" s="1304"/>
      <c r="H64" s="1304"/>
    </row>
    <row r="65" spans="1:8" ht="7.35" customHeight="1">
      <c r="A65" s="1282"/>
      <c r="B65" s="1282"/>
      <c r="C65" s="1282"/>
    </row>
    <row r="66" spans="1:8" ht="38.25" customHeight="1">
      <c r="A66" s="1282"/>
      <c r="B66" s="1282"/>
      <c r="C66" s="1282"/>
      <c r="D66" s="1304" t="s">
        <v>711</v>
      </c>
      <c r="E66" s="1304"/>
      <c r="F66" s="1304"/>
      <c r="G66" s="1304"/>
      <c r="H66" s="1304"/>
    </row>
    <row r="67" spans="1:8" ht="7.35" customHeight="1">
      <c r="A67" s="1282"/>
      <c r="B67" s="1282"/>
      <c r="C67" s="1282"/>
    </row>
    <row r="68" spans="1:8" ht="25.35" customHeight="1">
      <c r="A68" s="1282"/>
      <c r="B68" s="1282"/>
      <c r="C68" s="1282"/>
      <c r="D68" s="1304" t="s">
        <v>712</v>
      </c>
      <c r="E68" s="1304"/>
      <c r="F68" s="1304"/>
      <c r="G68" s="1304"/>
      <c r="H68" s="1304"/>
    </row>
    <row r="69" spans="1:8" ht="7.35" customHeight="1">
      <c r="A69" s="1282"/>
      <c r="B69" s="1282"/>
      <c r="C69" s="1282"/>
      <c r="D69" s="1240"/>
      <c r="E69" s="1240"/>
      <c r="F69" s="1240"/>
      <c r="G69" s="1240"/>
      <c r="H69" s="1240"/>
    </row>
    <row r="70" spans="1:8" ht="51" customHeight="1">
      <c r="A70" s="1282"/>
      <c r="B70" s="1282"/>
      <c r="C70" s="1282"/>
      <c r="D70" s="1304" t="s">
        <v>713</v>
      </c>
      <c r="E70" s="1304"/>
      <c r="F70" s="1304"/>
      <c r="G70" s="1304"/>
      <c r="H70" s="1304"/>
    </row>
    <row r="71" spans="1:8" ht="7.35" customHeight="1">
      <c r="A71" s="1282"/>
      <c r="B71" s="1282"/>
      <c r="C71" s="1282"/>
    </row>
    <row r="72" spans="1:8" ht="27" customHeight="1">
      <c r="A72" s="1282"/>
      <c r="B72" s="1282"/>
      <c r="C72" s="1282"/>
      <c r="D72" s="1304" t="s">
        <v>714</v>
      </c>
      <c r="E72" s="1304"/>
      <c r="F72" s="1304"/>
      <c r="G72" s="1304"/>
      <c r="H72" s="1304"/>
    </row>
    <row r="73" spans="1:8" ht="7.35" customHeight="1">
      <c r="A73" s="1282"/>
      <c r="B73" s="1282"/>
      <c r="C73" s="1282"/>
    </row>
    <row r="74" spans="1:8" ht="12.75" customHeight="1">
      <c r="A74" s="1282"/>
      <c r="B74" s="1282"/>
      <c r="C74" s="46" t="s">
        <v>715</v>
      </c>
      <c r="D74" s="21" t="s">
        <v>716</v>
      </c>
    </row>
    <row r="75" spans="1:8" ht="38.25" customHeight="1">
      <c r="A75" s="1282"/>
      <c r="B75" s="1282"/>
      <c r="C75" s="1282"/>
      <c r="D75" s="1304" t="s">
        <v>717</v>
      </c>
      <c r="E75" s="1304"/>
      <c r="F75" s="1304"/>
      <c r="G75" s="1304"/>
      <c r="H75" s="1304"/>
    </row>
    <row r="76" spans="1:8" ht="7.35" customHeight="1">
      <c r="A76" s="1282"/>
      <c r="B76" s="1282"/>
      <c r="C76" s="1282"/>
    </row>
    <row r="77" spans="1:8" ht="25.5" customHeight="1">
      <c r="A77" s="1282"/>
      <c r="B77" s="1282"/>
      <c r="C77" s="1282"/>
      <c r="D77" s="1304" t="s">
        <v>718</v>
      </c>
      <c r="E77" s="1304"/>
      <c r="F77" s="1304"/>
      <c r="G77" s="1304"/>
      <c r="H77" s="1304"/>
    </row>
    <row r="78" spans="1:8" ht="7.35" customHeight="1">
      <c r="A78" s="1282"/>
      <c r="B78" s="1282"/>
      <c r="C78" s="1282"/>
    </row>
    <row r="79" spans="1:8" ht="12.75" customHeight="1">
      <c r="A79" s="1282"/>
      <c r="B79" s="1282"/>
      <c r="C79" s="46" t="s">
        <v>719</v>
      </c>
      <c r="D79" s="21" t="s">
        <v>720</v>
      </c>
    </row>
    <row r="80" spans="1:8" ht="76.5" customHeight="1">
      <c r="A80" s="1282"/>
      <c r="B80" s="1282"/>
      <c r="C80" s="1282"/>
      <c r="D80" s="1304" t="s">
        <v>721</v>
      </c>
      <c r="E80" s="1304"/>
      <c r="F80" s="1304"/>
      <c r="G80" s="1304"/>
      <c r="H80" s="1304"/>
    </row>
    <row r="81" spans="1:14" ht="7.35" customHeight="1">
      <c r="A81" s="1282"/>
      <c r="B81" s="1282"/>
      <c r="C81" s="1282"/>
    </row>
    <row r="82" spans="1:14" ht="76.5" customHeight="1">
      <c r="A82" s="1282"/>
      <c r="B82" s="1282"/>
      <c r="C82" s="1282"/>
      <c r="D82" s="1304" t="s">
        <v>722</v>
      </c>
      <c r="E82" s="1304"/>
      <c r="F82" s="1304"/>
      <c r="G82" s="1304"/>
      <c r="H82" s="1304"/>
    </row>
    <row r="83" spans="1:14" ht="7.35" customHeight="1">
      <c r="A83" s="1282"/>
      <c r="B83" s="1282"/>
      <c r="C83" s="1282"/>
    </row>
    <row r="84" spans="1:14" ht="79.5" customHeight="1">
      <c r="A84" s="1282"/>
      <c r="B84" s="1282"/>
      <c r="C84" s="1282"/>
      <c r="D84" s="1305" t="s">
        <v>723</v>
      </c>
      <c r="E84" s="1304"/>
      <c r="F84" s="1304"/>
      <c r="G84" s="1304"/>
      <c r="H84" s="1304"/>
      <c r="I84" s="114"/>
    </row>
    <row r="85" spans="1:14" ht="7.35" customHeight="1">
      <c r="A85" s="1282"/>
      <c r="B85" s="1282"/>
      <c r="C85" s="1282"/>
    </row>
    <row r="86" spans="1:14" ht="25.5" customHeight="1">
      <c r="A86" s="1282"/>
      <c r="B86" s="1282"/>
      <c r="C86" s="1282"/>
      <c r="D86" s="1304" t="s">
        <v>724</v>
      </c>
      <c r="E86" s="1304"/>
      <c r="F86" s="1304"/>
      <c r="G86" s="1304"/>
      <c r="H86" s="1304"/>
    </row>
    <row r="87" spans="1:14" ht="7.35" customHeight="1">
      <c r="A87" s="1282"/>
      <c r="B87" s="1282"/>
      <c r="C87" s="1282"/>
    </row>
    <row r="88" spans="1:14" ht="12.75" customHeight="1">
      <c r="A88" s="1282"/>
      <c r="B88" s="1282"/>
      <c r="C88" s="46" t="s">
        <v>725</v>
      </c>
      <c r="D88" s="21" t="s">
        <v>726</v>
      </c>
    </row>
    <row r="89" spans="1:14" ht="38.25" customHeight="1">
      <c r="A89" s="1282"/>
      <c r="B89" s="1282"/>
      <c r="C89" s="1282"/>
      <c r="D89" s="1304" t="s">
        <v>727</v>
      </c>
      <c r="E89" s="1304"/>
      <c r="F89" s="1304"/>
      <c r="G89" s="1304"/>
      <c r="H89" s="1304"/>
    </row>
    <row r="90" spans="1:14" ht="7.35" customHeight="1">
      <c r="A90" s="1282"/>
      <c r="B90" s="1282"/>
      <c r="C90" s="1282"/>
    </row>
    <row r="91" spans="1:14" ht="38.25" customHeight="1">
      <c r="A91" s="1282"/>
      <c r="B91" s="1282"/>
      <c r="C91" s="1282"/>
      <c r="D91" s="1304" t="s">
        <v>728</v>
      </c>
      <c r="E91" s="1304"/>
      <c r="F91" s="1304"/>
      <c r="G91" s="1304"/>
      <c r="H91" s="1304"/>
    </row>
    <row r="92" spans="1:14" ht="7.35" customHeight="1">
      <c r="A92" s="1282"/>
      <c r="B92" s="1282"/>
      <c r="C92" s="1282"/>
    </row>
    <row r="93" spans="1:14" ht="66" customHeight="1">
      <c r="A93" s="1282"/>
      <c r="B93" s="1282"/>
      <c r="C93" s="1282"/>
      <c r="D93" s="1304" t="s">
        <v>729</v>
      </c>
      <c r="E93" s="1304"/>
      <c r="F93" s="1304"/>
      <c r="G93" s="1304"/>
      <c r="H93" s="1304"/>
      <c r="J93" s="40"/>
      <c r="K93" s="40"/>
      <c r="L93" s="40"/>
      <c r="M93" s="40"/>
      <c r="N93" s="40"/>
    </row>
    <row r="94" spans="1:14" ht="7.35" customHeight="1">
      <c r="A94" s="1282"/>
      <c r="B94" s="1282"/>
      <c r="C94" s="1282"/>
    </row>
    <row r="95" spans="1:14" ht="12.75" customHeight="1">
      <c r="A95" s="1282"/>
      <c r="B95" s="1282"/>
      <c r="C95" s="46" t="s">
        <v>730</v>
      </c>
      <c r="D95" s="21" t="s">
        <v>433</v>
      </c>
    </row>
    <row r="96" spans="1:14" ht="12.75" customHeight="1">
      <c r="A96" s="1282"/>
      <c r="B96" s="1282"/>
      <c r="C96" s="46"/>
      <c r="D96" s="21" t="s">
        <v>731</v>
      </c>
    </row>
    <row r="97" spans="1:8" ht="38.25" customHeight="1">
      <c r="A97" s="1282"/>
      <c r="B97" s="1282"/>
      <c r="C97" s="1282"/>
      <c r="D97" s="1304" t="s">
        <v>732</v>
      </c>
      <c r="E97" s="1304"/>
      <c r="F97" s="1304"/>
      <c r="G97" s="1304"/>
      <c r="H97" s="1304"/>
    </row>
    <row r="98" spans="1:8" ht="7.35" customHeight="1">
      <c r="A98" s="1282"/>
      <c r="B98" s="1282"/>
      <c r="C98" s="1282"/>
    </row>
    <row r="99" spans="1:8" ht="12.75" customHeight="1">
      <c r="A99" s="1282"/>
      <c r="B99" s="1282"/>
      <c r="C99" s="1282"/>
      <c r="D99" s="21" t="s">
        <v>733</v>
      </c>
    </row>
    <row r="100" spans="1:8" ht="38.25" customHeight="1">
      <c r="A100" s="1282"/>
      <c r="B100" s="1282"/>
      <c r="C100" s="1282"/>
      <c r="D100" s="1304" t="s">
        <v>734</v>
      </c>
      <c r="E100" s="1304"/>
      <c r="F100" s="1304"/>
      <c r="G100" s="1304"/>
      <c r="H100" s="1304"/>
    </row>
    <row r="101" spans="1:8" ht="7.35" customHeight="1">
      <c r="A101" s="1282"/>
      <c r="B101" s="1282"/>
      <c r="C101" s="1282"/>
    </row>
    <row r="102" spans="1:8" ht="12.75" customHeight="1">
      <c r="A102" s="1282"/>
      <c r="B102" s="1282"/>
      <c r="C102" s="1282"/>
      <c r="D102" s="21" t="s">
        <v>735</v>
      </c>
    </row>
    <row r="103" spans="1:8" ht="12.75" customHeight="1">
      <c r="A103" s="1282"/>
      <c r="B103" s="1282"/>
      <c r="C103" s="1282"/>
      <c r="D103" s="21" t="s">
        <v>736</v>
      </c>
    </row>
    <row r="104" spans="1:8" ht="51" customHeight="1">
      <c r="A104" s="1282"/>
      <c r="B104" s="1282"/>
      <c r="C104" s="1282"/>
      <c r="D104" s="1304" t="s">
        <v>737</v>
      </c>
      <c r="E104" s="1304"/>
      <c r="F104" s="1304"/>
      <c r="G104" s="1304"/>
      <c r="H104" s="1304"/>
    </row>
    <row r="105" spans="1:8" ht="7.35" customHeight="1">
      <c r="A105" s="1282"/>
      <c r="B105" s="1282"/>
      <c r="C105" s="1282"/>
    </row>
    <row r="106" spans="1:8" ht="12.75" customHeight="1">
      <c r="A106" s="1282"/>
      <c r="B106" s="1282"/>
      <c r="C106" s="1282"/>
      <c r="D106" s="21" t="s">
        <v>738</v>
      </c>
    </row>
    <row r="107" spans="1:8" ht="38.25" customHeight="1">
      <c r="A107" s="1282"/>
      <c r="B107" s="1282"/>
      <c r="C107" s="1282"/>
      <c r="D107" s="1304" t="s">
        <v>739</v>
      </c>
      <c r="E107" s="1304"/>
      <c r="F107" s="1304"/>
      <c r="G107" s="1304"/>
      <c r="H107" s="1304"/>
    </row>
    <row r="108" spans="1:8" ht="7.35" customHeight="1">
      <c r="A108" s="1282"/>
      <c r="B108" s="1282"/>
      <c r="C108" s="1282"/>
    </row>
    <row r="109" spans="1:8" ht="38.25" customHeight="1">
      <c r="A109" s="1282"/>
      <c r="B109" s="1282"/>
      <c r="C109" s="1282"/>
      <c r="D109" s="1304" t="s">
        <v>740</v>
      </c>
      <c r="E109" s="1304"/>
      <c r="F109" s="1304"/>
      <c r="G109" s="1304"/>
      <c r="H109" s="1304"/>
    </row>
    <row r="110" spans="1:8" ht="7.35" customHeight="1">
      <c r="A110" s="1282"/>
      <c r="B110" s="1282"/>
      <c r="C110" s="1282"/>
    </row>
    <row r="111" spans="1:8" ht="25.5" customHeight="1">
      <c r="A111" s="1282"/>
      <c r="B111" s="1282"/>
      <c r="C111" s="1282"/>
      <c r="D111" s="1304" t="s">
        <v>741</v>
      </c>
      <c r="E111" s="1304"/>
      <c r="F111" s="1304"/>
      <c r="G111" s="1304"/>
      <c r="H111" s="1304"/>
    </row>
    <row r="112" spans="1:8" ht="7.35" customHeight="1">
      <c r="A112" s="1282"/>
      <c r="B112" s="1282"/>
      <c r="C112" s="1282"/>
    </row>
    <row r="113" spans="1:14" ht="12.75" customHeight="1">
      <c r="A113" s="1282"/>
      <c r="B113" s="1282"/>
      <c r="C113" s="46" t="s">
        <v>742</v>
      </c>
      <c r="D113" s="21" t="s">
        <v>743</v>
      </c>
    </row>
    <row r="114" spans="1:14" ht="40.5" customHeight="1">
      <c r="A114" s="1282"/>
      <c r="B114" s="1282"/>
      <c r="C114" s="1282"/>
      <c r="D114" s="1304" t="s">
        <v>744</v>
      </c>
      <c r="E114" s="1304"/>
      <c r="F114" s="1304"/>
      <c r="G114" s="1304"/>
      <c r="H114" s="1304"/>
      <c r="J114" s="1304"/>
      <c r="K114" s="1304"/>
      <c r="L114" s="1304"/>
      <c r="M114" s="1304"/>
      <c r="N114" s="1304"/>
    </row>
    <row r="115" spans="1:14" ht="7.35" customHeight="1">
      <c r="A115" s="1282"/>
      <c r="B115" s="1282"/>
      <c r="C115" s="1282"/>
      <c r="J115" s="39"/>
      <c r="K115" s="39"/>
      <c r="L115" s="39"/>
      <c r="M115" s="39"/>
      <c r="N115" s="39"/>
    </row>
    <row r="116" spans="1:14" ht="12.75" customHeight="1">
      <c r="A116" s="1282"/>
      <c r="B116" s="1282"/>
      <c r="C116" s="1282"/>
      <c r="D116" s="46" t="s">
        <v>742</v>
      </c>
      <c r="E116" s="21" t="s">
        <v>404</v>
      </c>
      <c r="J116" s="46"/>
      <c r="K116" s="21"/>
      <c r="L116" s="39"/>
      <c r="M116" s="39"/>
      <c r="N116" s="39"/>
    </row>
    <row r="117" spans="1:14" ht="38.25" customHeight="1">
      <c r="A117" s="1282"/>
      <c r="B117" s="1282"/>
      <c r="C117" s="1282"/>
      <c r="D117" s="1282"/>
      <c r="E117" s="1307" t="s">
        <v>745</v>
      </c>
      <c r="F117" s="1307"/>
      <c r="G117" s="1307"/>
      <c r="H117" s="1307"/>
      <c r="J117" s="1282"/>
      <c r="K117" s="1307"/>
      <c r="L117" s="1307"/>
      <c r="M117" s="1307"/>
      <c r="N117" s="1307"/>
    </row>
    <row r="118" spans="1:14" ht="7.35" customHeight="1">
      <c r="A118" s="1282"/>
      <c r="B118" s="1282"/>
      <c r="C118" s="1282"/>
      <c r="D118" s="1282"/>
    </row>
    <row r="119" spans="1:14" ht="12.75" customHeight="1">
      <c r="A119" s="1282"/>
      <c r="B119" s="1282"/>
      <c r="C119" s="1282"/>
      <c r="D119" s="46" t="s">
        <v>746</v>
      </c>
      <c r="E119" s="21" t="s">
        <v>406</v>
      </c>
    </row>
    <row r="120" spans="1:14" ht="38.25" customHeight="1">
      <c r="A120" s="1282"/>
      <c r="B120" s="1282"/>
      <c r="C120" s="1282"/>
      <c r="D120" s="1282"/>
      <c r="E120" s="1307" t="s">
        <v>747</v>
      </c>
      <c r="F120" s="1307"/>
      <c r="G120" s="1307"/>
      <c r="H120" s="1307"/>
    </row>
    <row r="121" spans="1:14" ht="7.35" customHeight="1">
      <c r="A121" s="1282"/>
      <c r="B121" s="1282"/>
      <c r="C121" s="1282"/>
      <c r="D121" s="1282"/>
      <c r="E121" s="1247"/>
      <c r="F121" s="1247"/>
      <c r="G121" s="1247"/>
      <c r="H121" s="1247"/>
    </row>
    <row r="122" spans="1:14" ht="51" customHeight="1">
      <c r="A122" s="1282"/>
      <c r="B122" s="1282"/>
      <c r="C122" s="1282"/>
      <c r="D122" s="1282"/>
      <c r="E122" s="1307" t="s">
        <v>748</v>
      </c>
      <c r="F122" s="1307"/>
      <c r="G122" s="1307"/>
      <c r="H122" s="1307"/>
    </row>
    <row r="123" spans="1:14" ht="7.35" customHeight="1">
      <c r="A123" s="1282"/>
      <c r="B123" s="1282"/>
      <c r="C123" s="1282"/>
      <c r="D123" s="1282"/>
      <c r="E123" s="1247"/>
      <c r="F123" s="1247"/>
      <c r="G123" s="1247"/>
      <c r="H123" s="1247"/>
    </row>
    <row r="124" spans="1:14" ht="38.25" customHeight="1">
      <c r="A124" s="1282"/>
      <c r="B124" s="1282"/>
      <c r="C124" s="1282"/>
      <c r="D124" s="1282"/>
      <c r="E124" s="1307" t="s">
        <v>749</v>
      </c>
      <c r="F124" s="1307"/>
      <c r="G124" s="1307"/>
      <c r="H124" s="1307"/>
    </row>
    <row r="125" spans="1:14" ht="7.35" customHeight="1">
      <c r="A125" s="1282"/>
      <c r="B125" s="1282"/>
      <c r="C125" s="1282"/>
      <c r="D125" s="1282"/>
      <c r="E125" s="1247"/>
      <c r="F125" s="1247"/>
      <c r="G125" s="1247"/>
      <c r="H125" s="1247"/>
    </row>
    <row r="126" spans="1:14" ht="53.25" customHeight="1">
      <c r="A126" s="1282"/>
      <c r="B126" s="1282"/>
      <c r="C126" s="1282"/>
      <c r="D126" s="1282"/>
      <c r="E126" s="1307" t="s">
        <v>750</v>
      </c>
      <c r="F126" s="1307"/>
      <c r="G126" s="1307"/>
      <c r="H126" s="1307"/>
    </row>
    <row r="127" spans="1:14" ht="7.35" customHeight="1">
      <c r="A127" s="1282"/>
      <c r="B127" s="1282"/>
      <c r="C127" s="1282"/>
    </row>
    <row r="128" spans="1:14" ht="12.75" customHeight="1">
      <c r="A128" s="1282"/>
      <c r="B128" s="1282"/>
      <c r="C128" s="46" t="s">
        <v>751</v>
      </c>
      <c r="D128" s="21" t="s">
        <v>752</v>
      </c>
      <c r="J128" s="15" t="s">
        <v>753</v>
      </c>
    </row>
    <row r="129" spans="1:8" ht="38.25" customHeight="1">
      <c r="A129" s="1282"/>
      <c r="B129" s="1282"/>
      <c r="C129" s="1282"/>
      <c r="D129" s="1304" t="s">
        <v>754</v>
      </c>
      <c r="E129" s="1304"/>
      <c r="F129" s="1304"/>
      <c r="G129" s="1304"/>
      <c r="H129" s="1304"/>
    </row>
    <row r="130" spans="1:8" ht="7.35" customHeight="1">
      <c r="A130" s="1282"/>
      <c r="B130" s="1282"/>
      <c r="C130" s="1282"/>
    </row>
    <row r="131" spans="1:8" ht="25.5" customHeight="1">
      <c r="A131" s="1282"/>
      <c r="B131" s="1282"/>
      <c r="C131" s="1282"/>
      <c r="D131" s="1304" t="s">
        <v>755</v>
      </c>
      <c r="E131" s="1304"/>
      <c r="F131" s="1304"/>
      <c r="G131" s="1304"/>
      <c r="H131" s="1304"/>
    </row>
    <row r="132" spans="1:8" ht="7.35" customHeight="1">
      <c r="A132" s="1282"/>
      <c r="B132" s="1282"/>
      <c r="C132" s="1282"/>
    </row>
    <row r="133" spans="1:8" ht="66.75" customHeight="1">
      <c r="A133" s="1282"/>
      <c r="B133" s="1282"/>
      <c r="C133" s="1282"/>
      <c r="D133" s="1304" t="s">
        <v>756</v>
      </c>
      <c r="E133" s="1304"/>
      <c r="F133" s="1304"/>
      <c r="G133" s="1304"/>
      <c r="H133" s="1304"/>
    </row>
    <row r="134" spans="1:8" ht="7.35" customHeight="1">
      <c r="A134" s="1282"/>
      <c r="B134" s="1282"/>
      <c r="C134" s="1282"/>
    </row>
    <row r="135" spans="1:8" ht="12.75" customHeight="1">
      <c r="A135" s="1282"/>
      <c r="B135" s="1282"/>
      <c r="C135" s="46" t="s">
        <v>757</v>
      </c>
      <c r="D135" s="21" t="s">
        <v>758</v>
      </c>
    </row>
    <row r="136" spans="1:8" ht="38.25" customHeight="1">
      <c r="A136" s="1282"/>
      <c r="B136" s="1282"/>
      <c r="C136" s="1282"/>
      <c r="D136" s="1304" t="s">
        <v>759</v>
      </c>
      <c r="E136" s="1304"/>
      <c r="F136" s="1304"/>
      <c r="G136" s="1304"/>
      <c r="H136" s="1304"/>
    </row>
    <row r="137" spans="1:8" ht="7.35" customHeight="1">
      <c r="A137" s="1282"/>
      <c r="B137" s="1282"/>
      <c r="C137" s="1282"/>
    </row>
    <row r="138" spans="1:8" ht="76.5" customHeight="1">
      <c r="A138" s="1282"/>
      <c r="B138" s="1282"/>
      <c r="C138" s="1282"/>
      <c r="D138" s="1304" t="s">
        <v>760</v>
      </c>
      <c r="E138" s="1304"/>
      <c r="F138" s="1304"/>
      <c r="G138" s="1304"/>
      <c r="H138" s="1304"/>
    </row>
    <row r="139" spans="1:8" ht="7.35" customHeight="1">
      <c r="A139" s="1282"/>
      <c r="B139" s="1282"/>
      <c r="C139" s="1282"/>
    </row>
    <row r="140" spans="1:8" ht="41.25" customHeight="1">
      <c r="A140" s="1282"/>
      <c r="B140" s="1282"/>
      <c r="C140" s="1282"/>
      <c r="D140" s="1304" t="s">
        <v>761</v>
      </c>
      <c r="E140" s="1304"/>
      <c r="F140" s="1304"/>
      <c r="G140" s="1304"/>
      <c r="H140" s="1304"/>
    </row>
    <row r="141" spans="1:8" ht="7.35" customHeight="1">
      <c r="A141" s="1282"/>
      <c r="B141" s="1282"/>
      <c r="C141" s="1282"/>
    </row>
    <row r="142" spans="1:8" s="752" customFormat="1" ht="76.349999999999994" customHeight="1">
      <c r="A142" s="1282"/>
      <c r="B142" s="1282"/>
      <c r="C142" s="1282"/>
      <c r="D142" s="1304" t="s">
        <v>762</v>
      </c>
      <c r="E142" s="1304"/>
      <c r="F142" s="1304"/>
      <c r="G142" s="1304"/>
      <c r="H142" s="1304"/>
    </row>
    <row r="143" spans="1:8" ht="7.35" customHeight="1">
      <c r="A143" s="1282"/>
      <c r="B143" s="1282"/>
      <c r="C143" s="1282"/>
    </row>
    <row r="144" spans="1:8" ht="12.75" customHeight="1">
      <c r="A144" s="1282"/>
      <c r="B144" s="1282"/>
      <c r="C144" s="1282"/>
      <c r="D144" s="1308" t="s">
        <v>763</v>
      </c>
      <c r="E144" s="1308"/>
      <c r="F144" s="1308"/>
      <c r="G144" s="1308"/>
      <c r="H144" s="1308"/>
    </row>
    <row r="145" spans="1:11" s="752" customFormat="1" ht="42.75" customHeight="1">
      <c r="A145" s="1282"/>
      <c r="B145" s="1282"/>
      <c r="C145" s="1282"/>
      <c r="D145" s="1304" t="s">
        <v>764</v>
      </c>
      <c r="E145" s="1304"/>
      <c r="F145" s="1304"/>
      <c r="G145" s="1304"/>
      <c r="H145" s="1304"/>
    </row>
    <row r="146" spans="1:11" s="752" customFormat="1" ht="41.25" customHeight="1">
      <c r="A146" s="1282"/>
      <c r="B146" s="1282"/>
      <c r="C146" s="1282"/>
      <c r="D146" s="1304" t="s">
        <v>765</v>
      </c>
      <c r="E146" s="1304"/>
      <c r="F146" s="1304"/>
      <c r="G146" s="1304"/>
      <c r="H146" s="1304"/>
    </row>
    <row r="147" spans="1:11" ht="7.35" customHeight="1">
      <c r="A147" s="1282"/>
      <c r="B147" s="1282"/>
      <c r="C147" s="1282"/>
    </row>
    <row r="148" spans="1:11" s="39" customFormat="1" ht="15" customHeight="1">
      <c r="A148" s="1282"/>
      <c r="B148" s="1282"/>
      <c r="C148" s="1282"/>
      <c r="D148" s="39" t="s">
        <v>766</v>
      </c>
    </row>
    <row r="149" spans="1:11" s="39" customFormat="1" ht="7.35" customHeight="1">
      <c r="A149" s="1282"/>
      <c r="B149" s="1282"/>
      <c r="C149" s="1282"/>
    </row>
    <row r="150" spans="1:11" ht="12.75" customHeight="1">
      <c r="A150" s="1282"/>
      <c r="B150" s="1282"/>
      <c r="C150" s="1282"/>
      <c r="D150" s="21" t="s">
        <v>767</v>
      </c>
    </row>
    <row r="151" spans="1:11" s="752" customFormat="1" ht="12.75" customHeight="1">
      <c r="A151" s="1282"/>
      <c r="B151" s="1282"/>
      <c r="C151" s="1282"/>
      <c r="D151" s="1306" t="s">
        <v>768</v>
      </c>
      <c r="E151" s="1306"/>
      <c r="F151" s="1306"/>
      <c r="G151" s="1306"/>
      <c r="H151" s="1306"/>
    </row>
    <row r="152" spans="1:11" ht="7.35" customHeight="1">
      <c r="A152" s="1282"/>
      <c r="B152" s="1282"/>
      <c r="C152" s="1282"/>
    </row>
    <row r="153" spans="1:11" ht="12.75" customHeight="1">
      <c r="A153" s="1282"/>
      <c r="B153" s="1282"/>
      <c r="C153" s="1282"/>
      <c r="D153" s="21" t="s">
        <v>769</v>
      </c>
    </row>
    <row r="154" spans="1:11" s="752" customFormat="1" ht="15" customHeight="1">
      <c r="A154" s="1282"/>
      <c r="B154" s="1282"/>
      <c r="C154" s="1282"/>
      <c r="D154" s="1304" t="s">
        <v>770</v>
      </c>
      <c r="E154" s="1304"/>
      <c r="F154" s="1304"/>
      <c r="G154" s="1304"/>
      <c r="H154" s="1304"/>
    </row>
    <row r="155" spans="1:11" ht="7.35" customHeight="1">
      <c r="A155" s="1282"/>
      <c r="B155" s="1282"/>
      <c r="C155" s="1282"/>
    </row>
    <row r="156" spans="1:11" ht="12.75" customHeight="1">
      <c r="A156" s="1282"/>
      <c r="B156" s="1282"/>
      <c r="C156" s="46" t="s">
        <v>771</v>
      </c>
      <c r="D156" s="21" t="s">
        <v>772</v>
      </c>
      <c r="E156" s="21"/>
      <c r="F156" s="21"/>
      <c r="G156" s="21"/>
    </row>
    <row r="157" spans="1:11" ht="28.5" customHeight="1">
      <c r="A157" s="1282"/>
      <c r="B157" s="1282"/>
      <c r="C157" s="46"/>
      <c r="D157" s="1310" t="s">
        <v>773</v>
      </c>
      <c r="E157" s="1310"/>
      <c r="F157" s="1310"/>
      <c r="G157" s="1310"/>
      <c r="H157" s="1310"/>
    </row>
    <row r="158" spans="1:11" ht="12.75" customHeight="1">
      <c r="A158" s="1282"/>
      <c r="B158" s="1282"/>
      <c r="C158" s="46"/>
      <c r="D158" s="46" t="s">
        <v>742</v>
      </c>
      <c r="E158" s="21" t="s">
        <v>220</v>
      </c>
      <c r="F158" s="21"/>
      <c r="G158" s="21"/>
    </row>
    <row r="159" spans="1:11" ht="12.75" customHeight="1">
      <c r="A159" s="1282"/>
      <c r="B159" s="1282"/>
      <c r="C159" s="46"/>
      <c r="D159" s="46"/>
      <c r="E159" s="46" t="s">
        <v>572</v>
      </c>
      <c r="F159" s="21" t="s">
        <v>774</v>
      </c>
      <c r="G159" s="21"/>
    </row>
    <row r="160" spans="1:11" s="752" customFormat="1" ht="78.75" customHeight="1">
      <c r="A160" s="1282"/>
      <c r="B160" s="1282"/>
      <c r="C160" s="1282"/>
      <c r="D160" s="1282"/>
      <c r="E160" s="46"/>
      <c r="F160" s="1305" t="s">
        <v>775</v>
      </c>
      <c r="G160" s="1304"/>
      <c r="H160" s="1304"/>
      <c r="J160" s="1304"/>
      <c r="K160" s="1304"/>
    </row>
    <row r="161" spans="1:8" ht="7.35" customHeight="1">
      <c r="A161" s="1282"/>
      <c r="B161" s="1282"/>
      <c r="C161" s="1282"/>
      <c r="D161" s="1282"/>
      <c r="E161" s="46"/>
    </row>
    <row r="162" spans="1:8" ht="12.75" customHeight="1">
      <c r="A162" s="1282"/>
      <c r="B162" s="1282"/>
      <c r="C162" s="1282"/>
      <c r="D162" s="1282"/>
      <c r="E162" s="46" t="s">
        <v>578</v>
      </c>
      <c r="F162" s="21" t="s">
        <v>776</v>
      </c>
    </row>
    <row r="163" spans="1:8" ht="12.75" customHeight="1">
      <c r="A163" s="1282"/>
      <c r="B163" s="1282"/>
      <c r="C163" s="1282"/>
      <c r="D163" s="1282"/>
      <c r="E163" s="46"/>
      <c r="F163" s="21" t="s">
        <v>777</v>
      </c>
      <c r="G163" s="21" t="s">
        <v>778</v>
      </c>
    </row>
    <row r="164" spans="1:8" s="752" customFormat="1" ht="69" customHeight="1">
      <c r="A164" s="1282"/>
      <c r="B164" s="1282"/>
      <c r="C164" s="1282"/>
      <c r="D164" s="1282"/>
      <c r="E164" s="46"/>
      <c r="F164" s="1247"/>
      <c r="G164" s="1304" t="s">
        <v>779</v>
      </c>
      <c r="H164" s="1304"/>
    </row>
    <row r="165" spans="1:8" s="752" customFormat="1" ht="25.5" customHeight="1">
      <c r="A165" s="1282"/>
      <c r="B165" s="1282"/>
      <c r="C165" s="1282"/>
      <c r="D165" s="1282"/>
      <c r="E165" s="46"/>
      <c r="F165" s="1247"/>
      <c r="G165" s="1304" t="s">
        <v>780</v>
      </c>
      <c r="H165" s="1304"/>
    </row>
    <row r="166" spans="1:8" ht="7.35" customHeight="1">
      <c r="A166" s="1282"/>
      <c r="B166" s="1282"/>
      <c r="C166" s="1282"/>
      <c r="D166" s="1282"/>
      <c r="E166" s="46"/>
    </row>
    <row r="167" spans="1:8" ht="27" customHeight="1">
      <c r="A167" s="1282"/>
      <c r="B167" s="1282"/>
      <c r="C167" s="1282"/>
      <c r="D167" s="1282"/>
      <c r="E167" s="46"/>
      <c r="F167" s="21" t="s">
        <v>781</v>
      </c>
      <c r="G167" s="1309" t="s">
        <v>782</v>
      </c>
      <c r="H167" s="1309"/>
    </row>
    <row r="168" spans="1:8" s="752" customFormat="1" ht="63.75" customHeight="1">
      <c r="A168" s="1282"/>
      <c r="B168" s="1282"/>
      <c r="C168" s="1282"/>
      <c r="D168" s="1282"/>
      <c r="E168" s="46"/>
      <c r="F168" s="1247"/>
      <c r="G168" s="1304" t="s">
        <v>783</v>
      </c>
      <c r="H168" s="1304"/>
    </row>
    <row r="169" spans="1:8" ht="7.35" customHeight="1">
      <c r="A169" s="1282"/>
      <c r="B169" s="1282"/>
      <c r="C169" s="1282"/>
      <c r="D169" s="1282"/>
      <c r="E169" s="46"/>
    </row>
    <row r="170" spans="1:8" ht="12.75" customHeight="1">
      <c r="A170" s="1282"/>
      <c r="B170" s="1282"/>
      <c r="C170" s="1282"/>
      <c r="D170" s="1282"/>
      <c r="E170" s="46"/>
      <c r="F170" s="21" t="s">
        <v>784</v>
      </c>
      <c r="G170" s="21" t="s">
        <v>785</v>
      </c>
      <c r="H170" s="21"/>
    </row>
    <row r="171" spans="1:8" s="752" customFormat="1" ht="25.5" customHeight="1">
      <c r="A171" s="1282"/>
      <c r="B171" s="1282"/>
      <c r="C171" s="1282"/>
      <c r="D171" s="1282"/>
      <c r="E171" s="46"/>
      <c r="F171" s="1247"/>
      <c r="G171" s="1304" t="s">
        <v>786</v>
      </c>
      <c r="H171" s="1304"/>
    </row>
    <row r="172" spans="1:8" ht="7.35" customHeight="1">
      <c r="A172" s="1282"/>
      <c r="B172" s="1282"/>
      <c r="C172" s="1282"/>
      <c r="D172" s="1282"/>
      <c r="E172" s="46"/>
    </row>
    <row r="173" spans="1:8" ht="12.75" customHeight="1">
      <c r="A173" s="1282"/>
      <c r="B173" s="1282"/>
      <c r="C173" s="1282"/>
      <c r="D173" s="1282"/>
      <c r="E173" s="46" t="s">
        <v>787</v>
      </c>
      <c r="F173" s="21" t="s">
        <v>788</v>
      </c>
    </row>
    <row r="174" spans="1:8" s="752" customFormat="1" ht="25.5" customHeight="1">
      <c r="A174" s="1282"/>
      <c r="B174" s="1282"/>
      <c r="C174" s="1282"/>
      <c r="D174" s="1282"/>
      <c r="E174" s="46"/>
      <c r="F174" s="1304" t="s">
        <v>789</v>
      </c>
      <c r="G174" s="1304"/>
      <c r="H174" s="1304"/>
    </row>
    <row r="175" spans="1:8" ht="7.35" customHeight="1">
      <c r="A175" s="1282"/>
      <c r="B175" s="1282"/>
      <c r="C175" s="1282"/>
      <c r="D175" s="1282"/>
      <c r="E175" s="46"/>
    </row>
    <row r="176" spans="1:8" ht="12.75" customHeight="1">
      <c r="A176" s="1282"/>
      <c r="B176" s="1282"/>
      <c r="C176" s="1282"/>
      <c r="D176" s="1282"/>
      <c r="E176" s="46" t="s">
        <v>790</v>
      </c>
      <c r="F176" s="21" t="s">
        <v>791</v>
      </c>
    </row>
    <row r="177" spans="1:8" s="752" customFormat="1" ht="68.25" customHeight="1">
      <c r="A177" s="1282"/>
      <c r="B177" s="1282"/>
      <c r="C177" s="1282"/>
      <c r="D177" s="1282"/>
      <c r="E177" s="46"/>
      <c r="F177" s="1305" t="s">
        <v>792</v>
      </c>
      <c r="G177" s="1304"/>
      <c r="H177" s="1304"/>
    </row>
    <row r="178" spans="1:8" ht="7.35" customHeight="1">
      <c r="A178" s="1282"/>
      <c r="B178" s="1282"/>
      <c r="C178" s="1282"/>
      <c r="D178" s="1282"/>
      <c r="E178" s="46"/>
    </row>
    <row r="179" spans="1:8" ht="12.75" customHeight="1">
      <c r="A179" s="1282"/>
      <c r="B179" s="1282"/>
      <c r="C179" s="1282"/>
      <c r="D179" s="1282"/>
      <c r="E179" s="46" t="s">
        <v>793</v>
      </c>
      <c r="F179" s="21" t="s">
        <v>794</v>
      </c>
    </row>
    <row r="180" spans="1:8" s="752" customFormat="1" ht="38.25" customHeight="1">
      <c r="A180" s="1282"/>
      <c r="B180" s="1282"/>
      <c r="C180" s="1282"/>
      <c r="D180" s="1282"/>
      <c r="E180" s="46"/>
      <c r="F180" s="1304" t="s">
        <v>795</v>
      </c>
      <c r="G180" s="1304"/>
      <c r="H180" s="1304"/>
    </row>
    <row r="181" spans="1:8" ht="7.35" customHeight="1">
      <c r="A181" s="1282"/>
      <c r="B181" s="1282"/>
      <c r="C181" s="1282"/>
      <c r="D181" s="1282"/>
      <c r="E181" s="46"/>
    </row>
    <row r="182" spans="1:8" s="752" customFormat="1" ht="12.75" customHeight="1">
      <c r="A182" s="1282"/>
      <c r="B182" s="1282"/>
      <c r="C182" s="1282"/>
      <c r="D182" s="1282"/>
      <c r="E182" s="46"/>
      <c r="F182" s="1304" t="s">
        <v>796</v>
      </c>
      <c r="G182" s="1304"/>
      <c r="H182" s="1304"/>
    </row>
    <row r="183" spans="1:8" ht="7.35" customHeight="1">
      <c r="A183" s="1282"/>
      <c r="B183" s="1282"/>
      <c r="C183" s="1282"/>
      <c r="D183" s="1282"/>
      <c r="E183" s="46"/>
    </row>
    <row r="184" spans="1:8" s="752" customFormat="1" ht="38.25" customHeight="1">
      <c r="A184" s="1282"/>
      <c r="B184" s="1282"/>
      <c r="C184" s="1282"/>
      <c r="D184" s="1282"/>
      <c r="E184" s="46"/>
      <c r="F184" s="1247" t="s">
        <v>797</v>
      </c>
      <c r="G184" s="1304" t="s">
        <v>798</v>
      </c>
      <c r="H184" s="1304"/>
    </row>
    <row r="185" spans="1:8" ht="7.35" customHeight="1">
      <c r="A185" s="1282"/>
      <c r="B185" s="1282"/>
      <c r="C185" s="1282"/>
      <c r="D185" s="1282"/>
      <c r="E185" s="46"/>
    </row>
    <row r="186" spans="1:8" s="752" customFormat="1" ht="25.5" customHeight="1">
      <c r="A186" s="1282"/>
      <c r="B186" s="1282"/>
      <c r="C186" s="1282"/>
      <c r="D186" s="1282"/>
      <c r="E186" s="46"/>
      <c r="F186" s="1247" t="s">
        <v>799</v>
      </c>
      <c r="G186" s="1304" t="s">
        <v>800</v>
      </c>
      <c r="H186" s="1304"/>
    </row>
    <row r="187" spans="1:8" ht="7.35" customHeight="1">
      <c r="A187" s="1282"/>
      <c r="B187" s="1282"/>
      <c r="C187" s="1282"/>
      <c r="D187" s="1282"/>
      <c r="E187" s="46"/>
    </row>
    <row r="188" spans="1:8" s="752" customFormat="1" ht="63.75" customHeight="1">
      <c r="A188" s="1282"/>
      <c r="B188" s="1282"/>
      <c r="C188" s="1282"/>
      <c r="D188" s="1282"/>
      <c r="E188" s="46"/>
      <c r="F188" s="1304" t="s">
        <v>801</v>
      </c>
      <c r="G188" s="1304"/>
      <c r="H188" s="1304"/>
    </row>
    <row r="189" spans="1:8" ht="7.35" customHeight="1">
      <c r="A189" s="1282"/>
      <c r="B189" s="1282"/>
      <c r="C189" s="1282"/>
      <c r="D189" s="1282"/>
      <c r="E189" s="46"/>
    </row>
    <row r="190" spans="1:8" s="752" customFormat="1" ht="51.75" customHeight="1">
      <c r="A190" s="1282"/>
      <c r="B190" s="1282"/>
      <c r="C190" s="1282"/>
      <c r="D190" s="1282"/>
      <c r="E190" s="46"/>
      <c r="F190" s="1304" t="s">
        <v>802</v>
      </c>
      <c r="G190" s="1304"/>
      <c r="H190" s="1304"/>
    </row>
    <row r="191" spans="1:8" ht="7.35" customHeight="1">
      <c r="A191" s="1282"/>
      <c r="B191" s="1282"/>
      <c r="C191" s="1282"/>
      <c r="D191" s="1282"/>
      <c r="E191" s="46"/>
    </row>
    <row r="192" spans="1:8" ht="12.75" customHeight="1">
      <c r="A192" s="1282"/>
      <c r="B192" s="1282"/>
      <c r="C192" s="1282"/>
      <c r="D192" s="46" t="s">
        <v>746</v>
      </c>
      <c r="E192" s="21" t="s">
        <v>313</v>
      </c>
      <c r="F192" s="21"/>
      <c r="H192" s="21"/>
    </row>
    <row r="193" spans="1:10" ht="12.75" customHeight="1">
      <c r="A193" s="1282"/>
      <c r="B193" s="1282"/>
      <c r="C193" s="1282"/>
      <c r="D193" s="1282"/>
      <c r="E193" s="46" t="s">
        <v>572</v>
      </c>
      <c r="F193" s="21" t="s">
        <v>774</v>
      </c>
      <c r="H193" s="21"/>
    </row>
    <row r="194" spans="1:10" s="752" customFormat="1" ht="38.25" customHeight="1">
      <c r="A194" s="1282"/>
      <c r="B194" s="1282"/>
      <c r="C194" s="1282"/>
      <c r="D194" s="1282"/>
      <c r="E194" s="46"/>
      <c r="F194" s="1304" t="s">
        <v>803</v>
      </c>
      <c r="G194" s="1304"/>
      <c r="H194" s="1304"/>
    </row>
    <row r="195" spans="1:10" ht="7.35" customHeight="1">
      <c r="A195" s="1282"/>
      <c r="B195" s="1282"/>
      <c r="C195" s="1282"/>
      <c r="D195" s="1282"/>
      <c r="E195" s="46"/>
    </row>
    <row r="196" spans="1:10" ht="12.75" customHeight="1">
      <c r="A196" s="1282"/>
      <c r="B196" s="1282"/>
      <c r="C196" s="1282"/>
      <c r="D196" s="1282"/>
      <c r="E196" s="46" t="s">
        <v>578</v>
      </c>
      <c r="F196" s="21" t="s">
        <v>776</v>
      </c>
    </row>
    <row r="197" spans="1:10" s="752" customFormat="1" ht="38.25" customHeight="1">
      <c r="A197" s="1282"/>
      <c r="B197" s="1282"/>
      <c r="C197" s="1282"/>
      <c r="D197" s="1282"/>
      <c r="E197" s="1247"/>
      <c r="F197" s="1304" t="s">
        <v>804</v>
      </c>
      <c r="G197" s="1304"/>
      <c r="H197" s="1304"/>
    </row>
    <row r="198" spans="1:10" ht="7.35" customHeight="1">
      <c r="A198" s="1282"/>
      <c r="B198" s="1282"/>
      <c r="C198" s="1282"/>
      <c r="D198" s="1282"/>
    </row>
    <row r="199" spans="1:10" ht="12.75" customHeight="1">
      <c r="A199" s="1282"/>
      <c r="B199" s="1282"/>
      <c r="C199" s="1282"/>
      <c r="D199" s="46" t="s">
        <v>805</v>
      </c>
      <c r="E199" s="21" t="s">
        <v>806</v>
      </c>
    </row>
    <row r="200" spans="1:10" ht="82.5" customHeight="1">
      <c r="A200" s="1282"/>
      <c r="B200" s="1282"/>
      <c r="C200" s="1282"/>
      <c r="D200" s="1282"/>
      <c r="E200" s="1304" t="s">
        <v>807</v>
      </c>
      <c r="F200" s="1304"/>
      <c r="G200" s="1304"/>
      <c r="H200" s="1304"/>
    </row>
    <row r="201" spans="1:10" ht="7.35" customHeight="1">
      <c r="A201" s="1282"/>
      <c r="B201" s="1282"/>
      <c r="C201" s="1282"/>
      <c r="D201" s="1282"/>
    </row>
    <row r="202" spans="1:10" ht="12.75" customHeight="1">
      <c r="A202" s="1282"/>
      <c r="B202" s="1282"/>
      <c r="C202" s="1282"/>
      <c r="D202" s="46" t="s">
        <v>808</v>
      </c>
      <c r="E202" s="21" t="s">
        <v>809</v>
      </c>
      <c r="F202" s="21"/>
      <c r="H202" s="21"/>
      <c r="J202" s="15"/>
    </row>
    <row r="203" spans="1:10" s="752" customFormat="1" ht="63.75" customHeight="1">
      <c r="A203" s="1282"/>
      <c r="B203" s="1282"/>
      <c r="C203" s="1282"/>
      <c r="D203" s="1282"/>
      <c r="E203" s="1304" t="s">
        <v>810</v>
      </c>
      <c r="F203" s="1304"/>
      <c r="G203" s="1304"/>
      <c r="H203" s="1304"/>
    </row>
    <row r="204" spans="1:10" ht="7.35" customHeight="1">
      <c r="A204" s="1282"/>
      <c r="B204" s="1282"/>
      <c r="C204" s="1282"/>
      <c r="D204" s="1282"/>
    </row>
    <row r="205" spans="1:10" ht="12.75" customHeight="1">
      <c r="A205" s="1282"/>
      <c r="B205" s="1282"/>
      <c r="C205" s="1282"/>
      <c r="D205" s="46" t="s">
        <v>811</v>
      </c>
      <c r="E205" s="21" t="s">
        <v>812</v>
      </c>
      <c r="F205" s="21"/>
    </row>
    <row r="206" spans="1:10" s="752" customFormat="1" ht="51" customHeight="1">
      <c r="A206" s="1282"/>
      <c r="B206" s="1282"/>
      <c r="C206" s="1282"/>
      <c r="D206" s="1247"/>
      <c r="E206" s="1304" t="s">
        <v>813</v>
      </c>
      <c r="F206" s="1304"/>
      <c r="G206" s="1304"/>
      <c r="H206" s="1304"/>
    </row>
    <row r="207" spans="1:10" ht="7.35" customHeight="1">
      <c r="A207" s="1282"/>
      <c r="B207" s="1282"/>
      <c r="C207" s="1282"/>
    </row>
    <row r="208" spans="1:10" ht="12.75" customHeight="1">
      <c r="A208" s="1282"/>
      <c r="B208" s="1282"/>
      <c r="C208" s="46" t="s">
        <v>814</v>
      </c>
      <c r="D208" s="21" t="s">
        <v>815</v>
      </c>
    </row>
    <row r="209" spans="1:10" s="752" customFormat="1" ht="38.25" customHeight="1">
      <c r="A209" s="1282"/>
      <c r="B209" s="1282"/>
      <c r="C209" s="1282"/>
      <c r="D209" s="1304" t="s">
        <v>816</v>
      </c>
      <c r="E209" s="1304"/>
      <c r="F209" s="1304"/>
      <c r="G209" s="1304"/>
      <c r="H209" s="1304"/>
      <c r="J209" s="20"/>
    </row>
    <row r="210" spans="1:10" ht="7.35" customHeight="1">
      <c r="A210" s="1282"/>
      <c r="B210" s="1282"/>
      <c r="C210" s="1282"/>
    </row>
    <row r="211" spans="1:10" ht="12.75" customHeight="1">
      <c r="A211" s="1282"/>
      <c r="B211" s="1282"/>
      <c r="C211" s="46" t="s">
        <v>817</v>
      </c>
      <c r="D211" s="21" t="s">
        <v>818</v>
      </c>
      <c r="E211" s="21"/>
    </row>
    <row r="212" spans="1:10" s="752" customFormat="1" ht="66" customHeight="1">
      <c r="A212" s="1282"/>
      <c r="B212" s="1282"/>
      <c r="C212" s="1282"/>
      <c r="D212" s="1304" t="s">
        <v>819</v>
      </c>
      <c r="E212" s="1304"/>
      <c r="F212" s="1304"/>
      <c r="G212" s="1304"/>
      <c r="H212" s="1304"/>
    </row>
    <row r="213" spans="1:10" ht="7.35" customHeight="1">
      <c r="A213" s="1282"/>
    </row>
    <row r="214" spans="1:10" s="39" customFormat="1" ht="14.25" customHeight="1">
      <c r="A214" s="1282"/>
      <c r="B214" s="1064">
        <f>B15+0.1</f>
        <v>2.3000000000000003</v>
      </c>
      <c r="C214" s="21" t="s">
        <v>820</v>
      </c>
      <c r="D214" s="20"/>
      <c r="E214" s="20"/>
      <c r="F214" s="20"/>
      <c r="G214" s="20"/>
      <c r="H214" s="1258"/>
      <c r="I214" s="1247"/>
    </row>
    <row r="215" spans="1:10" s="749" customFormat="1" ht="41.1" customHeight="1">
      <c r="A215" s="1282"/>
      <c r="B215" s="21"/>
      <c r="C215" s="753"/>
      <c r="D215" s="1305" t="s">
        <v>821</v>
      </c>
      <c r="E215" s="1305"/>
      <c r="F215" s="1305"/>
      <c r="G215" s="1305"/>
      <c r="H215" s="1305"/>
      <c r="I215" s="1247"/>
      <c r="J215" s="1247"/>
    </row>
    <row r="216" spans="1:10" s="749" customFormat="1" ht="15" customHeight="1">
      <c r="A216" s="1282"/>
      <c r="B216" s="50"/>
      <c r="C216" s="754"/>
      <c r="D216" s="1278" t="s">
        <v>822</v>
      </c>
      <c r="E216" s="1311" t="s">
        <v>823</v>
      </c>
      <c r="F216" s="1311"/>
      <c r="G216" s="1311"/>
      <c r="H216" s="1311"/>
      <c r="I216" s="1247"/>
      <c r="J216" s="1247"/>
    </row>
    <row r="217" spans="1:10" s="749" customFormat="1" ht="15" customHeight="1">
      <c r="A217" s="1282"/>
      <c r="B217" s="50"/>
      <c r="C217" s="754"/>
      <c r="D217" s="1278" t="s">
        <v>824</v>
      </c>
      <c r="E217" s="1311" t="s">
        <v>825</v>
      </c>
      <c r="F217" s="1311"/>
      <c r="G217" s="1311"/>
      <c r="H217" s="1311"/>
      <c r="I217" s="1247"/>
      <c r="J217" s="1247"/>
    </row>
    <row r="218" spans="1:10" s="749" customFormat="1" ht="15" customHeight="1">
      <c r="A218" s="1282"/>
      <c r="B218" s="50"/>
      <c r="C218" s="754"/>
      <c r="D218" s="1278" t="s">
        <v>826</v>
      </c>
      <c r="E218" s="1311" t="s">
        <v>827</v>
      </c>
      <c r="F218" s="1311"/>
      <c r="G218" s="1311"/>
      <c r="H218" s="1311"/>
      <c r="I218" s="1247"/>
      <c r="J218" s="1247"/>
    </row>
    <row r="219" spans="1:10" s="749" customFormat="1" ht="15" customHeight="1">
      <c r="A219" s="1282"/>
      <c r="B219" s="50"/>
      <c r="C219" s="754"/>
      <c r="D219" s="1278" t="s">
        <v>828</v>
      </c>
      <c r="E219" s="1311" t="s">
        <v>829</v>
      </c>
      <c r="F219" s="1311"/>
      <c r="G219" s="1311"/>
      <c r="H219" s="1311"/>
      <c r="I219" s="1247"/>
      <c r="J219" s="1247"/>
    </row>
    <row r="220" spans="1:10" s="749" customFormat="1" ht="15" customHeight="1">
      <c r="A220" s="1282"/>
      <c r="B220" s="50"/>
      <c r="C220" s="753"/>
      <c r="D220" s="1278" t="s">
        <v>830</v>
      </c>
      <c r="E220" s="1311" t="s">
        <v>831</v>
      </c>
      <c r="F220" s="1311"/>
      <c r="G220" s="1311"/>
      <c r="H220" s="1311"/>
      <c r="I220" s="1247"/>
      <c r="J220" s="1247"/>
    </row>
    <row r="221" spans="1:10" s="749" customFormat="1" ht="15" customHeight="1">
      <c r="A221" s="1282"/>
      <c r="B221" s="50"/>
      <c r="C221" s="753"/>
      <c r="D221" s="1278" t="s">
        <v>832</v>
      </c>
      <c r="E221" s="1311" t="s">
        <v>833</v>
      </c>
      <c r="F221" s="1311"/>
      <c r="G221" s="1311"/>
      <c r="H221" s="1311"/>
      <c r="I221" s="1247"/>
      <c r="J221" s="1247"/>
    </row>
    <row r="222" spans="1:10" s="749" customFormat="1" ht="15" customHeight="1">
      <c r="A222" s="1282"/>
      <c r="B222" s="50"/>
      <c r="C222" s="753"/>
      <c r="D222" s="1278" t="s">
        <v>834</v>
      </c>
      <c r="E222" s="1311" t="s">
        <v>835</v>
      </c>
      <c r="F222" s="1311"/>
      <c r="G222" s="1311"/>
      <c r="H222" s="1311"/>
      <c r="I222" s="1247"/>
      <c r="J222" s="1247"/>
    </row>
    <row r="223" spans="1:10" s="749" customFormat="1" ht="15" customHeight="1">
      <c r="A223" s="1282"/>
      <c r="B223" s="50"/>
      <c r="C223" s="753"/>
      <c r="D223" s="1278" t="s">
        <v>836</v>
      </c>
      <c r="E223" s="1311" t="s">
        <v>837</v>
      </c>
      <c r="F223" s="1311"/>
      <c r="G223" s="1311"/>
      <c r="H223" s="1311"/>
      <c r="I223" s="1247"/>
      <c r="J223" s="1247"/>
    </row>
    <row r="224" spans="1:10" s="749" customFormat="1" ht="15" customHeight="1">
      <c r="A224" s="1282"/>
      <c r="B224" s="50"/>
      <c r="C224" s="753"/>
      <c r="D224" s="1278" t="s">
        <v>838</v>
      </c>
      <c r="E224" s="1311" t="s">
        <v>839</v>
      </c>
      <c r="F224" s="1311"/>
      <c r="G224" s="1311"/>
      <c r="H224" s="1311"/>
      <c r="I224" s="1247"/>
      <c r="J224" s="1247"/>
    </row>
    <row r="225" spans="1:16384" s="749" customFormat="1" ht="15" customHeight="1">
      <c r="A225" s="1247"/>
      <c r="B225" s="253"/>
      <c r="C225" s="253"/>
      <c r="D225" s="1278" t="s">
        <v>840</v>
      </c>
      <c r="E225" s="1311" t="s">
        <v>841</v>
      </c>
      <c r="F225" s="1311"/>
      <c r="G225" s="1311"/>
      <c r="H225" s="1311"/>
      <c r="I225" s="1311"/>
      <c r="J225" s="1311"/>
      <c r="K225" s="1311"/>
      <c r="L225" s="1311"/>
      <c r="M225" s="1311"/>
      <c r="N225" s="1311"/>
      <c r="O225" s="1311"/>
      <c r="P225" s="1311"/>
      <c r="Q225" s="1311"/>
      <c r="R225" s="1311"/>
      <c r="S225" s="1311"/>
      <c r="T225" s="1311"/>
      <c r="U225" s="1311"/>
      <c r="V225" s="1311"/>
      <c r="W225" s="1311"/>
      <c r="X225" s="1311"/>
      <c r="Y225" s="1311"/>
      <c r="Z225" s="1311"/>
      <c r="AA225" s="1311"/>
      <c r="AB225" s="1311"/>
      <c r="AC225" s="1311"/>
      <c r="AD225" s="1311"/>
      <c r="AE225" s="1311"/>
      <c r="AF225" s="1311"/>
      <c r="AG225" s="1311"/>
      <c r="AH225" s="1311"/>
      <c r="AI225" s="1311"/>
      <c r="AJ225" s="1311"/>
      <c r="AK225" s="1311"/>
      <c r="AL225" s="1311"/>
      <c r="AM225" s="1311"/>
      <c r="AN225" s="1311"/>
      <c r="AO225" s="1311"/>
      <c r="AP225" s="1311"/>
      <c r="AQ225" s="1311"/>
      <c r="AR225" s="1311"/>
      <c r="AS225" s="1311"/>
      <c r="AT225" s="1311"/>
      <c r="AU225" s="1311"/>
      <c r="AV225" s="1311"/>
      <c r="AW225" s="1311"/>
      <c r="AX225" s="1311"/>
      <c r="AY225" s="1311"/>
      <c r="AZ225" s="1311"/>
      <c r="BA225" s="1311"/>
      <c r="BB225" s="1311"/>
      <c r="BC225" s="1311"/>
      <c r="BD225" s="1311"/>
      <c r="BE225" s="1311"/>
      <c r="BF225" s="1311"/>
      <c r="BG225" s="1311"/>
      <c r="BH225" s="1311"/>
      <c r="BI225" s="1311"/>
      <c r="BJ225" s="1311"/>
      <c r="BK225" s="1311"/>
      <c r="BL225" s="1311"/>
      <c r="BM225" s="1311"/>
      <c r="BN225" s="1311"/>
      <c r="BO225" s="1311"/>
      <c r="BP225" s="1311"/>
      <c r="BQ225" s="1311"/>
      <c r="BR225" s="1311"/>
      <c r="BS225" s="1311"/>
      <c r="BT225" s="1311"/>
      <c r="BU225" s="1311"/>
      <c r="BV225" s="1311"/>
      <c r="BW225" s="1311"/>
      <c r="BX225" s="1311"/>
      <c r="BY225" s="1311"/>
      <c r="BZ225" s="1311"/>
      <c r="CA225" s="1311"/>
      <c r="CB225" s="1311"/>
      <c r="CC225" s="1311"/>
      <c r="CD225" s="1311"/>
      <c r="CE225" s="1311"/>
      <c r="CF225" s="1311"/>
      <c r="CG225" s="1311"/>
      <c r="CH225" s="1311"/>
      <c r="CI225" s="1311"/>
      <c r="CJ225" s="1311"/>
      <c r="CK225" s="1311"/>
      <c r="CL225" s="1311"/>
      <c r="CM225" s="1311"/>
      <c r="CN225" s="1311"/>
      <c r="CO225" s="1311"/>
      <c r="CP225" s="1311"/>
      <c r="CQ225" s="1311"/>
      <c r="CR225" s="1311"/>
      <c r="CS225" s="1311"/>
      <c r="CT225" s="1311"/>
      <c r="CU225" s="1311"/>
      <c r="CV225" s="1311"/>
      <c r="CW225" s="1311"/>
      <c r="CX225" s="1311"/>
      <c r="CY225" s="1311"/>
      <c r="CZ225" s="1311"/>
      <c r="DA225" s="1311"/>
      <c r="DB225" s="1311"/>
      <c r="DC225" s="1311"/>
      <c r="DD225" s="1311"/>
      <c r="DE225" s="1311"/>
      <c r="DF225" s="1311"/>
      <c r="DG225" s="1311"/>
      <c r="DH225" s="1311"/>
      <c r="DI225" s="1311"/>
      <c r="DJ225" s="1311"/>
      <c r="DK225" s="1311"/>
      <c r="DL225" s="1311"/>
      <c r="DM225" s="1311"/>
      <c r="DN225" s="1311"/>
      <c r="DO225" s="1311"/>
      <c r="DP225" s="1311"/>
      <c r="DQ225" s="1311"/>
      <c r="DR225" s="1311"/>
      <c r="DS225" s="1311"/>
      <c r="DT225" s="1311"/>
      <c r="DU225" s="1311"/>
      <c r="DV225" s="1311"/>
      <c r="DW225" s="1311"/>
      <c r="DX225" s="1311"/>
      <c r="DY225" s="1311"/>
      <c r="DZ225" s="1311"/>
      <c r="EA225" s="1311"/>
      <c r="EB225" s="1311"/>
      <c r="EC225" s="1311"/>
      <c r="ED225" s="1311"/>
      <c r="EE225" s="1311"/>
      <c r="EF225" s="1311"/>
      <c r="EG225" s="1311"/>
      <c r="EH225" s="1311"/>
      <c r="EI225" s="1311"/>
      <c r="EJ225" s="1311"/>
      <c r="EK225" s="1311"/>
      <c r="EL225" s="1311"/>
      <c r="EM225" s="1311"/>
      <c r="EN225" s="1311"/>
      <c r="EO225" s="1311"/>
      <c r="EP225" s="1311"/>
      <c r="EQ225" s="1311"/>
      <c r="ER225" s="1311"/>
      <c r="ES225" s="1311"/>
      <c r="ET225" s="1311"/>
      <c r="EU225" s="1311"/>
      <c r="EV225" s="1311"/>
      <c r="EW225" s="1311"/>
      <c r="EX225" s="1311"/>
      <c r="EY225" s="1311"/>
      <c r="EZ225" s="1311"/>
      <c r="FA225" s="1311"/>
      <c r="FB225" s="1311"/>
      <c r="FC225" s="1311"/>
      <c r="FD225" s="1311"/>
      <c r="FE225" s="1311"/>
      <c r="FF225" s="1311"/>
      <c r="FG225" s="1311"/>
      <c r="FH225" s="1311"/>
      <c r="FI225" s="1311"/>
      <c r="FJ225" s="1311"/>
      <c r="FK225" s="1311"/>
      <c r="FL225" s="1311"/>
      <c r="FM225" s="1311"/>
      <c r="FN225" s="1311"/>
      <c r="FO225" s="1311"/>
      <c r="FP225" s="1311"/>
      <c r="FQ225" s="1311"/>
      <c r="FR225" s="1311"/>
      <c r="FS225" s="1311"/>
      <c r="FT225" s="1311"/>
      <c r="FU225" s="1311"/>
      <c r="FV225" s="1311"/>
      <c r="FW225" s="1311"/>
      <c r="FX225" s="1311"/>
      <c r="FY225" s="1311"/>
      <c r="FZ225" s="1311"/>
      <c r="GA225" s="1311"/>
      <c r="GB225" s="1311"/>
      <c r="GC225" s="1311"/>
      <c r="GD225" s="1311"/>
      <c r="GE225" s="1311"/>
      <c r="GF225" s="1311"/>
      <c r="GG225" s="1311"/>
      <c r="GH225" s="1311"/>
      <c r="GI225" s="1311"/>
      <c r="GJ225" s="1311"/>
      <c r="GK225" s="1311"/>
      <c r="GL225" s="1311"/>
      <c r="GM225" s="1311"/>
      <c r="GN225" s="1311"/>
      <c r="GO225" s="1311"/>
      <c r="GP225" s="1311"/>
      <c r="GQ225" s="1311"/>
      <c r="GR225" s="1311"/>
      <c r="GS225" s="1311"/>
      <c r="GT225" s="1311"/>
      <c r="GU225" s="1311"/>
      <c r="GV225" s="1311"/>
      <c r="GW225" s="1311"/>
      <c r="GX225" s="1311"/>
      <c r="GY225" s="1311"/>
      <c r="GZ225" s="1311"/>
      <c r="HA225" s="1311"/>
      <c r="HB225" s="1311"/>
      <c r="HC225" s="1311"/>
      <c r="HD225" s="1311"/>
      <c r="HE225" s="1311"/>
      <c r="HF225" s="1311"/>
      <c r="HG225" s="1311"/>
      <c r="HH225" s="1311"/>
      <c r="HI225" s="1311"/>
      <c r="HJ225" s="1311"/>
      <c r="HK225" s="1311"/>
      <c r="HL225" s="1311"/>
      <c r="HM225" s="1311"/>
      <c r="HN225" s="1311"/>
      <c r="HO225" s="1311"/>
      <c r="HP225" s="1311"/>
      <c r="HQ225" s="1311"/>
      <c r="HR225" s="1311"/>
      <c r="HS225" s="1311"/>
      <c r="HT225" s="1311"/>
      <c r="HU225" s="1311"/>
      <c r="HV225" s="1311"/>
      <c r="HW225" s="1311"/>
      <c r="HX225" s="1311"/>
      <c r="HY225" s="1311"/>
      <c r="HZ225" s="1311"/>
      <c r="IA225" s="1311"/>
      <c r="IB225" s="1311"/>
      <c r="IC225" s="1311"/>
      <c r="ID225" s="1311"/>
      <c r="IE225" s="1311"/>
      <c r="IF225" s="1311"/>
      <c r="IG225" s="1311"/>
      <c r="IH225" s="1311"/>
      <c r="II225" s="1311"/>
      <c r="IJ225" s="1311"/>
      <c r="IK225" s="1311"/>
      <c r="IL225" s="1311"/>
      <c r="IM225" s="1311"/>
      <c r="IN225" s="1311"/>
      <c r="IO225" s="1311"/>
      <c r="IP225" s="1311"/>
      <c r="IQ225" s="1311"/>
      <c r="IR225" s="1311"/>
      <c r="IS225" s="1311"/>
      <c r="IT225" s="1311"/>
      <c r="IU225" s="1311"/>
      <c r="IV225" s="1311"/>
      <c r="IW225" s="1311"/>
      <c r="IX225" s="1311"/>
      <c r="IY225" s="1311"/>
      <c r="IZ225" s="1311"/>
      <c r="JA225" s="1311"/>
      <c r="JB225" s="1311"/>
      <c r="JC225" s="1311"/>
      <c r="JD225" s="1311"/>
      <c r="JE225" s="1311"/>
      <c r="JF225" s="1311"/>
      <c r="JG225" s="1311"/>
      <c r="JH225" s="1311"/>
      <c r="JI225" s="1311"/>
      <c r="JJ225" s="1311"/>
      <c r="JK225" s="1311"/>
      <c r="JL225" s="1311"/>
      <c r="JM225" s="1311"/>
      <c r="JN225" s="1311"/>
      <c r="JO225" s="1311"/>
      <c r="JP225" s="1311"/>
      <c r="JQ225" s="1311"/>
      <c r="JR225" s="1311"/>
      <c r="JS225" s="1311"/>
      <c r="JT225" s="1311"/>
      <c r="JU225" s="1311"/>
      <c r="JV225" s="1311"/>
      <c r="JW225" s="1311"/>
      <c r="JX225" s="1311"/>
      <c r="JY225" s="1311"/>
      <c r="JZ225" s="1311"/>
      <c r="KA225" s="1311"/>
      <c r="KB225" s="1311"/>
      <c r="KC225" s="1311"/>
      <c r="KD225" s="1311"/>
      <c r="KE225" s="1311"/>
      <c r="KF225" s="1311"/>
      <c r="KG225" s="1311"/>
      <c r="KH225" s="1311"/>
      <c r="KI225" s="1311"/>
      <c r="KJ225" s="1311"/>
      <c r="KK225" s="1311"/>
      <c r="KL225" s="1311"/>
      <c r="KM225" s="1311"/>
      <c r="KN225" s="1311"/>
      <c r="KO225" s="1311"/>
      <c r="KP225" s="1311"/>
      <c r="KQ225" s="1311"/>
      <c r="KR225" s="1311"/>
      <c r="KS225" s="1311"/>
      <c r="KT225" s="1311"/>
      <c r="KU225" s="1311"/>
      <c r="KV225" s="1311"/>
      <c r="KW225" s="1311"/>
      <c r="KX225" s="1311"/>
      <c r="KY225" s="1311"/>
      <c r="KZ225" s="1311"/>
      <c r="LA225" s="1311"/>
      <c r="LB225" s="1311"/>
      <c r="LC225" s="1311"/>
      <c r="LD225" s="1311"/>
      <c r="LE225" s="1311"/>
      <c r="LF225" s="1311"/>
      <c r="LG225" s="1311"/>
      <c r="LH225" s="1311"/>
      <c r="LI225" s="1311"/>
      <c r="LJ225" s="1311"/>
      <c r="LK225" s="1311"/>
      <c r="LL225" s="1311"/>
      <c r="LM225" s="1311"/>
      <c r="LN225" s="1311"/>
      <c r="LO225" s="1311"/>
      <c r="LP225" s="1311"/>
      <c r="LQ225" s="1311"/>
      <c r="LR225" s="1311"/>
      <c r="LS225" s="1311"/>
      <c r="LT225" s="1311"/>
      <c r="LU225" s="1311"/>
      <c r="LV225" s="1311"/>
      <c r="LW225" s="1311"/>
      <c r="LX225" s="1311"/>
      <c r="LY225" s="1311"/>
      <c r="LZ225" s="1311"/>
      <c r="MA225" s="1311"/>
      <c r="MB225" s="1311"/>
      <c r="MC225" s="1311"/>
      <c r="MD225" s="1311"/>
      <c r="ME225" s="1311"/>
      <c r="MF225" s="1311"/>
      <c r="MG225" s="1311"/>
      <c r="MH225" s="1311"/>
      <c r="MI225" s="1311"/>
      <c r="MJ225" s="1311"/>
      <c r="MK225" s="1311"/>
      <c r="ML225" s="1311"/>
      <c r="MM225" s="1311"/>
      <c r="MN225" s="1311"/>
      <c r="MO225" s="1311"/>
      <c r="MP225" s="1311"/>
      <c r="MQ225" s="1311"/>
      <c r="MR225" s="1311"/>
      <c r="MS225" s="1311"/>
      <c r="MT225" s="1311"/>
      <c r="MU225" s="1311"/>
      <c r="MV225" s="1311"/>
      <c r="MW225" s="1311"/>
      <c r="MX225" s="1311"/>
      <c r="MY225" s="1311"/>
      <c r="MZ225" s="1311"/>
      <c r="NA225" s="1311"/>
      <c r="NB225" s="1311"/>
      <c r="NC225" s="1311"/>
      <c r="ND225" s="1311"/>
      <c r="NE225" s="1311"/>
      <c r="NF225" s="1311"/>
      <c r="NG225" s="1311"/>
      <c r="NH225" s="1311"/>
      <c r="NI225" s="1311"/>
      <c r="NJ225" s="1311"/>
      <c r="NK225" s="1311"/>
      <c r="NL225" s="1311"/>
      <c r="NM225" s="1311"/>
      <c r="NN225" s="1311"/>
      <c r="NO225" s="1311"/>
      <c r="NP225" s="1311"/>
      <c r="NQ225" s="1311"/>
      <c r="NR225" s="1311"/>
      <c r="NS225" s="1311"/>
      <c r="NT225" s="1311"/>
      <c r="NU225" s="1311"/>
      <c r="NV225" s="1311"/>
      <c r="NW225" s="1311"/>
      <c r="NX225" s="1311"/>
      <c r="NY225" s="1311"/>
      <c r="NZ225" s="1311"/>
      <c r="OA225" s="1311"/>
      <c r="OB225" s="1311"/>
      <c r="OC225" s="1311"/>
      <c r="OD225" s="1311"/>
      <c r="OE225" s="1311"/>
      <c r="OF225" s="1311"/>
      <c r="OG225" s="1311"/>
      <c r="OH225" s="1311"/>
      <c r="OI225" s="1311"/>
      <c r="OJ225" s="1311"/>
      <c r="OK225" s="1311"/>
      <c r="OL225" s="1311"/>
      <c r="OM225" s="1311"/>
      <c r="ON225" s="1311"/>
      <c r="OO225" s="1311"/>
      <c r="OP225" s="1311"/>
      <c r="OQ225" s="1311"/>
      <c r="OR225" s="1311"/>
      <c r="OS225" s="1311"/>
      <c r="OT225" s="1311"/>
      <c r="OU225" s="1311"/>
      <c r="OV225" s="1311"/>
      <c r="OW225" s="1311"/>
      <c r="OX225" s="1311"/>
      <c r="OY225" s="1311"/>
      <c r="OZ225" s="1311"/>
      <c r="PA225" s="1311"/>
      <c r="PB225" s="1311"/>
      <c r="PC225" s="1311"/>
      <c r="PD225" s="1311"/>
      <c r="PE225" s="1311"/>
      <c r="PF225" s="1311"/>
      <c r="PG225" s="1311"/>
      <c r="PH225" s="1311"/>
      <c r="PI225" s="1311"/>
      <c r="PJ225" s="1311"/>
      <c r="PK225" s="1311"/>
      <c r="PL225" s="1311"/>
      <c r="PM225" s="1311"/>
      <c r="PN225" s="1311"/>
      <c r="PO225" s="1311"/>
      <c r="PP225" s="1311"/>
      <c r="PQ225" s="1311"/>
      <c r="PR225" s="1311"/>
      <c r="PS225" s="1311"/>
      <c r="PT225" s="1311"/>
      <c r="PU225" s="1311"/>
      <c r="PV225" s="1311"/>
      <c r="PW225" s="1311"/>
      <c r="PX225" s="1311"/>
      <c r="PY225" s="1311"/>
      <c r="PZ225" s="1311"/>
      <c r="QA225" s="1311"/>
      <c r="QB225" s="1311"/>
      <c r="QC225" s="1311"/>
      <c r="QD225" s="1311"/>
      <c r="QE225" s="1311"/>
      <c r="QF225" s="1311"/>
      <c r="QG225" s="1311"/>
      <c r="QH225" s="1311"/>
      <c r="QI225" s="1311"/>
      <c r="QJ225" s="1311"/>
      <c r="QK225" s="1311"/>
      <c r="QL225" s="1311"/>
      <c r="QM225" s="1311"/>
      <c r="QN225" s="1311"/>
      <c r="QO225" s="1311"/>
      <c r="QP225" s="1311"/>
      <c r="QQ225" s="1311"/>
      <c r="QR225" s="1311"/>
      <c r="QS225" s="1311"/>
      <c r="QT225" s="1311"/>
      <c r="QU225" s="1311"/>
      <c r="QV225" s="1311"/>
      <c r="QW225" s="1311"/>
      <c r="QX225" s="1311"/>
      <c r="QY225" s="1311"/>
      <c r="QZ225" s="1311"/>
      <c r="RA225" s="1311"/>
      <c r="RB225" s="1311"/>
      <c r="RC225" s="1311"/>
      <c r="RD225" s="1311"/>
      <c r="RE225" s="1311"/>
      <c r="RF225" s="1311"/>
      <c r="RG225" s="1311"/>
      <c r="RH225" s="1311"/>
      <c r="RI225" s="1311"/>
      <c r="RJ225" s="1311"/>
      <c r="RK225" s="1311"/>
      <c r="RL225" s="1311"/>
      <c r="RM225" s="1311"/>
      <c r="RN225" s="1311"/>
      <c r="RO225" s="1311"/>
      <c r="RP225" s="1311"/>
      <c r="RQ225" s="1311"/>
      <c r="RR225" s="1311"/>
      <c r="RS225" s="1311"/>
      <c r="RT225" s="1311"/>
      <c r="RU225" s="1311"/>
      <c r="RV225" s="1311"/>
      <c r="RW225" s="1311"/>
      <c r="RX225" s="1311"/>
      <c r="RY225" s="1311"/>
      <c r="RZ225" s="1311"/>
      <c r="SA225" s="1311"/>
      <c r="SB225" s="1311"/>
      <c r="SC225" s="1311"/>
      <c r="SD225" s="1311"/>
      <c r="SE225" s="1311"/>
      <c r="SF225" s="1311"/>
      <c r="SG225" s="1311"/>
      <c r="SH225" s="1311"/>
      <c r="SI225" s="1311"/>
      <c r="SJ225" s="1311"/>
      <c r="SK225" s="1311"/>
      <c r="SL225" s="1311"/>
      <c r="SM225" s="1311"/>
      <c r="SN225" s="1311"/>
      <c r="SO225" s="1311"/>
      <c r="SP225" s="1311"/>
      <c r="SQ225" s="1311"/>
      <c r="SR225" s="1311"/>
      <c r="SS225" s="1311"/>
      <c r="ST225" s="1311"/>
      <c r="SU225" s="1311"/>
      <c r="SV225" s="1311"/>
      <c r="SW225" s="1311"/>
      <c r="SX225" s="1311"/>
      <c r="SY225" s="1311"/>
      <c r="SZ225" s="1311"/>
      <c r="TA225" s="1311"/>
      <c r="TB225" s="1311"/>
      <c r="TC225" s="1311"/>
      <c r="TD225" s="1311"/>
      <c r="TE225" s="1311"/>
      <c r="TF225" s="1311"/>
      <c r="TG225" s="1311"/>
      <c r="TH225" s="1311"/>
      <c r="TI225" s="1311"/>
      <c r="TJ225" s="1311"/>
      <c r="TK225" s="1311"/>
      <c r="TL225" s="1311"/>
      <c r="TM225" s="1311"/>
      <c r="TN225" s="1311"/>
      <c r="TO225" s="1311"/>
      <c r="TP225" s="1311"/>
      <c r="TQ225" s="1311"/>
      <c r="TR225" s="1311"/>
      <c r="TS225" s="1311"/>
      <c r="TT225" s="1311"/>
      <c r="TU225" s="1311"/>
      <c r="TV225" s="1311"/>
      <c r="TW225" s="1311"/>
      <c r="TX225" s="1311"/>
      <c r="TY225" s="1311"/>
      <c r="TZ225" s="1311"/>
      <c r="UA225" s="1311"/>
      <c r="UB225" s="1311"/>
      <c r="UC225" s="1311"/>
      <c r="UD225" s="1311"/>
      <c r="UE225" s="1311"/>
      <c r="UF225" s="1311"/>
      <c r="UG225" s="1311"/>
      <c r="UH225" s="1311"/>
      <c r="UI225" s="1311"/>
      <c r="UJ225" s="1311"/>
      <c r="UK225" s="1311"/>
      <c r="UL225" s="1311"/>
      <c r="UM225" s="1311"/>
      <c r="UN225" s="1311"/>
      <c r="UO225" s="1311"/>
      <c r="UP225" s="1311"/>
      <c r="UQ225" s="1311"/>
      <c r="UR225" s="1311"/>
      <c r="US225" s="1311"/>
      <c r="UT225" s="1311"/>
      <c r="UU225" s="1311"/>
      <c r="UV225" s="1311"/>
      <c r="UW225" s="1311"/>
      <c r="UX225" s="1311"/>
      <c r="UY225" s="1311"/>
      <c r="UZ225" s="1311"/>
      <c r="VA225" s="1311"/>
      <c r="VB225" s="1311"/>
      <c r="VC225" s="1311"/>
      <c r="VD225" s="1311"/>
      <c r="VE225" s="1311"/>
      <c r="VF225" s="1311"/>
      <c r="VG225" s="1311"/>
      <c r="VH225" s="1311"/>
      <c r="VI225" s="1311"/>
      <c r="VJ225" s="1311"/>
      <c r="VK225" s="1311"/>
      <c r="VL225" s="1311"/>
      <c r="VM225" s="1311"/>
      <c r="VN225" s="1311"/>
      <c r="VO225" s="1311"/>
      <c r="VP225" s="1311"/>
      <c r="VQ225" s="1311"/>
      <c r="VR225" s="1311"/>
      <c r="VS225" s="1311"/>
      <c r="VT225" s="1311"/>
      <c r="VU225" s="1311"/>
      <c r="VV225" s="1311"/>
      <c r="VW225" s="1311"/>
      <c r="VX225" s="1311"/>
      <c r="VY225" s="1311"/>
      <c r="VZ225" s="1311"/>
      <c r="WA225" s="1311"/>
      <c r="WB225" s="1311"/>
      <c r="WC225" s="1311"/>
      <c r="WD225" s="1311"/>
      <c r="WE225" s="1311"/>
      <c r="WF225" s="1311"/>
      <c r="WG225" s="1311"/>
      <c r="WH225" s="1311"/>
      <c r="WI225" s="1311"/>
      <c r="WJ225" s="1311"/>
      <c r="WK225" s="1311"/>
      <c r="WL225" s="1311"/>
      <c r="WM225" s="1311"/>
      <c r="WN225" s="1311"/>
      <c r="WO225" s="1311"/>
      <c r="WP225" s="1311"/>
      <c r="WQ225" s="1311"/>
      <c r="WR225" s="1311"/>
      <c r="WS225" s="1311"/>
      <c r="WT225" s="1311"/>
      <c r="WU225" s="1311"/>
      <c r="WV225" s="1311"/>
      <c r="WW225" s="1311"/>
      <c r="WX225" s="1311"/>
      <c r="WY225" s="1311"/>
      <c r="WZ225" s="1311"/>
      <c r="XA225" s="1311"/>
      <c r="XB225" s="1311"/>
      <c r="XC225" s="1311"/>
      <c r="XD225" s="1311"/>
      <c r="XE225" s="1311"/>
      <c r="XF225" s="1311"/>
      <c r="XG225" s="1311"/>
      <c r="XH225" s="1311"/>
      <c r="XI225" s="1311"/>
      <c r="XJ225" s="1311"/>
      <c r="XK225" s="1311"/>
      <c r="XL225" s="1311"/>
      <c r="XM225" s="1311"/>
      <c r="XN225" s="1311"/>
      <c r="XO225" s="1311"/>
      <c r="XP225" s="1311"/>
      <c r="XQ225" s="1311"/>
      <c r="XR225" s="1311"/>
      <c r="XS225" s="1311"/>
      <c r="XT225" s="1311"/>
      <c r="XU225" s="1311"/>
      <c r="XV225" s="1311"/>
      <c r="XW225" s="1311"/>
      <c r="XX225" s="1311"/>
      <c r="XY225" s="1311"/>
      <c r="XZ225" s="1311"/>
      <c r="YA225" s="1311"/>
      <c r="YB225" s="1311"/>
      <c r="YC225" s="1311"/>
      <c r="YD225" s="1311"/>
      <c r="YE225" s="1311"/>
      <c r="YF225" s="1311"/>
      <c r="YG225" s="1311"/>
      <c r="YH225" s="1311"/>
      <c r="YI225" s="1311"/>
      <c r="YJ225" s="1311"/>
      <c r="YK225" s="1311"/>
      <c r="YL225" s="1311"/>
      <c r="YM225" s="1311"/>
      <c r="YN225" s="1311"/>
      <c r="YO225" s="1311"/>
      <c r="YP225" s="1311"/>
      <c r="YQ225" s="1311"/>
      <c r="YR225" s="1311"/>
      <c r="YS225" s="1311"/>
      <c r="YT225" s="1311"/>
      <c r="YU225" s="1311"/>
      <c r="YV225" s="1311"/>
      <c r="YW225" s="1311"/>
      <c r="YX225" s="1311"/>
      <c r="YY225" s="1311"/>
      <c r="YZ225" s="1311"/>
      <c r="ZA225" s="1311"/>
      <c r="ZB225" s="1311"/>
      <c r="ZC225" s="1311"/>
      <c r="ZD225" s="1311"/>
      <c r="ZE225" s="1311"/>
      <c r="ZF225" s="1311"/>
      <c r="ZG225" s="1311"/>
      <c r="ZH225" s="1311"/>
      <c r="ZI225" s="1311"/>
      <c r="ZJ225" s="1311"/>
      <c r="ZK225" s="1311"/>
      <c r="ZL225" s="1311"/>
      <c r="ZM225" s="1311"/>
      <c r="ZN225" s="1311"/>
      <c r="ZO225" s="1311"/>
      <c r="ZP225" s="1311"/>
      <c r="ZQ225" s="1311"/>
      <c r="ZR225" s="1311"/>
      <c r="ZS225" s="1311"/>
      <c r="ZT225" s="1311"/>
      <c r="ZU225" s="1311"/>
      <c r="ZV225" s="1311"/>
      <c r="ZW225" s="1311"/>
      <c r="ZX225" s="1311"/>
      <c r="ZY225" s="1311"/>
      <c r="ZZ225" s="1311"/>
      <c r="AAA225" s="1311"/>
      <c r="AAB225" s="1311"/>
      <c r="AAC225" s="1311"/>
      <c r="AAD225" s="1311"/>
      <c r="AAE225" s="1311"/>
      <c r="AAF225" s="1311"/>
      <c r="AAG225" s="1311"/>
      <c r="AAH225" s="1311"/>
      <c r="AAI225" s="1311"/>
      <c r="AAJ225" s="1311"/>
      <c r="AAK225" s="1311"/>
      <c r="AAL225" s="1311"/>
      <c r="AAM225" s="1311"/>
      <c r="AAN225" s="1311"/>
      <c r="AAO225" s="1311"/>
      <c r="AAP225" s="1311"/>
      <c r="AAQ225" s="1311"/>
      <c r="AAR225" s="1311"/>
      <c r="AAS225" s="1311"/>
      <c r="AAT225" s="1311"/>
      <c r="AAU225" s="1311"/>
      <c r="AAV225" s="1311"/>
      <c r="AAW225" s="1311"/>
      <c r="AAX225" s="1311"/>
      <c r="AAY225" s="1311"/>
      <c r="AAZ225" s="1311"/>
      <c r="ABA225" s="1311"/>
      <c r="ABB225" s="1311"/>
      <c r="ABC225" s="1311"/>
      <c r="ABD225" s="1311"/>
      <c r="ABE225" s="1311"/>
      <c r="ABF225" s="1311"/>
      <c r="ABG225" s="1311"/>
      <c r="ABH225" s="1311"/>
      <c r="ABI225" s="1311"/>
      <c r="ABJ225" s="1311"/>
      <c r="ABK225" s="1311"/>
      <c r="ABL225" s="1311"/>
      <c r="ABM225" s="1311"/>
      <c r="ABN225" s="1311"/>
      <c r="ABO225" s="1311"/>
      <c r="ABP225" s="1311"/>
      <c r="ABQ225" s="1311"/>
      <c r="ABR225" s="1311"/>
      <c r="ABS225" s="1311"/>
      <c r="ABT225" s="1311"/>
      <c r="ABU225" s="1311"/>
      <c r="ABV225" s="1311"/>
      <c r="ABW225" s="1311"/>
      <c r="ABX225" s="1311"/>
      <c r="ABY225" s="1311"/>
      <c r="ABZ225" s="1311"/>
      <c r="ACA225" s="1311"/>
      <c r="ACB225" s="1311"/>
      <c r="ACC225" s="1311"/>
      <c r="ACD225" s="1311"/>
      <c r="ACE225" s="1311"/>
      <c r="ACF225" s="1311"/>
      <c r="ACG225" s="1311"/>
      <c r="ACH225" s="1311"/>
      <c r="ACI225" s="1311"/>
      <c r="ACJ225" s="1311"/>
      <c r="ACK225" s="1311"/>
      <c r="ACL225" s="1311"/>
      <c r="ACM225" s="1311"/>
      <c r="ACN225" s="1311"/>
      <c r="ACO225" s="1311"/>
      <c r="ACP225" s="1311"/>
      <c r="ACQ225" s="1311"/>
      <c r="ACR225" s="1311"/>
      <c r="ACS225" s="1311"/>
      <c r="ACT225" s="1311"/>
      <c r="ACU225" s="1311"/>
      <c r="ACV225" s="1311"/>
      <c r="ACW225" s="1311"/>
      <c r="ACX225" s="1311"/>
      <c r="ACY225" s="1311"/>
      <c r="ACZ225" s="1311"/>
      <c r="ADA225" s="1311"/>
      <c r="ADB225" s="1311"/>
      <c r="ADC225" s="1311"/>
      <c r="ADD225" s="1311"/>
      <c r="ADE225" s="1311"/>
      <c r="ADF225" s="1311"/>
      <c r="ADG225" s="1311"/>
      <c r="ADH225" s="1311"/>
      <c r="ADI225" s="1311"/>
      <c r="ADJ225" s="1311"/>
      <c r="ADK225" s="1311"/>
      <c r="ADL225" s="1311"/>
      <c r="ADM225" s="1311"/>
      <c r="ADN225" s="1311"/>
      <c r="ADO225" s="1311"/>
      <c r="ADP225" s="1311"/>
      <c r="ADQ225" s="1311"/>
      <c r="ADR225" s="1311"/>
      <c r="ADS225" s="1311"/>
      <c r="ADT225" s="1311"/>
      <c r="ADU225" s="1311"/>
      <c r="ADV225" s="1311"/>
      <c r="ADW225" s="1311"/>
      <c r="ADX225" s="1311"/>
      <c r="ADY225" s="1311"/>
      <c r="ADZ225" s="1311"/>
      <c r="AEA225" s="1311"/>
      <c r="AEB225" s="1311"/>
      <c r="AEC225" s="1311"/>
      <c r="AED225" s="1311"/>
      <c r="AEE225" s="1311"/>
      <c r="AEF225" s="1311"/>
      <c r="AEG225" s="1311"/>
      <c r="AEH225" s="1311"/>
      <c r="AEI225" s="1311"/>
      <c r="AEJ225" s="1311"/>
      <c r="AEK225" s="1311"/>
      <c r="AEL225" s="1311"/>
      <c r="AEM225" s="1311"/>
      <c r="AEN225" s="1311"/>
      <c r="AEO225" s="1311"/>
      <c r="AEP225" s="1311"/>
      <c r="AEQ225" s="1311"/>
      <c r="AER225" s="1311"/>
      <c r="AES225" s="1311"/>
      <c r="AET225" s="1311"/>
      <c r="AEU225" s="1311"/>
      <c r="AEV225" s="1311"/>
      <c r="AEW225" s="1311"/>
      <c r="AEX225" s="1311"/>
      <c r="AEY225" s="1311"/>
      <c r="AEZ225" s="1311"/>
      <c r="AFA225" s="1311"/>
      <c r="AFB225" s="1311"/>
      <c r="AFC225" s="1311"/>
      <c r="AFD225" s="1311"/>
      <c r="AFE225" s="1311"/>
      <c r="AFF225" s="1311"/>
      <c r="AFG225" s="1311"/>
      <c r="AFH225" s="1311"/>
      <c r="AFI225" s="1311"/>
      <c r="AFJ225" s="1311"/>
      <c r="AFK225" s="1311"/>
      <c r="AFL225" s="1311"/>
      <c r="AFM225" s="1311"/>
      <c r="AFN225" s="1311"/>
      <c r="AFO225" s="1311"/>
      <c r="AFP225" s="1311"/>
      <c r="AFQ225" s="1311"/>
      <c r="AFR225" s="1311"/>
      <c r="AFS225" s="1311"/>
      <c r="AFT225" s="1311"/>
      <c r="AFU225" s="1311"/>
      <c r="AFV225" s="1311"/>
      <c r="AFW225" s="1311"/>
      <c r="AFX225" s="1311"/>
      <c r="AFY225" s="1311"/>
      <c r="AFZ225" s="1311"/>
      <c r="AGA225" s="1311"/>
      <c r="AGB225" s="1311"/>
      <c r="AGC225" s="1311"/>
      <c r="AGD225" s="1311"/>
      <c r="AGE225" s="1311"/>
      <c r="AGF225" s="1311"/>
      <c r="AGG225" s="1311"/>
      <c r="AGH225" s="1311"/>
      <c r="AGI225" s="1311"/>
      <c r="AGJ225" s="1311"/>
      <c r="AGK225" s="1311"/>
      <c r="AGL225" s="1311"/>
      <c r="AGM225" s="1311"/>
      <c r="AGN225" s="1311"/>
      <c r="AGO225" s="1311"/>
      <c r="AGP225" s="1311"/>
      <c r="AGQ225" s="1311"/>
      <c r="AGR225" s="1311"/>
      <c r="AGS225" s="1311"/>
      <c r="AGT225" s="1311"/>
      <c r="AGU225" s="1311"/>
      <c r="AGV225" s="1311"/>
      <c r="AGW225" s="1311"/>
      <c r="AGX225" s="1311"/>
      <c r="AGY225" s="1311"/>
      <c r="AGZ225" s="1311"/>
      <c r="AHA225" s="1311"/>
      <c r="AHB225" s="1311"/>
      <c r="AHC225" s="1311"/>
      <c r="AHD225" s="1311"/>
      <c r="AHE225" s="1311"/>
      <c r="AHF225" s="1311"/>
      <c r="AHG225" s="1311"/>
      <c r="AHH225" s="1311"/>
      <c r="AHI225" s="1311"/>
      <c r="AHJ225" s="1311"/>
      <c r="AHK225" s="1311"/>
      <c r="AHL225" s="1311"/>
      <c r="AHM225" s="1311"/>
      <c r="AHN225" s="1311"/>
      <c r="AHO225" s="1311"/>
      <c r="AHP225" s="1311"/>
      <c r="AHQ225" s="1311"/>
      <c r="AHR225" s="1311"/>
      <c r="AHS225" s="1311"/>
      <c r="AHT225" s="1311"/>
      <c r="AHU225" s="1311"/>
      <c r="AHV225" s="1311"/>
      <c r="AHW225" s="1311"/>
      <c r="AHX225" s="1311"/>
      <c r="AHY225" s="1311"/>
      <c r="AHZ225" s="1311"/>
      <c r="AIA225" s="1311"/>
      <c r="AIB225" s="1311"/>
      <c r="AIC225" s="1311"/>
      <c r="AID225" s="1311"/>
      <c r="AIE225" s="1311"/>
      <c r="AIF225" s="1311"/>
      <c r="AIG225" s="1311"/>
      <c r="AIH225" s="1311"/>
      <c r="AII225" s="1311"/>
      <c r="AIJ225" s="1311"/>
      <c r="AIK225" s="1311"/>
      <c r="AIL225" s="1311"/>
      <c r="AIM225" s="1311"/>
      <c r="AIN225" s="1311"/>
      <c r="AIO225" s="1311"/>
      <c r="AIP225" s="1311"/>
      <c r="AIQ225" s="1311"/>
      <c r="AIR225" s="1311"/>
      <c r="AIS225" s="1311"/>
      <c r="AIT225" s="1311"/>
      <c r="AIU225" s="1311"/>
      <c r="AIV225" s="1311"/>
      <c r="AIW225" s="1311"/>
      <c r="AIX225" s="1311"/>
      <c r="AIY225" s="1311"/>
      <c r="AIZ225" s="1311"/>
      <c r="AJA225" s="1311"/>
      <c r="AJB225" s="1311"/>
      <c r="AJC225" s="1311"/>
      <c r="AJD225" s="1311"/>
      <c r="AJE225" s="1311"/>
      <c r="AJF225" s="1311"/>
      <c r="AJG225" s="1311"/>
      <c r="AJH225" s="1311"/>
      <c r="AJI225" s="1311"/>
      <c r="AJJ225" s="1311"/>
      <c r="AJK225" s="1311"/>
      <c r="AJL225" s="1311"/>
      <c r="AJM225" s="1311"/>
      <c r="AJN225" s="1311"/>
      <c r="AJO225" s="1311"/>
      <c r="AJP225" s="1311"/>
      <c r="AJQ225" s="1311"/>
      <c r="AJR225" s="1311"/>
      <c r="AJS225" s="1311"/>
      <c r="AJT225" s="1311"/>
      <c r="AJU225" s="1311"/>
      <c r="AJV225" s="1311"/>
      <c r="AJW225" s="1311"/>
      <c r="AJX225" s="1311"/>
      <c r="AJY225" s="1311"/>
      <c r="AJZ225" s="1311"/>
      <c r="AKA225" s="1311"/>
      <c r="AKB225" s="1311"/>
      <c r="AKC225" s="1311"/>
      <c r="AKD225" s="1311"/>
      <c r="AKE225" s="1311"/>
      <c r="AKF225" s="1311"/>
      <c r="AKG225" s="1311"/>
      <c r="AKH225" s="1311"/>
      <c r="AKI225" s="1311"/>
      <c r="AKJ225" s="1311"/>
      <c r="AKK225" s="1311"/>
      <c r="AKL225" s="1311"/>
      <c r="AKM225" s="1311"/>
      <c r="AKN225" s="1311"/>
      <c r="AKO225" s="1311"/>
      <c r="AKP225" s="1311"/>
      <c r="AKQ225" s="1311"/>
      <c r="AKR225" s="1311"/>
      <c r="AKS225" s="1311"/>
      <c r="AKT225" s="1311"/>
      <c r="AKU225" s="1311"/>
      <c r="AKV225" s="1311"/>
      <c r="AKW225" s="1311"/>
      <c r="AKX225" s="1311"/>
      <c r="AKY225" s="1311"/>
      <c r="AKZ225" s="1311"/>
      <c r="ALA225" s="1311"/>
      <c r="ALB225" s="1311"/>
      <c r="ALC225" s="1311"/>
      <c r="ALD225" s="1311"/>
      <c r="ALE225" s="1311"/>
      <c r="ALF225" s="1311"/>
      <c r="ALG225" s="1311"/>
      <c r="ALH225" s="1311"/>
      <c r="ALI225" s="1311"/>
      <c r="ALJ225" s="1311"/>
      <c r="ALK225" s="1311"/>
      <c r="ALL225" s="1311"/>
      <c r="ALM225" s="1311"/>
      <c r="ALN225" s="1311"/>
      <c r="ALO225" s="1311"/>
      <c r="ALP225" s="1311"/>
      <c r="ALQ225" s="1311"/>
      <c r="ALR225" s="1311"/>
      <c r="ALS225" s="1311"/>
      <c r="ALT225" s="1311"/>
      <c r="ALU225" s="1311"/>
      <c r="ALV225" s="1311"/>
      <c r="ALW225" s="1311"/>
      <c r="ALX225" s="1311"/>
      <c r="ALY225" s="1311"/>
      <c r="ALZ225" s="1311"/>
      <c r="AMA225" s="1311"/>
      <c r="AMB225" s="1311"/>
      <c r="AMC225" s="1311"/>
      <c r="AMD225" s="1311"/>
      <c r="AME225" s="1311"/>
      <c r="AMF225" s="1311"/>
      <c r="AMG225" s="1311"/>
      <c r="AMH225" s="1311"/>
      <c r="AMI225" s="1311"/>
      <c r="AMJ225" s="1311"/>
      <c r="AMK225" s="1311"/>
      <c r="AML225" s="1311"/>
      <c r="AMM225" s="1311"/>
      <c r="AMN225" s="1311"/>
      <c r="AMO225" s="1311"/>
      <c r="AMP225" s="1311"/>
      <c r="AMQ225" s="1311"/>
      <c r="AMR225" s="1311"/>
      <c r="AMS225" s="1311"/>
      <c r="AMT225" s="1311"/>
      <c r="AMU225" s="1311"/>
      <c r="AMV225" s="1311"/>
      <c r="AMW225" s="1311"/>
      <c r="AMX225" s="1311"/>
      <c r="AMY225" s="1311"/>
      <c r="AMZ225" s="1311"/>
      <c r="ANA225" s="1311"/>
      <c r="ANB225" s="1311"/>
      <c r="ANC225" s="1311"/>
      <c r="AND225" s="1311"/>
      <c r="ANE225" s="1311"/>
      <c r="ANF225" s="1311"/>
      <c r="ANG225" s="1311"/>
      <c r="ANH225" s="1311"/>
      <c r="ANI225" s="1311"/>
      <c r="ANJ225" s="1311"/>
      <c r="ANK225" s="1311"/>
      <c r="ANL225" s="1311"/>
      <c r="ANM225" s="1311"/>
      <c r="ANN225" s="1311"/>
      <c r="ANO225" s="1311"/>
      <c r="ANP225" s="1311"/>
      <c r="ANQ225" s="1311"/>
      <c r="ANR225" s="1311"/>
      <c r="ANS225" s="1311"/>
      <c r="ANT225" s="1311"/>
      <c r="ANU225" s="1311"/>
      <c r="ANV225" s="1311"/>
      <c r="ANW225" s="1311"/>
      <c r="ANX225" s="1311"/>
      <c r="ANY225" s="1311"/>
      <c r="ANZ225" s="1311"/>
      <c r="AOA225" s="1311"/>
      <c r="AOB225" s="1311"/>
      <c r="AOC225" s="1311"/>
      <c r="AOD225" s="1311"/>
      <c r="AOE225" s="1311"/>
      <c r="AOF225" s="1311"/>
      <c r="AOG225" s="1311"/>
      <c r="AOH225" s="1311"/>
      <c r="AOI225" s="1311"/>
      <c r="AOJ225" s="1311"/>
      <c r="AOK225" s="1311"/>
      <c r="AOL225" s="1311"/>
      <c r="AOM225" s="1311"/>
      <c r="AON225" s="1311"/>
      <c r="AOO225" s="1311"/>
      <c r="AOP225" s="1311"/>
      <c r="AOQ225" s="1311"/>
      <c r="AOR225" s="1311"/>
      <c r="AOS225" s="1311"/>
      <c r="AOT225" s="1311"/>
      <c r="AOU225" s="1311"/>
      <c r="AOV225" s="1311"/>
      <c r="AOW225" s="1311"/>
      <c r="AOX225" s="1311"/>
      <c r="AOY225" s="1311"/>
      <c r="AOZ225" s="1311"/>
      <c r="APA225" s="1311"/>
      <c r="APB225" s="1311"/>
      <c r="APC225" s="1311"/>
      <c r="APD225" s="1311"/>
      <c r="APE225" s="1311"/>
      <c r="APF225" s="1311"/>
      <c r="APG225" s="1311"/>
      <c r="APH225" s="1311"/>
      <c r="API225" s="1311"/>
      <c r="APJ225" s="1311"/>
      <c r="APK225" s="1311"/>
      <c r="APL225" s="1311"/>
      <c r="APM225" s="1311"/>
      <c r="APN225" s="1311"/>
      <c r="APO225" s="1311"/>
      <c r="APP225" s="1311"/>
      <c r="APQ225" s="1311"/>
      <c r="APR225" s="1311"/>
      <c r="APS225" s="1311"/>
      <c r="APT225" s="1311"/>
      <c r="APU225" s="1311"/>
      <c r="APV225" s="1311"/>
      <c r="APW225" s="1311"/>
      <c r="APX225" s="1311"/>
      <c r="APY225" s="1311"/>
      <c r="APZ225" s="1311"/>
      <c r="AQA225" s="1311"/>
      <c r="AQB225" s="1311"/>
      <c r="AQC225" s="1311"/>
      <c r="AQD225" s="1311"/>
      <c r="AQE225" s="1311"/>
      <c r="AQF225" s="1311"/>
      <c r="AQG225" s="1311"/>
      <c r="AQH225" s="1311"/>
      <c r="AQI225" s="1311"/>
      <c r="AQJ225" s="1311"/>
      <c r="AQK225" s="1311"/>
      <c r="AQL225" s="1311"/>
      <c r="AQM225" s="1311"/>
      <c r="AQN225" s="1311"/>
      <c r="AQO225" s="1311"/>
      <c r="AQP225" s="1311"/>
      <c r="AQQ225" s="1311"/>
      <c r="AQR225" s="1311"/>
      <c r="AQS225" s="1311"/>
      <c r="AQT225" s="1311"/>
      <c r="AQU225" s="1311"/>
      <c r="AQV225" s="1311"/>
      <c r="AQW225" s="1311"/>
      <c r="AQX225" s="1311"/>
      <c r="AQY225" s="1311"/>
      <c r="AQZ225" s="1311"/>
      <c r="ARA225" s="1311"/>
      <c r="ARB225" s="1311"/>
      <c r="ARC225" s="1311"/>
      <c r="ARD225" s="1311"/>
      <c r="ARE225" s="1311"/>
      <c r="ARF225" s="1311"/>
      <c r="ARG225" s="1311"/>
      <c r="ARH225" s="1311"/>
      <c r="ARI225" s="1311"/>
      <c r="ARJ225" s="1311"/>
      <c r="ARK225" s="1311"/>
      <c r="ARL225" s="1311"/>
      <c r="ARM225" s="1311"/>
      <c r="ARN225" s="1311"/>
      <c r="ARO225" s="1311"/>
      <c r="ARP225" s="1311"/>
      <c r="ARQ225" s="1311"/>
      <c r="ARR225" s="1311"/>
      <c r="ARS225" s="1311"/>
      <c r="ART225" s="1311"/>
      <c r="ARU225" s="1311"/>
      <c r="ARV225" s="1311"/>
      <c r="ARW225" s="1311"/>
      <c r="ARX225" s="1311"/>
      <c r="ARY225" s="1311"/>
      <c r="ARZ225" s="1311"/>
      <c r="ASA225" s="1311"/>
      <c r="ASB225" s="1311"/>
      <c r="ASC225" s="1311"/>
      <c r="ASD225" s="1311"/>
      <c r="ASE225" s="1311"/>
      <c r="ASF225" s="1311"/>
      <c r="ASG225" s="1311"/>
      <c r="ASH225" s="1311"/>
      <c r="ASI225" s="1311"/>
      <c r="ASJ225" s="1311"/>
      <c r="ASK225" s="1311"/>
      <c r="ASL225" s="1311"/>
      <c r="ASM225" s="1311"/>
      <c r="ASN225" s="1311"/>
      <c r="ASO225" s="1311"/>
      <c r="ASP225" s="1311"/>
      <c r="ASQ225" s="1311"/>
      <c r="ASR225" s="1311"/>
      <c r="ASS225" s="1311"/>
      <c r="AST225" s="1311"/>
      <c r="ASU225" s="1311"/>
      <c r="ASV225" s="1311"/>
      <c r="ASW225" s="1311"/>
      <c r="ASX225" s="1311"/>
      <c r="ASY225" s="1311"/>
      <c r="ASZ225" s="1311"/>
      <c r="ATA225" s="1311"/>
      <c r="ATB225" s="1311"/>
      <c r="ATC225" s="1311"/>
      <c r="ATD225" s="1311"/>
      <c r="ATE225" s="1311"/>
      <c r="ATF225" s="1311"/>
      <c r="ATG225" s="1311"/>
      <c r="ATH225" s="1311"/>
      <c r="ATI225" s="1311"/>
      <c r="ATJ225" s="1311"/>
      <c r="ATK225" s="1311"/>
      <c r="ATL225" s="1311"/>
      <c r="ATM225" s="1311"/>
      <c r="ATN225" s="1311"/>
      <c r="ATO225" s="1311"/>
      <c r="ATP225" s="1311"/>
      <c r="ATQ225" s="1311"/>
      <c r="ATR225" s="1311"/>
      <c r="ATS225" s="1311"/>
      <c r="ATT225" s="1311"/>
      <c r="ATU225" s="1311"/>
      <c r="ATV225" s="1311"/>
      <c r="ATW225" s="1311"/>
      <c r="ATX225" s="1311"/>
      <c r="ATY225" s="1311"/>
      <c r="ATZ225" s="1311"/>
      <c r="AUA225" s="1311"/>
      <c r="AUB225" s="1311"/>
      <c r="AUC225" s="1311"/>
      <c r="AUD225" s="1311"/>
      <c r="AUE225" s="1311"/>
      <c r="AUF225" s="1311"/>
      <c r="AUG225" s="1311"/>
      <c r="AUH225" s="1311"/>
      <c r="AUI225" s="1311"/>
      <c r="AUJ225" s="1311"/>
      <c r="AUK225" s="1311"/>
      <c r="AUL225" s="1311"/>
      <c r="AUM225" s="1311"/>
      <c r="AUN225" s="1311"/>
      <c r="AUO225" s="1311"/>
      <c r="AUP225" s="1311"/>
      <c r="AUQ225" s="1311"/>
      <c r="AUR225" s="1311"/>
      <c r="AUS225" s="1311"/>
      <c r="AUT225" s="1311"/>
      <c r="AUU225" s="1311"/>
      <c r="AUV225" s="1311"/>
      <c r="AUW225" s="1311"/>
      <c r="AUX225" s="1311"/>
      <c r="AUY225" s="1311"/>
      <c r="AUZ225" s="1311"/>
      <c r="AVA225" s="1311"/>
      <c r="AVB225" s="1311"/>
      <c r="AVC225" s="1311"/>
      <c r="AVD225" s="1311"/>
      <c r="AVE225" s="1311"/>
      <c r="AVF225" s="1311"/>
      <c r="AVG225" s="1311"/>
      <c r="AVH225" s="1311"/>
      <c r="AVI225" s="1311"/>
      <c r="AVJ225" s="1311"/>
      <c r="AVK225" s="1311"/>
      <c r="AVL225" s="1311"/>
      <c r="AVM225" s="1311"/>
      <c r="AVN225" s="1311"/>
      <c r="AVO225" s="1311"/>
      <c r="AVP225" s="1311"/>
      <c r="AVQ225" s="1311"/>
      <c r="AVR225" s="1311"/>
      <c r="AVS225" s="1311"/>
      <c r="AVT225" s="1311"/>
      <c r="AVU225" s="1311"/>
      <c r="AVV225" s="1311"/>
      <c r="AVW225" s="1311"/>
      <c r="AVX225" s="1311"/>
      <c r="AVY225" s="1311"/>
      <c r="AVZ225" s="1311"/>
      <c r="AWA225" s="1311"/>
      <c r="AWB225" s="1311"/>
      <c r="AWC225" s="1311"/>
      <c r="AWD225" s="1311"/>
      <c r="AWE225" s="1311"/>
      <c r="AWF225" s="1311"/>
      <c r="AWG225" s="1311"/>
      <c r="AWH225" s="1311"/>
      <c r="AWI225" s="1311"/>
      <c r="AWJ225" s="1311"/>
      <c r="AWK225" s="1311"/>
      <c r="AWL225" s="1311"/>
      <c r="AWM225" s="1311"/>
      <c r="AWN225" s="1311"/>
      <c r="AWO225" s="1311"/>
      <c r="AWP225" s="1311"/>
      <c r="AWQ225" s="1311"/>
      <c r="AWR225" s="1311"/>
      <c r="AWS225" s="1311"/>
      <c r="AWT225" s="1311"/>
      <c r="AWU225" s="1311"/>
      <c r="AWV225" s="1311"/>
      <c r="AWW225" s="1311"/>
      <c r="AWX225" s="1311"/>
      <c r="AWY225" s="1311"/>
      <c r="AWZ225" s="1311"/>
      <c r="AXA225" s="1311"/>
      <c r="AXB225" s="1311"/>
      <c r="AXC225" s="1311"/>
      <c r="AXD225" s="1311"/>
      <c r="AXE225" s="1311"/>
      <c r="AXF225" s="1311"/>
      <c r="AXG225" s="1311"/>
      <c r="AXH225" s="1311"/>
      <c r="AXI225" s="1311"/>
      <c r="AXJ225" s="1311"/>
      <c r="AXK225" s="1311"/>
      <c r="AXL225" s="1311"/>
      <c r="AXM225" s="1311"/>
      <c r="AXN225" s="1311"/>
      <c r="AXO225" s="1311"/>
      <c r="AXP225" s="1311"/>
      <c r="AXQ225" s="1311"/>
      <c r="AXR225" s="1311"/>
      <c r="AXS225" s="1311"/>
      <c r="AXT225" s="1311"/>
      <c r="AXU225" s="1311"/>
      <c r="AXV225" s="1311"/>
      <c r="AXW225" s="1311"/>
      <c r="AXX225" s="1311"/>
      <c r="AXY225" s="1311"/>
      <c r="AXZ225" s="1311"/>
      <c r="AYA225" s="1311"/>
      <c r="AYB225" s="1311"/>
      <c r="AYC225" s="1311"/>
      <c r="AYD225" s="1311"/>
      <c r="AYE225" s="1311"/>
      <c r="AYF225" s="1311"/>
      <c r="AYG225" s="1311"/>
      <c r="AYH225" s="1311"/>
      <c r="AYI225" s="1311"/>
      <c r="AYJ225" s="1311"/>
      <c r="AYK225" s="1311"/>
      <c r="AYL225" s="1311"/>
      <c r="AYM225" s="1311"/>
      <c r="AYN225" s="1311"/>
      <c r="AYO225" s="1311"/>
      <c r="AYP225" s="1311"/>
      <c r="AYQ225" s="1311"/>
      <c r="AYR225" s="1311"/>
      <c r="AYS225" s="1311"/>
      <c r="AYT225" s="1311"/>
      <c r="AYU225" s="1311"/>
      <c r="AYV225" s="1311"/>
      <c r="AYW225" s="1311"/>
      <c r="AYX225" s="1311"/>
      <c r="AYY225" s="1311"/>
      <c r="AYZ225" s="1311"/>
      <c r="AZA225" s="1311"/>
      <c r="AZB225" s="1311"/>
      <c r="AZC225" s="1311"/>
      <c r="AZD225" s="1311"/>
      <c r="AZE225" s="1311"/>
      <c r="AZF225" s="1311"/>
      <c r="AZG225" s="1311"/>
      <c r="AZH225" s="1311"/>
      <c r="AZI225" s="1311"/>
      <c r="AZJ225" s="1311"/>
      <c r="AZK225" s="1311"/>
      <c r="AZL225" s="1311"/>
      <c r="AZM225" s="1311"/>
      <c r="AZN225" s="1311"/>
      <c r="AZO225" s="1311"/>
      <c r="AZP225" s="1311"/>
      <c r="AZQ225" s="1311"/>
      <c r="AZR225" s="1311"/>
      <c r="AZS225" s="1311"/>
      <c r="AZT225" s="1311"/>
      <c r="AZU225" s="1311"/>
      <c r="AZV225" s="1311"/>
      <c r="AZW225" s="1311"/>
      <c r="AZX225" s="1311"/>
      <c r="AZY225" s="1311"/>
      <c r="AZZ225" s="1311"/>
      <c r="BAA225" s="1311"/>
      <c r="BAB225" s="1311"/>
      <c r="BAC225" s="1311"/>
      <c r="BAD225" s="1311"/>
      <c r="BAE225" s="1311"/>
      <c r="BAF225" s="1311"/>
      <c r="BAG225" s="1311"/>
      <c r="BAH225" s="1311"/>
      <c r="BAI225" s="1311"/>
      <c r="BAJ225" s="1311"/>
      <c r="BAK225" s="1311"/>
      <c r="BAL225" s="1311"/>
      <c r="BAM225" s="1311"/>
      <c r="BAN225" s="1311"/>
      <c r="BAO225" s="1311"/>
      <c r="BAP225" s="1311"/>
      <c r="BAQ225" s="1311"/>
      <c r="BAR225" s="1311"/>
      <c r="BAS225" s="1311"/>
      <c r="BAT225" s="1311"/>
      <c r="BAU225" s="1311"/>
      <c r="BAV225" s="1311"/>
      <c r="BAW225" s="1311"/>
      <c r="BAX225" s="1311"/>
      <c r="BAY225" s="1311"/>
      <c r="BAZ225" s="1311"/>
      <c r="BBA225" s="1311"/>
      <c r="BBB225" s="1311"/>
      <c r="BBC225" s="1311"/>
      <c r="BBD225" s="1311"/>
      <c r="BBE225" s="1311"/>
      <c r="BBF225" s="1311"/>
      <c r="BBG225" s="1311"/>
      <c r="BBH225" s="1311"/>
      <c r="BBI225" s="1311"/>
      <c r="BBJ225" s="1311"/>
      <c r="BBK225" s="1311"/>
      <c r="BBL225" s="1311"/>
      <c r="BBM225" s="1311"/>
      <c r="BBN225" s="1311"/>
      <c r="BBO225" s="1311"/>
      <c r="BBP225" s="1311"/>
      <c r="BBQ225" s="1311"/>
      <c r="BBR225" s="1311"/>
      <c r="BBS225" s="1311"/>
      <c r="BBT225" s="1311"/>
      <c r="BBU225" s="1311"/>
      <c r="BBV225" s="1311"/>
      <c r="BBW225" s="1311"/>
      <c r="BBX225" s="1311"/>
      <c r="BBY225" s="1311"/>
      <c r="BBZ225" s="1311"/>
      <c r="BCA225" s="1311"/>
      <c r="BCB225" s="1311"/>
      <c r="BCC225" s="1311"/>
      <c r="BCD225" s="1311"/>
      <c r="BCE225" s="1311"/>
      <c r="BCF225" s="1311"/>
      <c r="BCG225" s="1311"/>
      <c r="BCH225" s="1311"/>
      <c r="BCI225" s="1311"/>
      <c r="BCJ225" s="1311"/>
      <c r="BCK225" s="1311"/>
      <c r="BCL225" s="1311"/>
      <c r="BCM225" s="1311"/>
      <c r="BCN225" s="1311"/>
      <c r="BCO225" s="1311"/>
      <c r="BCP225" s="1311"/>
      <c r="BCQ225" s="1311"/>
      <c r="BCR225" s="1311"/>
      <c r="BCS225" s="1311"/>
      <c r="BCT225" s="1311"/>
      <c r="BCU225" s="1311"/>
      <c r="BCV225" s="1311"/>
      <c r="BCW225" s="1311"/>
      <c r="BCX225" s="1311"/>
      <c r="BCY225" s="1311"/>
      <c r="BCZ225" s="1311"/>
      <c r="BDA225" s="1311"/>
      <c r="BDB225" s="1311"/>
      <c r="BDC225" s="1311"/>
      <c r="BDD225" s="1311"/>
      <c r="BDE225" s="1311"/>
      <c r="BDF225" s="1311"/>
      <c r="BDG225" s="1311"/>
      <c r="BDH225" s="1311"/>
      <c r="BDI225" s="1311"/>
      <c r="BDJ225" s="1311"/>
      <c r="BDK225" s="1311"/>
      <c r="BDL225" s="1311"/>
      <c r="BDM225" s="1311"/>
      <c r="BDN225" s="1311"/>
      <c r="BDO225" s="1311"/>
      <c r="BDP225" s="1311"/>
      <c r="BDQ225" s="1311"/>
      <c r="BDR225" s="1311"/>
      <c r="BDS225" s="1311"/>
      <c r="BDT225" s="1311"/>
      <c r="BDU225" s="1311"/>
      <c r="BDV225" s="1311"/>
      <c r="BDW225" s="1311"/>
      <c r="BDX225" s="1311"/>
      <c r="BDY225" s="1311"/>
      <c r="BDZ225" s="1311"/>
      <c r="BEA225" s="1311"/>
      <c r="BEB225" s="1311"/>
      <c r="BEC225" s="1311"/>
      <c r="BED225" s="1311"/>
      <c r="BEE225" s="1311"/>
      <c r="BEF225" s="1311"/>
      <c r="BEG225" s="1311"/>
      <c r="BEH225" s="1311"/>
      <c r="BEI225" s="1311"/>
      <c r="BEJ225" s="1311"/>
      <c r="BEK225" s="1311"/>
      <c r="BEL225" s="1311"/>
      <c r="BEM225" s="1311"/>
      <c r="BEN225" s="1311"/>
      <c r="BEO225" s="1311"/>
      <c r="BEP225" s="1311"/>
      <c r="BEQ225" s="1311"/>
      <c r="BER225" s="1311"/>
      <c r="BES225" s="1311"/>
      <c r="BET225" s="1311"/>
      <c r="BEU225" s="1311"/>
      <c r="BEV225" s="1311"/>
      <c r="BEW225" s="1311"/>
      <c r="BEX225" s="1311"/>
      <c r="BEY225" s="1311"/>
      <c r="BEZ225" s="1311"/>
      <c r="BFA225" s="1311"/>
      <c r="BFB225" s="1311"/>
      <c r="BFC225" s="1311"/>
      <c r="BFD225" s="1311"/>
      <c r="BFE225" s="1311"/>
      <c r="BFF225" s="1311"/>
      <c r="BFG225" s="1311"/>
      <c r="BFH225" s="1311"/>
      <c r="BFI225" s="1311"/>
      <c r="BFJ225" s="1311"/>
      <c r="BFK225" s="1311"/>
      <c r="BFL225" s="1311"/>
      <c r="BFM225" s="1311"/>
      <c r="BFN225" s="1311"/>
      <c r="BFO225" s="1311"/>
      <c r="BFP225" s="1311"/>
      <c r="BFQ225" s="1311"/>
      <c r="BFR225" s="1311"/>
      <c r="BFS225" s="1311"/>
      <c r="BFT225" s="1311"/>
      <c r="BFU225" s="1311"/>
      <c r="BFV225" s="1311"/>
      <c r="BFW225" s="1311"/>
      <c r="BFX225" s="1311"/>
      <c r="BFY225" s="1311"/>
      <c r="BFZ225" s="1311"/>
      <c r="BGA225" s="1311"/>
      <c r="BGB225" s="1311"/>
      <c r="BGC225" s="1311"/>
      <c r="BGD225" s="1311"/>
      <c r="BGE225" s="1311"/>
      <c r="BGF225" s="1311"/>
      <c r="BGG225" s="1311"/>
      <c r="BGH225" s="1311"/>
      <c r="BGI225" s="1311"/>
      <c r="BGJ225" s="1311"/>
      <c r="BGK225" s="1311"/>
      <c r="BGL225" s="1311"/>
      <c r="BGM225" s="1311"/>
      <c r="BGN225" s="1311"/>
      <c r="BGO225" s="1311"/>
      <c r="BGP225" s="1311"/>
      <c r="BGQ225" s="1311"/>
      <c r="BGR225" s="1311"/>
      <c r="BGS225" s="1311"/>
      <c r="BGT225" s="1311"/>
      <c r="BGU225" s="1311"/>
      <c r="BGV225" s="1311"/>
      <c r="BGW225" s="1311"/>
      <c r="BGX225" s="1311"/>
      <c r="BGY225" s="1311"/>
      <c r="BGZ225" s="1311"/>
      <c r="BHA225" s="1311"/>
      <c r="BHB225" s="1311"/>
      <c r="BHC225" s="1311"/>
      <c r="BHD225" s="1311"/>
      <c r="BHE225" s="1311"/>
      <c r="BHF225" s="1311"/>
      <c r="BHG225" s="1311"/>
      <c r="BHH225" s="1311"/>
      <c r="BHI225" s="1311"/>
      <c r="BHJ225" s="1311"/>
      <c r="BHK225" s="1311"/>
      <c r="BHL225" s="1311"/>
      <c r="BHM225" s="1311"/>
      <c r="BHN225" s="1311"/>
      <c r="BHO225" s="1311"/>
      <c r="BHP225" s="1311"/>
      <c r="BHQ225" s="1311"/>
      <c r="BHR225" s="1311"/>
      <c r="BHS225" s="1311"/>
      <c r="BHT225" s="1311"/>
      <c r="BHU225" s="1311"/>
      <c r="BHV225" s="1311"/>
      <c r="BHW225" s="1311"/>
      <c r="BHX225" s="1311"/>
      <c r="BHY225" s="1311"/>
      <c r="BHZ225" s="1311"/>
      <c r="BIA225" s="1311"/>
      <c r="BIB225" s="1311"/>
      <c r="BIC225" s="1311"/>
      <c r="BID225" s="1311"/>
      <c r="BIE225" s="1311"/>
      <c r="BIF225" s="1311"/>
      <c r="BIG225" s="1311"/>
      <c r="BIH225" s="1311"/>
      <c r="BII225" s="1311"/>
      <c r="BIJ225" s="1311"/>
      <c r="BIK225" s="1311"/>
      <c r="BIL225" s="1311"/>
      <c r="BIM225" s="1311"/>
      <c r="BIN225" s="1311"/>
      <c r="BIO225" s="1311"/>
      <c r="BIP225" s="1311"/>
      <c r="BIQ225" s="1311"/>
      <c r="BIR225" s="1311"/>
      <c r="BIS225" s="1311"/>
      <c r="BIT225" s="1311"/>
      <c r="BIU225" s="1311"/>
      <c r="BIV225" s="1311"/>
      <c r="BIW225" s="1311"/>
      <c r="BIX225" s="1311"/>
      <c r="BIY225" s="1311"/>
      <c r="BIZ225" s="1311"/>
      <c r="BJA225" s="1311"/>
      <c r="BJB225" s="1311"/>
      <c r="BJC225" s="1311"/>
      <c r="BJD225" s="1311"/>
      <c r="BJE225" s="1311"/>
      <c r="BJF225" s="1311"/>
      <c r="BJG225" s="1311"/>
      <c r="BJH225" s="1311"/>
      <c r="BJI225" s="1311"/>
      <c r="BJJ225" s="1311"/>
      <c r="BJK225" s="1311"/>
      <c r="BJL225" s="1311"/>
      <c r="BJM225" s="1311"/>
      <c r="BJN225" s="1311"/>
      <c r="BJO225" s="1311"/>
      <c r="BJP225" s="1311"/>
      <c r="BJQ225" s="1311"/>
      <c r="BJR225" s="1311"/>
      <c r="BJS225" s="1311"/>
      <c r="BJT225" s="1311"/>
      <c r="BJU225" s="1311"/>
      <c r="BJV225" s="1311"/>
      <c r="BJW225" s="1311"/>
      <c r="BJX225" s="1311"/>
      <c r="BJY225" s="1311"/>
      <c r="BJZ225" s="1311"/>
      <c r="BKA225" s="1311"/>
      <c r="BKB225" s="1311"/>
      <c r="BKC225" s="1311"/>
      <c r="BKD225" s="1311"/>
      <c r="BKE225" s="1311"/>
      <c r="BKF225" s="1311"/>
      <c r="BKG225" s="1311"/>
      <c r="BKH225" s="1311"/>
      <c r="BKI225" s="1311"/>
      <c r="BKJ225" s="1311"/>
      <c r="BKK225" s="1311"/>
      <c r="BKL225" s="1311"/>
      <c r="BKM225" s="1311"/>
      <c r="BKN225" s="1311"/>
      <c r="BKO225" s="1311"/>
      <c r="BKP225" s="1311"/>
      <c r="BKQ225" s="1311"/>
      <c r="BKR225" s="1311"/>
      <c r="BKS225" s="1311"/>
      <c r="BKT225" s="1311"/>
      <c r="BKU225" s="1311"/>
      <c r="BKV225" s="1311"/>
      <c r="BKW225" s="1311"/>
      <c r="BKX225" s="1311"/>
      <c r="BKY225" s="1311"/>
      <c r="BKZ225" s="1311"/>
      <c r="BLA225" s="1311"/>
      <c r="BLB225" s="1311"/>
      <c r="BLC225" s="1311"/>
      <c r="BLD225" s="1311"/>
      <c r="BLE225" s="1311"/>
      <c r="BLF225" s="1311"/>
      <c r="BLG225" s="1311"/>
      <c r="BLH225" s="1311"/>
      <c r="BLI225" s="1311"/>
      <c r="BLJ225" s="1311"/>
      <c r="BLK225" s="1311"/>
      <c r="BLL225" s="1311"/>
      <c r="BLM225" s="1311"/>
      <c r="BLN225" s="1311"/>
      <c r="BLO225" s="1311"/>
      <c r="BLP225" s="1311"/>
      <c r="BLQ225" s="1311"/>
      <c r="BLR225" s="1311"/>
      <c r="BLS225" s="1311"/>
      <c r="BLT225" s="1311"/>
      <c r="BLU225" s="1311"/>
      <c r="BLV225" s="1311"/>
      <c r="BLW225" s="1311"/>
      <c r="BLX225" s="1311"/>
      <c r="BLY225" s="1311"/>
      <c r="BLZ225" s="1311"/>
      <c r="BMA225" s="1311"/>
      <c r="BMB225" s="1311"/>
      <c r="BMC225" s="1311"/>
      <c r="BMD225" s="1311"/>
      <c r="BME225" s="1311"/>
      <c r="BMF225" s="1311"/>
      <c r="BMG225" s="1311"/>
      <c r="BMH225" s="1311"/>
      <c r="BMI225" s="1311"/>
      <c r="BMJ225" s="1311"/>
      <c r="BMK225" s="1311"/>
      <c r="BML225" s="1311"/>
      <c r="BMM225" s="1311"/>
      <c r="BMN225" s="1311"/>
      <c r="BMO225" s="1311"/>
      <c r="BMP225" s="1311"/>
      <c r="BMQ225" s="1311"/>
      <c r="BMR225" s="1311"/>
      <c r="BMS225" s="1311"/>
      <c r="BMT225" s="1311"/>
      <c r="BMU225" s="1311"/>
      <c r="BMV225" s="1311"/>
      <c r="BMW225" s="1311"/>
      <c r="BMX225" s="1311"/>
      <c r="BMY225" s="1311"/>
      <c r="BMZ225" s="1311"/>
      <c r="BNA225" s="1311"/>
      <c r="BNB225" s="1311"/>
      <c r="BNC225" s="1311"/>
      <c r="BND225" s="1311"/>
      <c r="BNE225" s="1311"/>
      <c r="BNF225" s="1311"/>
      <c r="BNG225" s="1311"/>
      <c r="BNH225" s="1311"/>
      <c r="BNI225" s="1311"/>
      <c r="BNJ225" s="1311"/>
      <c r="BNK225" s="1311"/>
      <c r="BNL225" s="1311"/>
      <c r="BNM225" s="1311"/>
      <c r="BNN225" s="1311"/>
      <c r="BNO225" s="1311"/>
      <c r="BNP225" s="1311"/>
      <c r="BNQ225" s="1311"/>
      <c r="BNR225" s="1311"/>
      <c r="BNS225" s="1311"/>
      <c r="BNT225" s="1311"/>
      <c r="BNU225" s="1311"/>
      <c r="BNV225" s="1311"/>
      <c r="BNW225" s="1311"/>
      <c r="BNX225" s="1311"/>
      <c r="BNY225" s="1311"/>
      <c r="BNZ225" s="1311"/>
      <c r="BOA225" s="1311"/>
      <c r="BOB225" s="1311"/>
      <c r="BOC225" s="1311"/>
      <c r="BOD225" s="1311"/>
      <c r="BOE225" s="1311"/>
      <c r="BOF225" s="1311"/>
      <c r="BOG225" s="1311"/>
      <c r="BOH225" s="1311"/>
      <c r="BOI225" s="1311"/>
      <c r="BOJ225" s="1311"/>
      <c r="BOK225" s="1311"/>
      <c r="BOL225" s="1311"/>
      <c r="BOM225" s="1311"/>
      <c r="BON225" s="1311"/>
      <c r="BOO225" s="1311"/>
      <c r="BOP225" s="1311"/>
      <c r="BOQ225" s="1311"/>
      <c r="BOR225" s="1311"/>
      <c r="BOS225" s="1311"/>
      <c r="BOT225" s="1311"/>
      <c r="BOU225" s="1311"/>
      <c r="BOV225" s="1311"/>
      <c r="BOW225" s="1311"/>
      <c r="BOX225" s="1311"/>
      <c r="BOY225" s="1311"/>
      <c r="BOZ225" s="1311"/>
      <c r="BPA225" s="1311"/>
      <c r="BPB225" s="1311"/>
      <c r="BPC225" s="1311"/>
      <c r="BPD225" s="1311"/>
      <c r="BPE225" s="1311"/>
      <c r="BPF225" s="1311"/>
      <c r="BPG225" s="1311"/>
      <c r="BPH225" s="1311"/>
      <c r="BPI225" s="1311"/>
      <c r="BPJ225" s="1311"/>
      <c r="BPK225" s="1311"/>
      <c r="BPL225" s="1311"/>
      <c r="BPM225" s="1311"/>
      <c r="BPN225" s="1311"/>
      <c r="BPO225" s="1311"/>
      <c r="BPP225" s="1311"/>
      <c r="BPQ225" s="1311"/>
      <c r="BPR225" s="1311"/>
      <c r="BPS225" s="1311"/>
      <c r="BPT225" s="1311"/>
      <c r="BPU225" s="1311"/>
      <c r="BPV225" s="1311"/>
      <c r="BPW225" s="1311"/>
      <c r="BPX225" s="1311"/>
      <c r="BPY225" s="1311"/>
      <c r="BPZ225" s="1311"/>
      <c r="BQA225" s="1311"/>
      <c r="BQB225" s="1311"/>
      <c r="BQC225" s="1311"/>
      <c r="BQD225" s="1311"/>
      <c r="BQE225" s="1311"/>
      <c r="BQF225" s="1311"/>
      <c r="BQG225" s="1311"/>
      <c r="BQH225" s="1311"/>
      <c r="BQI225" s="1311"/>
      <c r="BQJ225" s="1311"/>
      <c r="BQK225" s="1311"/>
      <c r="BQL225" s="1311"/>
      <c r="BQM225" s="1311"/>
      <c r="BQN225" s="1311"/>
      <c r="BQO225" s="1311"/>
      <c r="BQP225" s="1311"/>
      <c r="BQQ225" s="1311"/>
      <c r="BQR225" s="1311"/>
      <c r="BQS225" s="1311"/>
      <c r="BQT225" s="1311"/>
      <c r="BQU225" s="1311"/>
      <c r="BQV225" s="1311"/>
      <c r="BQW225" s="1311"/>
      <c r="BQX225" s="1311"/>
      <c r="BQY225" s="1311"/>
      <c r="BQZ225" s="1311"/>
      <c r="BRA225" s="1311"/>
      <c r="BRB225" s="1311"/>
      <c r="BRC225" s="1311"/>
      <c r="BRD225" s="1311"/>
      <c r="BRE225" s="1311"/>
      <c r="BRF225" s="1311"/>
      <c r="BRG225" s="1311"/>
      <c r="BRH225" s="1311"/>
      <c r="BRI225" s="1311"/>
      <c r="BRJ225" s="1311"/>
      <c r="BRK225" s="1311"/>
      <c r="BRL225" s="1311"/>
      <c r="BRM225" s="1311"/>
      <c r="BRN225" s="1311"/>
      <c r="BRO225" s="1311"/>
      <c r="BRP225" s="1311"/>
      <c r="BRQ225" s="1311"/>
      <c r="BRR225" s="1311"/>
      <c r="BRS225" s="1311"/>
      <c r="BRT225" s="1311"/>
      <c r="BRU225" s="1311"/>
      <c r="BRV225" s="1311"/>
      <c r="BRW225" s="1311"/>
      <c r="BRX225" s="1311"/>
      <c r="BRY225" s="1311"/>
      <c r="BRZ225" s="1311"/>
      <c r="BSA225" s="1311"/>
      <c r="BSB225" s="1311"/>
      <c r="BSC225" s="1311"/>
      <c r="BSD225" s="1311"/>
      <c r="BSE225" s="1311"/>
      <c r="BSF225" s="1311"/>
      <c r="BSG225" s="1311"/>
      <c r="BSH225" s="1311"/>
      <c r="BSI225" s="1311"/>
      <c r="BSJ225" s="1311"/>
      <c r="BSK225" s="1311"/>
      <c r="BSL225" s="1311"/>
      <c r="BSM225" s="1311"/>
      <c r="BSN225" s="1311"/>
      <c r="BSO225" s="1311"/>
      <c r="BSP225" s="1311"/>
      <c r="BSQ225" s="1311"/>
      <c r="BSR225" s="1311"/>
      <c r="BSS225" s="1311"/>
      <c r="BST225" s="1311"/>
      <c r="BSU225" s="1311"/>
      <c r="BSV225" s="1311"/>
      <c r="BSW225" s="1311"/>
      <c r="BSX225" s="1311"/>
      <c r="BSY225" s="1311"/>
      <c r="BSZ225" s="1311"/>
      <c r="BTA225" s="1311"/>
      <c r="BTB225" s="1311"/>
      <c r="BTC225" s="1311"/>
      <c r="BTD225" s="1311"/>
      <c r="BTE225" s="1311"/>
      <c r="BTF225" s="1311"/>
      <c r="BTG225" s="1311"/>
      <c r="BTH225" s="1311"/>
      <c r="BTI225" s="1311"/>
      <c r="BTJ225" s="1311"/>
      <c r="BTK225" s="1311"/>
      <c r="BTL225" s="1311"/>
      <c r="BTM225" s="1311"/>
      <c r="BTN225" s="1311"/>
      <c r="BTO225" s="1311"/>
      <c r="BTP225" s="1311"/>
      <c r="BTQ225" s="1311"/>
      <c r="BTR225" s="1311"/>
      <c r="BTS225" s="1311"/>
      <c r="BTT225" s="1311"/>
      <c r="BTU225" s="1311"/>
      <c r="BTV225" s="1311"/>
      <c r="BTW225" s="1311"/>
      <c r="BTX225" s="1311"/>
      <c r="BTY225" s="1311"/>
      <c r="BTZ225" s="1311"/>
      <c r="BUA225" s="1311"/>
      <c r="BUB225" s="1311"/>
      <c r="BUC225" s="1311"/>
      <c r="BUD225" s="1311"/>
      <c r="BUE225" s="1311"/>
      <c r="BUF225" s="1311"/>
      <c r="BUG225" s="1311"/>
      <c r="BUH225" s="1311"/>
      <c r="BUI225" s="1311"/>
      <c r="BUJ225" s="1311"/>
      <c r="BUK225" s="1311"/>
      <c r="BUL225" s="1311"/>
      <c r="BUM225" s="1311"/>
      <c r="BUN225" s="1311"/>
      <c r="BUO225" s="1311"/>
      <c r="BUP225" s="1311"/>
      <c r="BUQ225" s="1311"/>
      <c r="BUR225" s="1311"/>
      <c r="BUS225" s="1311"/>
      <c r="BUT225" s="1311"/>
      <c r="BUU225" s="1311"/>
      <c r="BUV225" s="1311"/>
      <c r="BUW225" s="1311"/>
      <c r="BUX225" s="1311"/>
      <c r="BUY225" s="1311"/>
      <c r="BUZ225" s="1311"/>
      <c r="BVA225" s="1311"/>
      <c r="BVB225" s="1311"/>
      <c r="BVC225" s="1311"/>
      <c r="BVD225" s="1311"/>
      <c r="BVE225" s="1311"/>
      <c r="BVF225" s="1311"/>
      <c r="BVG225" s="1311"/>
      <c r="BVH225" s="1311"/>
      <c r="BVI225" s="1311"/>
      <c r="BVJ225" s="1311"/>
      <c r="BVK225" s="1311"/>
      <c r="BVL225" s="1311"/>
      <c r="BVM225" s="1311"/>
      <c r="BVN225" s="1311"/>
      <c r="BVO225" s="1311"/>
      <c r="BVP225" s="1311"/>
      <c r="BVQ225" s="1311"/>
      <c r="BVR225" s="1311"/>
      <c r="BVS225" s="1311"/>
      <c r="BVT225" s="1311"/>
      <c r="BVU225" s="1311"/>
      <c r="BVV225" s="1311"/>
      <c r="BVW225" s="1311"/>
      <c r="BVX225" s="1311"/>
      <c r="BVY225" s="1311"/>
      <c r="BVZ225" s="1311"/>
      <c r="BWA225" s="1311"/>
      <c r="BWB225" s="1311"/>
      <c r="BWC225" s="1311"/>
      <c r="BWD225" s="1311"/>
      <c r="BWE225" s="1311"/>
      <c r="BWF225" s="1311"/>
      <c r="BWG225" s="1311"/>
      <c r="BWH225" s="1311"/>
      <c r="BWI225" s="1311"/>
      <c r="BWJ225" s="1311"/>
      <c r="BWK225" s="1311"/>
      <c r="BWL225" s="1311"/>
      <c r="BWM225" s="1311"/>
      <c r="BWN225" s="1311"/>
      <c r="BWO225" s="1311"/>
      <c r="BWP225" s="1311"/>
      <c r="BWQ225" s="1311"/>
      <c r="BWR225" s="1311"/>
      <c r="BWS225" s="1311"/>
      <c r="BWT225" s="1311"/>
      <c r="BWU225" s="1311"/>
      <c r="BWV225" s="1311"/>
      <c r="BWW225" s="1311"/>
      <c r="BWX225" s="1311"/>
      <c r="BWY225" s="1311"/>
      <c r="BWZ225" s="1311"/>
      <c r="BXA225" s="1311"/>
      <c r="BXB225" s="1311"/>
      <c r="BXC225" s="1311"/>
      <c r="BXD225" s="1311"/>
      <c r="BXE225" s="1311"/>
      <c r="BXF225" s="1311"/>
      <c r="BXG225" s="1311"/>
      <c r="BXH225" s="1311"/>
      <c r="BXI225" s="1311"/>
      <c r="BXJ225" s="1311"/>
      <c r="BXK225" s="1311"/>
      <c r="BXL225" s="1311"/>
      <c r="BXM225" s="1311"/>
      <c r="BXN225" s="1311"/>
      <c r="BXO225" s="1311"/>
      <c r="BXP225" s="1311"/>
      <c r="BXQ225" s="1311"/>
      <c r="BXR225" s="1311"/>
      <c r="BXS225" s="1311"/>
      <c r="BXT225" s="1311"/>
      <c r="BXU225" s="1311"/>
      <c r="BXV225" s="1311"/>
      <c r="BXW225" s="1311"/>
      <c r="BXX225" s="1311"/>
      <c r="BXY225" s="1311"/>
      <c r="BXZ225" s="1311"/>
      <c r="BYA225" s="1311"/>
      <c r="BYB225" s="1311"/>
      <c r="BYC225" s="1311"/>
      <c r="BYD225" s="1311"/>
      <c r="BYE225" s="1311"/>
      <c r="BYF225" s="1311"/>
      <c r="BYG225" s="1311"/>
      <c r="BYH225" s="1311"/>
      <c r="BYI225" s="1311"/>
      <c r="BYJ225" s="1311"/>
      <c r="BYK225" s="1311"/>
      <c r="BYL225" s="1311"/>
      <c r="BYM225" s="1311"/>
      <c r="BYN225" s="1311"/>
      <c r="BYO225" s="1311"/>
      <c r="BYP225" s="1311"/>
      <c r="BYQ225" s="1311"/>
      <c r="BYR225" s="1311"/>
      <c r="BYS225" s="1311"/>
      <c r="BYT225" s="1311"/>
      <c r="BYU225" s="1311"/>
      <c r="BYV225" s="1311"/>
      <c r="BYW225" s="1311"/>
      <c r="BYX225" s="1311"/>
      <c r="BYY225" s="1311"/>
      <c r="BYZ225" s="1311"/>
      <c r="BZA225" s="1311"/>
      <c r="BZB225" s="1311"/>
      <c r="BZC225" s="1311"/>
      <c r="BZD225" s="1311"/>
      <c r="BZE225" s="1311"/>
      <c r="BZF225" s="1311"/>
      <c r="BZG225" s="1311"/>
      <c r="BZH225" s="1311"/>
      <c r="BZI225" s="1311"/>
      <c r="BZJ225" s="1311"/>
      <c r="BZK225" s="1311"/>
      <c r="BZL225" s="1311"/>
      <c r="BZM225" s="1311"/>
      <c r="BZN225" s="1311"/>
      <c r="BZO225" s="1311"/>
      <c r="BZP225" s="1311"/>
      <c r="BZQ225" s="1311"/>
      <c r="BZR225" s="1311"/>
      <c r="BZS225" s="1311"/>
      <c r="BZT225" s="1311"/>
      <c r="BZU225" s="1311"/>
      <c r="BZV225" s="1311"/>
      <c r="BZW225" s="1311"/>
      <c r="BZX225" s="1311"/>
      <c r="BZY225" s="1311"/>
      <c r="BZZ225" s="1311"/>
      <c r="CAA225" s="1311"/>
      <c r="CAB225" s="1311"/>
      <c r="CAC225" s="1311"/>
      <c r="CAD225" s="1311"/>
      <c r="CAE225" s="1311"/>
      <c r="CAF225" s="1311"/>
      <c r="CAG225" s="1311"/>
      <c r="CAH225" s="1311"/>
      <c r="CAI225" s="1311"/>
      <c r="CAJ225" s="1311"/>
      <c r="CAK225" s="1311"/>
      <c r="CAL225" s="1311"/>
      <c r="CAM225" s="1311"/>
      <c r="CAN225" s="1311"/>
      <c r="CAO225" s="1311"/>
      <c r="CAP225" s="1311"/>
      <c r="CAQ225" s="1311"/>
      <c r="CAR225" s="1311"/>
      <c r="CAS225" s="1311"/>
      <c r="CAT225" s="1311"/>
      <c r="CAU225" s="1311"/>
      <c r="CAV225" s="1311"/>
      <c r="CAW225" s="1311"/>
      <c r="CAX225" s="1311"/>
      <c r="CAY225" s="1311"/>
      <c r="CAZ225" s="1311"/>
      <c r="CBA225" s="1311"/>
      <c r="CBB225" s="1311"/>
      <c r="CBC225" s="1311"/>
      <c r="CBD225" s="1311"/>
      <c r="CBE225" s="1311"/>
      <c r="CBF225" s="1311"/>
      <c r="CBG225" s="1311"/>
      <c r="CBH225" s="1311"/>
      <c r="CBI225" s="1311"/>
      <c r="CBJ225" s="1311"/>
      <c r="CBK225" s="1311"/>
      <c r="CBL225" s="1311"/>
      <c r="CBM225" s="1311"/>
      <c r="CBN225" s="1311"/>
      <c r="CBO225" s="1311"/>
      <c r="CBP225" s="1311"/>
      <c r="CBQ225" s="1311"/>
      <c r="CBR225" s="1311"/>
      <c r="CBS225" s="1311"/>
      <c r="CBT225" s="1311"/>
      <c r="CBU225" s="1311"/>
      <c r="CBV225" s="1311"/>
      <c r="CBW225" s="1311"/>
      <c r="CBX225" s="1311"/>
      <c r="CBY225" s="1311"/>
      <c r="CBZ225" s="1311"/>
      <c r="CCA225" s="1311"/>
      <c r="CCB225" s="1311"/>
      <c r="CCC225" s="1311"/>
      <c r="CCD225" s="1311"/>
      <c r="CCE225" s="1311"/>
      <c r="CCF225" s="1311"/>
      <c r="CCG225" s="1311"/>
      <c r="CCH225" s="1311"/>
      <c r="CCI225" s="1311"/>
      <c r="CCJ225" s="1311"/>
      <c r="CCK225" s="1311"/>
      <c r="CCL225" s="1311"/>
      <c r="CCM225" s="1311"/>
      <c r="CCN225" s="1311"/>
      <c r="CCO225" s="1311"/>
      <c r="CCP225" s="1311"/>
      <c r="CCQ225" s="1311"/>
      <c r="CCR225" s="1311"/>
      <c r="CCS225" s="1311"/>
      <c r="CCT225" s="1311"/>
      <c r="CCU225" s="1311"/>
      <c r="CCV225" s="1311"/>
      <c r="CCW225" s="1311"/>
      <c r="CCX225" s="1311"/>
      <c r="CCY225" s="1311"/>
      <c r="CCZ225" s="1311"/>
      <c r="CDA225" s="1311"/>
      <c r="CDB225" s="1311"/>
      <c r="CDC225" s="1311"/>
      <c r="CDD225" s="1311"/>
      <c r="CDE225" s="1311"/>
      <c r="CDF225" s="1311"/>
      <c r="CDG225" s="1311"/>
      <c r="CDH225" s="1311"/>
      <c r="CDI225" s="1311"/>
      <c r="CDJ225" s="1311"/>
      <c r="CDK225" s="1311"/>
      <c r="CDL225" s="1311"/>
      <c r="CDM225" s="1311"/>
      <c r="CDN225" s="1311"/>
      <c r="CDO225" s="1311"/>
      <c r="CDP225" s="1311"/>
      <c r="CDQ225" s="1311"/>
      <c r="CDR225" s="1311"/>
      <c r="CDS225" s="1311"/>
      <c r="CDT225" s="1311"/>
      <c r="CDU225" s="1311"/>
      <c r="CDV225" s="1311"/>
      <c r="CDW225" s="1311"/>
      <c r="CDX225" s="1311"/>
      <c r="CDY225" s="1311"/>
      <c r="CDZ225" s="1311"/>
      <c r="CEA225" s="1311"/>
      <c r="CEB225" s="1311"/>
      <c r="CEC225" s="1311"/>
      <c r="CED225" s="1311"/>
      <c r="CEE225" s="1311"/>
      <c r="CEF225" s="1311"/>
      <c r="CEG225" s="1311"/>
      <c r="CEH225" s="1311"/>
      <c r="CEI225" s="1311"/>
      <c r="CEJ225" s="1311"/>
      <c r="CEK225" s="1311"/>
      <c r="CEL225" s="1311"/>
      <c r="CEM225" s="1311"/>
      <c r="CEN225" s="1311"/>
      <c r="CEO225" s="1311"/>
      <c r="CEP225" s="1311"/>
      <c r="CEQ225" s="1311"/>
      <c r="CER225" s="1311"/>
      <c r="CES225" s="1311"/>
      <c r="CET225" s="1311"/>
      <c r="CEU225" s="1311"/>
      <c r="CEV225" s="1311"/>
      <c r="CEW225" s="1311"/>
      <c r="CEX225" s="1311"/>
      <c r="CEY225" s="1311"/>
      <c r="CEZ225" s="1311"/>
      <c r="CFA225" s="1311"/>
      <c r="CFB225" s="1311"/>
      <c r="CFC225" s="1311"/>
      <c r="CFD225" s="1311"/>
      <c r="CFE225" s="1311"/>
      <c r="CFF225" s="1311"/>
      <c r="CFG225" s="1311"/>
      <c r="CFH225" s="1311"/>
      <c r="CFI225" s="1311"/>
      <c r="CFJ225" s="1311"/>
      <c r="CFK225" s="1311"/>
      <c r="CFL225" s="1311"/>
      <c r="CFM225" s="1311"/>
      <c r="CFN225" s="1311"/>
      <c r="CFO225" s="1311"/>
      <c r="CFP225" s="1311"/>
      <c r="CFQ225" s="1311"/>
      <c r="CFR225" s="1311"/>
      <c r="CFS225" s="1311"/>
      <c r="CFT225" s="1311"/>
      <c r="CFU225" s="1311"/>
      <c r="CFV225" s="1311"/>
      <c r="CFW225" s="1311"/>
      <c r="CFX225" s="1311"/>
      <c r="CFY225" s="1311"/>
      <c r="CFZ225" s="1311"/>
      <c r="CGA225" s="1311"/>
      <c r="CGB225" s="1311"/>
      <c r="CGC225" s="1311"/>
      <c r="CGD225" s="1311"/>
      <c r="CGE225" s="1311"/>
      <c r="CGF225" s="1311"/>
      <c r="CGG225" s="1311"/>
      <c r="CGH225" s="1311"/>
      <c r="CGI225" s="1311"/>
      <c r="CGJ225" s="1311"/>
      <c r="CGK225" s="1311"/>
      <c r="CGL225" s="1311"/>
      <c r="CGM225" s="1311"/>
      <c r="CGN225" s="1311"/>
      <c r="CGO225" s="1311"/>
      <c r="CGP225" s="1311"/>
      <c r="CGQ225" s="1311"/>
      <c r="CGR225" s="1311"/>
      <c r="CGS225" s="1311"/>
      <c r="CGT225" s="1311"/>
      <c r="CGU225" s="1311"/>
      <c r="CGV225" s="1311"/>
      <c r="CGW225" s="1311"/>
      <c r="CGX225" s="1311"/>
      <c r="CGY225" s="1311"/>
      <c r="CGZ225" s="1311"/>
      <c r="CHA225" s="1311"/>
      <c r="CHB225" s="1311"/>
      <c r="CHC225" s="1311"/>
      <c r="CHD225" s="1311"/>
      <c r="CHE225" s="1311"/>
      <c r="CHF225" s="1311"/>
      <c r="CHG225" s="1311"/>
      <c r="CHH225" s="1311"/>
      <c r="CHI225" s="1311"/>
      <c r="CHJ225" s="1311"/>
      <c r="CHK225" s="1311"/>
      <c r="CHL225" s="1311"/>
      <c r="CHM225" s="1311"/>
      <c r="CHN225" s="1311"/>
      <c r="CHO225" s="1311"/>
      <c r="CHP225" s="1311"/>
      <c r="CHQ225" s="1311"/>
      <c r="CHR225" s="1311"/>
      <c r="CHS225" s="1311"/>
      <c r="CHT225" s="1311"/>
      <c r="CHU225" s="1311"/>
      <c r="CHV225" s="1311"/>
      <c r="CHW225" s="1311"/>
      <c r="CHX225" s="1311"/>
      <c r="CHY225" s="1311"/>
      <c r="CHZ225" s="1311"/>
      <c r="CIA225" s="1311"/>
      <c r="CIB225" s="1311"/>
      <c r="CIC225" s="1311"/>
      <c r="CID225" s="1311"/>
      <c r="CIE225" s="1311"/>
      <c r="CIF225" s="1311"/>
      <c r="CIG225" s="1311"/>
      <c r="CIH225" s="1311"/>
      <c r="CII225" s="1311"/>
      <c r="CIJ225" s="1311"/>
      <c r="CIK225" s="1311"/>
      <c r="CIL225" s="1311"/>
      <c r="CIM225" s="1311"/>
      <c r="CIN225" s="1311"/>
      <c r="CIO225" s="1311"/>
      <c r="CIP225" s="1311"/>
      <c r="CIQ225" s="1311"/>
      <c r="CIR225" s="1311"/>
      <c r="CIS225" s="1311"/>
      <c r="CIT225" s="1311"/>
      <c r="CIU225" s="1311"/>
      <c r="CIV225" s="1311"/>
      <c r="CIW225" s="1311"/>
      <c r="CIX225" s="1311"/>
      <c r="CIY225" s="1311"/>
      <c r="CIZ225" s="1311"/>
      <c r="CJA225" s="1311"/>
      <c r="CJB225" s="1311"/>
      <c r="CJC225" s="1311"/>
      <c r="CJD225" s="1311"/>
      <c r="CJE225" s="1311"/>
      <c r="CJF225" s="1311"/>
      <c r="CJG225" s="1311"/>
      <c r="CJH225" s="1311"/>
      <c r="CJI225" s="1311"/>
      <c r="CJJ225" s="1311"/>
      <c r="CJK225" s="1311"/>
      <c r="CJL225" s="1311"/>
      <c r="CJM225" s="1311"/>
      <c r="CJN225" s="1311"/>
      <c r="CJO225" s="1311"/>
      <c r="CJP225" s="1311"/>
      <c r="CJQ225" s="1311"/>
      <c r="CJR225" s="1311"/>
      <c r="CJS225" s="1311"/>
      <c r="CJT225" s="1311"/>
      <c r="CJU225" s="1311"/>
      <c r="CJV225" s="1311"/>
      <c r="CJW225" s="1311"/>
      <c r="CJX225" s="1311"/>
      <c r="CJY225" s="1311"/>
      <c r="CJZ225" s="1311"/>
      <c r="CKA225" s="1311"/>
      <c r="CKB225" s="1311"/>
      <c r="CKC225" s="1311"/>
      <c r="CKD225" s="1311"/>
      <c r="CKE225" s="1311"/>
      <c r="CKF225" s="1311"/>
      <c r="CKG225" s="1311"/>
      <c r="CKH225" s="1311"/>
      <c r="CKI225" s="1311"/>
      <c r="CKJ225" s="1311"/>
      <c r="CKK225" s="1311"/>
      <c r="CKL225" s="1311"/>
      <c r="CKM225" s="1311"/>
      <c r="CKN225" s="1311"/>
      <c r="CKO225" s="1311"/>
      <c r="CKP225" s="1311"/>
      <c r="CKQ225" s="1311"/>
      <c r="CKR225" s="1311"/>
      <c r="CKS225" s="1311"/>
      <c r="CKT225" s="1311"/>
      <c r="CKU225" s="1311"/>
      <c r="CKV225" s="1311"/>
      <c r="CKW225" s="1311"/>
      <c r="CKX225" s="1311"/>
      <c r="CKY225" s="1311"/>
      <c r="CKZ225" s="1311"/>
      <c r="CLA225" s="1311"/>
      <c r="CLB225" s="1311"/>
      <c r="CLC225" s="1311"/>
      <c r="CLD225" s="1311"/>
      <c r="CLE225" s="1311"/>
      <c r="CLF225" s="1311"/>
      <c r="CLG225" s="1311"/>
      <c r="CLH225" s="1311"/>
      <c r="CLI225" s="1311"/>
      <c r="CLJ225" s="1311"/>
      <c r="CLK225" s="1311"/>
      <c r="CLL225" s="1311"/>
      <c r="CLM225" s="1311"/>
      <c r="CLN225" s="1311"/>
      <c r="CLO225" s="1311"/>
      <c r="CLP225" s="1311"/>
      <c r="CLQ225" s="1311"/>
      <c r="CLR225" s="1311"/>
      <c r="CLS225" s="1311"/>
      <c r="CLT225" s="1311"/>
      <c r="CLU225" s="1311"/>
      <c r="CLV225" s="1311"/>
      <c r="CLW225" s="1311"/>
      <c r="CLX225" s="1311"/>
      <c r="CLY225" s="1311"/>
      <c r="CLZ225" s="1311"/>
      <c r="CMA225" s="1311"/>
      <c r="CMB225" s="1311"/>
      <c r="CMC225" s="1311"/>
      <c r="CMD225" s="1311"/>
      <c r="CME225" s="1311"/>
      <c r="CMF225" s="1311"/>
      <c r="CMG225" s="1311"/>
      <c r="CMH225" s="1311"/>
      <c r="CMI225" s="1311"/>
      <c r="CMJ225" s="1311"/>
      <c r="CMK225" s="1311"/>
      <c r="CML225" s="1311"/>
      <c r="CMM225" s="1311"/>
      <c r="CMN225" s="1311"/>
      <c r="CMO225" s="1311"/>
      <c r="CMP225" s="1311"/>
      <c r="CMQ225" s="1311"/>
      <c r="CMR225" s="1311"/>
      <c r="CMS225" s="1311"/>
      <c r="CMT225" s="1311"/>
      <c r="CMU225" s="1311"/>
      <c r="CMV225" s="1311"/>
      <c r="CMW225" s="1311"/>
      <c r="CMX225" s="1311"/>
      <c r="CMY225" s="1311"/>
      <c r="CMZ225" s="1311"/>
      <c r="CNA225" s="1311"/>
      <c r="CNB225" s="1311"/>
      <c r="CNC225" s="1311"/>
      <c r="CND225" s="1311"/>
      <c r="CNE225" s="1311"/>
      <c r="CNF225" s="1311"/>
      <c r="CNG225" s="1311"/>
      <c r="CNH225" s="1311"/>
      <c r="CNI225" s="1311"/>
      <c r="CNJ225" s="1311"/>
      <c r="CNK225" s="1311"/>
      <c r="CNL225" s="1311"/>
      <c r="CNM225" s="1311"/>
      <c r="CNN225" s="1311"/>
      <c r="CNO225" s="1311"/>
      <c r="CNP225" s="1311"/>
      <c r="CNQ225" s="1311"/>
      <c r="CNR225" s="1311"/>
      <c r="CNS225" s="1311"/>
      <c r="CNT225" s="1311"/>
      <c r="CNU225" s="1311"/>
      <c r="CNV225" s="1311"/>
      <c r="CNW225" s="1311"/>
      <c r="CNX225" s="1311"/>
      <c r="CNY225" s="1311"/>
      <c r="CNZ225" s="1311"/>
      <c r="COA225" s="1311"/>
      <c r="COB225" s="1311"/>
      <c r="COC225" s="1311"/>
      <c r="COD225" s="1311"/>
      <c r="COE225" s="1311"/>
      <c r="COF225" s="1311"/>
      <c r="COG225" s="1311"/>
      <c r="COH225" s="1311"/>
      <c r="COI225" s="1311"/>
      <c r="COJ225" s="1311"/>
      <c r="COK225" s="1311"/>
      <c r="COL225" s="1311"/>
      <c r="COM225" s="1311"/>
      <c r="CON225" s="1311"/>
      <c r="COO225" s="1311"/>
      <c r="COP225" s="1311"/>
      <c r="COQ225" s="1311"/>
      <c r="COR225" s="1311"/>
      <c r="COS225" s="1311"/>
      <c r="COT225" s="1311"/>
      <c r="COU225" s="1311"/>
      <c r="COV225" s="1311"/>
      <c r="COW225" s="1311"/>
      <c r="COX225" s="1311"/>
      <c r="COY225" s="1311"/>
      <c r="COZ225" s="1311"/>
      <c r="CPA225" s="1311"/>
      <c r="CPB225" s="1311"/>
      <c r="CPC225" s="1311"/>
      <c r="CPD225" s="1311"/>
      <c r="CPE225" s="1311"/>
      <c r="CPF225" s="1311"/>
      <c r="CPG225" s="1311"/>
      <c r="CPH225" s="1311"/>
      <c r="CPI225" s="1311"/>
      <c r="CPJ225" s="1311"/>
      <c r="CPK225" s="1311"/>
      <c r="CPL225" s="1311"/>
      <c r="CPM225" s="1311"/>
      <c r="CPN225" s="1311"/>
      <c r="CPO225" s="1311"/>
      <c r="CPP225" s="1311"/>
      <c r="CPQ225" s="1311"/>
      <c r="CPR225" s="1311"/>
      <c r="CPS225" s="1311"/>
      <c r="CPT225" s="1311"/>
      <c r="CPU225" s="1311"/>
      <c r="CPV225" s="1311"/>
      <c r="CPW225" s="1311"/>
      <c r="CPX225" s="1311"/>
      <c r="CPY225" s="1311"/>
      <c r="CPZ225" s="1311"/>
      <c r="CQA225" s="1311"/>
      <c r="CQB225" s="1311"/>
      <c r="CQC225" s="1311"/>
      <c r="CQD225" s="1311"/>
      <c r="CQE225" s="1311"/>
      <c r="CQF225" s="1311"/>
      <c r="CQG225" s="1311"/>
      <c r="CQH225" s="1311"/>
      <c r="CQI225" s="1311"/>
      <c r="CQJ225" s="1311"/>
      <c r="CQK225" s="1311"/>
      <c r="CQL225" s="1311"/>
      <c r="CQM225" s="1311"/>
      <c r="CQN225" s="1311"/>
      <c r="CQO225" s="1311"/>
      <c r="CQP225" s="1311"/>
      <c r="CQQ225" s="1311"/>
      <c r="CQR225" s="1311"/>
      <c r="CQS225" s="1311"/>
      <c r="CQT225" s="1311"/>
      <c r="CQU225" s="1311"/>
      <c r="CQV225" s="1311"/>
      <c r="CQW225" s="1311"/>
      <c r="CQX225" s="1311"/>
      <c r="CQY225" s="1311"/>
      <c r="CQZ225" s="1311"/>
      <c r="CRA225" s="1311"/>
      <c r="CRB225" s="1311"/>
      <c r="CRC225" s="1311"/>
      <c r="CRD225" s="1311"/>
      <c r="CRE225" s="1311"/>
      <c r="CRF225" s="1311"/>
      <c r="CRG225" s="1311"/>
      <c r="CRH225" s="1311"/>
      <c r="CRI225" s="1311"/>
      <c r="CRJ225" s="1311"/>
      <c r="CRK225" s="1311"/>
      <c r="CRL225" s="1311"/>
      <c r="CRM225" s="1311"/>
      <c r="CRN225" s="1311"/>
      <c r="CRO225" s="1311"/>
      <c r="CRP225" s="1311"/>
      <c r="CRQ225" s="1311"/>
      <c r="CRR225" s="1311"/>
      <c r="CRS225" s="1311"/>
      <c r="CRT225" s="1311"/>
      <c r="CRU225" s="1311"/>
      <c r="CRV225" s="1311"/>
      <c r="CRW225" s="1311"/>
      <c r="CRX225" s="1311"/>
      <c r="CRY225" s="1311"/>
      <c r="CRZ225" s="1311"/>
      <c r="CSA225" s="1311"/>
      <c r="CSB225" s="1311"/>
      <c r="CSC225" s="1311"/>
      <c r="CSD225" s="1311"/>
      <c r="CSE225" s="1311"/>
      <c r="CSF225" s="1311"/>
      <c r="CSG225" s="1311"/>
      <c r="CSH225" s="1311"/>
      <c r="CSI225" s="1311"/>
      <c r="CSJ225" s="1311"/>
      <c r="CSK225" s="1311"/>
      <c r="CSL225" s="1311"/>
      <c r="CSM225" s="1311"/>
      <c r="CSN225" s="1311"/>
      <c r="CSO225" s="1311"/>
      <c r="CSP225" s="1311"/>
      <c r="CSQ225" s="1311"/>
      <c r="CSR225" s="1311"/>
      <c r="CSS225" s="1311"/>
      <c r="CST225" s="1311"/>
      <c r="CSU225" s="1311"/>
      <c r="CSV225" s="1311"/>
      <c r="CSW225" s="1311"/>
      <c r="CSX225" s="1311"/>
      <c r="CSY225" s="1311"/>
      <c r="CSZ225" s="1311"/>
      <c r="CTA225" s="1311"/>
      <c r="CTB225" s="1311"/>
      <c r="CTC225" s="1311"/>
      <c r="CTD225" s="1311"/>
      <c r="CTE225" s="1311"/>
      <c r="CTF225" s="1311"/>
      <c r="CTG225" s="1311"/>
      <c r="CTH225" s="1311"/>
      <c r="CTI225" s="1311"/>
      <c r="CTJ225" s="1311"/>
      <c r="CTK225" s="1311"/>
      <c r="CTL225" s="1311"/>
      <c r="CTM225" s="1311"/>
      <c r="CTN225" s="1311"/>
      <c r="CTO225" s="1311"/>
      <c r="CTP225" s="1311"/>
      <c r="CTQ225" s="1311"/>
      <c r="CTR225" s="1311"/>
      <c r="CTS225" s="1311"/>
      <c r="CTT225" s="1311"/>
      <c r="CTU225" s="1311"/>
      <c r="CTV225" s="1311"/>
      <c r="CTW225" s="1311"/>
      <c r="CTX225" s="1311"/>
      <c r="CTY225" s="1311"/>
      <c r="CTZ225" s="1311"/>
      <c r="CUA225" s="1311"/>
      <c r="CUB225" s="1311"/>
      <c r="CUC225" s="1311"/>
      <c r="CUD225" s="1311"/>
      <c r="CUE225" s="1311"/>
      <c r="CUF225" s="1311"/>
      <c r="CUG225" s="1311"/>
      <c r="CUH225" s="1311"/>
      <c r="CUI225" s="1311"/>
      <c r="CUJ225" s="1311"/>
      <c r="CUK225" s="1311"/>
      <c r="CUL225" s="1311"/>
      <c r="CUM225" s="1311"/>
      <c r="CUN225" s="1311"/>
      <c r="CUO225" s="1311"/>
      <c r="CUP225" s="1311"/>
      <c r="CUQ225" s="1311"/>
      <c r="CUR225" s="1311"/>
      <c r="CUS225" s="1311"/>
      <c r="CUT225" s="1311"/>
      <c r="CUU225" s="1311"/>
      <c r="CUV225" s="1311"/>
      <c r="CUW225" s="1311"/>
      <c r="CUX225" s="1311"/>
      <c r="CUY225" s="1311"/>
      <c r="CUZ225" s="1311"/>
      <c r="CVA225" s="1311"/>
      <c r="CVB225" s="1311"/>
      <c r="CVC225" s="1311"/>
      <c r="CVD225" s="1311"/>
      <c r="CVE225" s="1311"/>
      <c r="CVF225" s="1311"/>
      <c r="CVG225" s="1311"/>
      <c r="CVH225" s="1311"/>
      <c r="CVI225" s="1311"/>
      <c r="CVJ225" s="1311"/>
      <c r="CVK225" s="1311"/>
      <c r="CVL225" s="1311"/>
      <c r="CVM225" s="1311"/>
      <c r="CVN225" s="1311"/>
      <c r="CVO225" s="1311"/>
      <c r="CVP225" s="1311"/>
      <c r="CVQ225" s="1311"/>
      <c r="CVR225" s="1311"/>
      <c r="CVS225" s="1311"/>
      <c r="CVT225" s="1311"/>
      <c r="CVU225" s="1311"/>
      <c r="CVV225" s="1311"/>
      <c r="CVW225" s="1311"/>
      <c r="CVX225" s="1311"/>
      <c r="CVY225" s="1311"/>
      <c r="CVZ225" s="1311"/>
      <c r="CWA225" s="1311"/>
      <c r="CWB225" s="1311"/>
      <c r="CWC225" s="1311"/>
      <c r="CWD225" s="1311"/>
      <c r="CWE225" s="1311"/>
      <c r="CWF225" s="1311"/>
      <c r="CWG225" s="1311"/>
      <c r="CWH225" s="1311"/>
      <c r="CWI225" s="1311"/>
      <c r="CWJ225" s="1311"/>
      <c r="CWK225" s="1311"/>
      <c r="CWL225" s="1311"/>
      <c r="CWM225" s="1311"/>
      <c r="CWN225" s="1311"/>
      <c r="CWO225" s="1311"/>
      <c r="CWP225" s="1311"/>
      <c r="CWQ225" s="1311"/>
      <c r="CWR225" s="1311"/>
      <c r="CWS225" s="1311"/>
      <c r="CWT225" s="1311"/>
      <c r="CWU225" s="1311"/>
      <c r="CWV225" s="1311"/>
      <c r="CWW225" s="1311"/>
      <c r="CWX225" s="1311"/>
      <c r="CWY225" s="1311"/>
      <c r="CWZ225" s="1311"/>
      <c r="CXA225" s="1311"/>
      <c r="CXB225" s="1311"/>
      <c r="CXC225" s="1311"/>
      <c r="CXD225" s="1311"/>
      <c r="CXE225" s="1311"/>
      <c r="CXF225" s="1311"/>
      <c r="CXG225" s="1311"/>
      <c r="CXH225" s="1311"/>
      <c r="CXI225" s="1311"/>
      <c r="CXJ225" s="1311"/>
      <c r="CXK225" s="1311"/>
      <c r="CXL225" s="1311"/>
      <c r="CXM225" s="1311"/>
      <c r="CXN225" s="1311"/>
      <c r="CXO225" s="1311"/>
      <c r="CXP225" s="1311"/>
      <c r="CXQ225" s="1311"/>
      <c r="CXR225" s="1311"/>
      <c r="CXS225" s="1311"/>
      <c r="CXT225" s="1311"/>
      <c r="CXU225" s="1311"/>
      <c r="CXV225" s="1311"/>
      <c r="CXW225" s="1311"/>
      <c r="CXX225" s="1311"/>
      <c r="CXY225" s="1311"/>
      <c r="CXZ225" s="1311"/>
      <c r="CYA225" s="1311"/>
      <c r="CYB225" s="1311"/>
      <c r="CYC225" s="1311"/>
      <c r="CYD225" s="1311"/>
      <c r="CYE225" s="1311"/>
      <c r="CYF225" s="1311"/>
      <c r="CYG225" s="1311"/>
      <c r="CYH225" s="1311"/>
      <c r="CYI225" s="1311"/>
      <c r="CYJ225" s="1311"/>
      <c r="CYK225" s="1311"/>
      <c r="CYL225" s="1311"/>
      <c r="CYM225" s="1311"/>
      <c r="CYN225" s="1311"/>
      <c r="CYO225" s="1311"/>
      <c r="CYP225" s="1311"/>
      <c r="CYQ225" s="1311"/>
      <c r="CYR225" s="1311"/>
      <c r="CYS225" s="1311"/>
      <c r="CYT225" s="1311"/>
      <c r="CYU225" s="1311"/>
      <c r="CYV225" s="1311"/>
      <c r="CYW225" s="1311"/>
      <c r="CYX225" s="1311"/>
      <c r="CYY225" s="1311"/>
      <c r="CYZ225" s="1311"/>
      <c r="CZA225" s="1311"/>
      <c r="CZB225" s="1311"/>
      <c r="CZC225" s="1311"/>
      <c r="CZD225" s="1311"/>
      <c r="CZE225" s="1311"/>
      <c r="CZF225" s="1311"/>
      <c r="CZG225" s="1311"/>
      <c r="CZH225" s="1311"/>
      <c r="CZI225" s="1311"/>
      <c r="CZJ225" s="1311"/>
      <c r="CZK225" s="1311"/>
      <c r="CZL225" s="1311"/>
      <c r="CZM225" s="1311"/>
      <c r="CZN225" s="1311"/>
      <c r="CZO225" s="1311"/>
      <c r="CZP225" s="1311"/>
      <c r="CZQ225" s="1311"/>
      <c r="CZR225" s="1311"/>
      <c r="CZS225" s="1311"/>
      <c r="CZT225" s="1311"/>
      <c r="CZU225" s="1311"/>
      <c r="CZV225" s="1311"/>
      <c r="CZW225" s="1311"/>
      <c r="CZX225" s="1311"/>
      <c r="CZY225" s="1311"/>
      <c r="CZZ225" s="1311"/>
      <c r="DAA225" s="1311"/>
      <c r="DAB225" s="1311"/>
      <c r="DAC225" s="1311"/>
      <c r="DAD225" s="1311"/>
      <c r="DAE225" s="1311"/>
      <c r="DAF225" s="1311"/>
      <c r="DAG225" s="1311"/>
      <c r="DAH225" s="1311"/>
      <c r="DAI225" s="1311"/>
      <c r="DAJ225" s="1311"/>
      <c r="DAK225" s="1311"/>
      <c r="DAL225" s="1311"/>
      <c r="DAM225" s="1311"/>
      <c r="DAN225" s="1311"/>
      <c r="DAO225" s="1311"/>
      <c r="DAP225" s="1311"/>
      <c r="DAQ225" s="1311"/>
      <c r="DAR225" s="1311"/>
      <c r="DAS225" s="1311"/>
      <c r="DAT225" s="1311"/>
      <c r="DAU225" s="1311"/>
      <c r="DAV225" s="1311"/>
      <c r="DAW225" s="1311"/>
      <c r="DAX225" s="1311"/>
      <c r="DAY225" s="1311"/>
      <c r="DAZ225" s="1311"/>
      <c r="DBA225" s="1311"/>
      <c r="DBB225" s="1311"/>
      <c r="DBC225" s="1311"/>
      <c r="DBD225" s="1311"/>
      <c r="DBE225" s="1311"/>
      <c r="DBF225" s="1311"/>
      <c r="DBG225" s="1311"/>
      <c r="DBH225" s="1311"/>
      <c r="DBI225" s="1311"/>
      <c r="DBJ225" s="1311"/>
      <c r="DBK225" s="1311"/>
      <c r="DBL225" s="1311"/>
      <c r="DBM225" s="1311"/>
      <c r="DBN225" s="1311"/>
      <c r="DBO225" s="1311"/>
      <c r="DBP225" s="1311"/>
      <c r="DBQ225" s="1311"/>
      <c r="DBR225" s="1311"/>
      <c r="DBS225" s="1311"/>
      <c r="DBT225" s="1311"/>
      <c r="DBU225" s="1311"/>
      <c r="DBV225" s="1311"/>
      <c r="DBW225" s="1311"/>
      <c r="DBX225" s="1311"/>
      <c r="DBY225" s="1311"/>
      <c r="DBZ225" s="1311"/>
      <c r="DCA225" s="1311"/>
      <c r="DCB225" s="1311"/>
      <c r="DCC225" s="1311"/>
      <c r="DCD225" s="1311"/>
      <c r="DCE225" s="1311"/>
      <c r="DCF225" s="1311"/>
      <c r="DCG225" s="1311"/>
      <c r="DCH225" s="1311"/>
      <c r="DCI225" s="1311"/>
      <c r="DCJ225" s="1311"/>
      <c r="DCK225" s="1311"/>
      <c r="DCL225" s="1311"/>
      <c r="DCM225" s="1311"/>
      <c r="DCN225" s="1311"/>
      <c r="DCO225" s="1311"/>
      <c r="DCP225" s="1311"/>
      <c r="DCQ225" s="1311"/>
      <c r="DCR225" s="1311"/>
      <c r="DCS225" s="1311"/>
      <c r="DCT225" s="1311"/>
      <c r="DCU225" s="1311"/>
      <c r="DCV225" s="1311"/>
      <c r="DCW225" s="1311"/>
      <c r="DCX225" s="1311"/>
      <c r="DCY225" s="1311"/>
      <c r="DCZ225" s="1311"/>
      <c r="DDA225" s="1311"/>
      <c r="DDB225" s="1311"/>
      <c r="DDC225" s="1311"/>
      <c r="DDD225" s="1311"/>
      <c r="DDE225" s="1311"/>
      <c r="DDF225" s="1311"/>
      <c r="DDG225" s="1311"/>
      <c r="DDH225" s="1311"/>
      <c r="DDI225" s="1311"/>
      <c r="DDJ225" s="1311"/>
      <c r="DDK225" s="1311"/>
      <c r="DDL225" s="1311"/>
      <c r="DDM225" s="1311"/>
      <c r="DDN225" s="1311"/>
      <c r="DDO225" s="1311"/>
      <c r="DDP225" s="1311"/>
      <c r="DDQ225" s="1311"/>
      <c r="DDR225" s="1311"/>
      <c r="DDS225" s="1311"/>
      <c r="DDT225" s="1311"/>
      <c r="DDU225" s="1311"/>
      <c r="DDV225" s="1311"/>
      <c r="DDW225" s="1311"/>
      <c r="DDX225" s="1311"/>
      <c r="DDY225" s="1311"/>
      <c r="DDZ225" s="1311"/>
      <c r="DEA225" s="1311"/>
      <c r="DEB225" s="1311"/>
      <c r="DEC225" s="1311"/>
      <c r="DED225" s="1311"/>
      <c r="DEE225" s="1311"/>
      <c r="DEF225" s="1311"/>
      <c r="DEG225" s="1311"/>
      <c r="DEH225" s="1311"/>
      <c r="DEI225" s="1311"/>
      <c r="DEJ225" s="1311"/>
      <c r="DEK225" s="1311"/>
      <c r="DEL225" s="1311"/>
      <c r="DEM225" s="1311"/>
      <c r="DEN225" s="1311"/>
      <c r="DEO225" s="1311"/>
      <c r="DEP225" s="1311"/>
      <c r="DEQ225" s="1311"/>
      <c r="DER225" s="1311"/>
      <c r="DES225" s="1311"/>
      <c r="DET225" s="1311"/>
      <c r="DEU225" s="1311"/>
      <c r="DEV225" s="1311"/>
      <c r="DEW225" s="1311"/>
      <c r="DEX225" s="1311"/>
      <c r="DEY225" s="1311"/>
      <c r="DEZ225" s="1311"/>
      <c r="DFA225" s="1311"/>
      <c r="DFB225" s="1311"/>
      <c r="DFC225" s="1311"/>
      <c r="DFD225" s="1311"/>
      <c r="DFE225" s="1311"/>
      <c r="DFF225" s="1311"/>
      <c r="DFG225" s="1311"/>
      <c r="DFH225" s="1311"/>
      <c r="DFI225" s="1311"/>
      <c r="DFJ225" s="1311"/>
      <c r="DFK225" s="1311"/>
      <c r="DFL225" s="1311"/>
      <c r="DFM225" s="1311"/>
      <c r="DFN225" s="1311"/>
      <c r="DFO225" s="1311"/>
      <c r="DFP225" s="1311"/>
      <c r="DFQ225" s="1311"/>
      <c r="DFR225" s="1311"/>
      <c r="DFS225" s="1311"/>
      <c r="DFT225" s="1311"/>
      <c r="DFU225" s="1311"/>
      <c r="DFV225" s="1311"/>
      <c r="DFW225" s="1311"/>
      <c r="DFX225" s="1311"/>
      <c r="DFY225" s="1311"/>
      <c r="DFZ225" s="1311"/>
      <c r="DGA225" s="1311"/>
      <c r="DGB225" s="1311"/>
      <c r="DGC225" s="1311"/>
      <c r="DGD225" s="1311"/>
      <c r="DGE225" s="1311"/>
      <c r="DGF225" s="1311"/>
      <c r="DGG225" s="1311"/>
      <c r="DGH225" s="1311"/>
      <c r="DGI225" s="1311"/>
      <c r="DGJ225" s="1311"/>
      <c r="DGK225" s="1311"/>
      <c r="DGL225" s="1311"/>
      <c r="DGM225" s="1311"/>
      <c r="DGN225" s="1311"/>
      <c r="DGO225" s="1311"/>
      <c r="DGP225" s="1311"/>
      <c r="DGQ225" s="1311"/>
      <c r="DGR225" s="1311"/>
      <c r="DGS225" s="1311"/>
      <c r="DGT225" s="1311"/>
      <c r="DGU225" s="1311"/>
      <c r="DGV225" s="1311"/>
      <c r="DGW225" s="1311"/>
      <c r="DGX225" s="1311"/>
      <c r="DGY225" s="1311"/>
      <c r="DGZ225" s="1311"/>
      <c r="DHA225" s="1311"/>
      <c r="DHB225" s="1311"/>
      <c r="DHC225" s="1311"/>
      <c r="DHD225" s="1311"/>
      <c r="DHE225" s="1311"/>
      <c r="DHF225" s="1311"/>
      <c r="DHG225" s="1311"/>
      <c r="DHH225" s="1311"/>
      <c r="DHI225" s="1311"/>
      <c r="DHJ225" s="1311"/>
      <c r="DHK225" s="1311"/>
      <c r="DHL225" s="1311"/>
      <c r="DHM225" s="1311"/>
      <c r="DHN225" s="1311"/>
      <c r="DHO225" s="1311"/>
      <c r="DHP225" s="1311"/>
      <c r="DHQ225" s="1311"/>
      <c r="DHR225" s="1311"/>
      <c r="DHS225" s="1311"/>
      <c r="DHT225" s="1311"/>
      <c r="DHU225" s="1311"/>
      <c r="DHV225" s="1311"/>
      <c r="DHW225" s="1311"/>
      <c r="DHX225" s="1311"/>
      <c r="DHY225" s="1311"/>
      <c r="DHZ225" s="1311"/>
      <c r="DIA225" s="1311"/>
      <c r="DIB225" s="1311"/>
      <c r="DIC225" s="1311"/>
      <c r="DID225" s="1311"/>
      <c r="DIE225" s="1311"/>
      <c r="DIF225" s="1311"/>
      <c r="DIG225" s="1311"/>
      <c r="DIH225" s="1311"/>
      <c r="DII225" s="1311"/>
      <c r="DIJ225" s="1311"/>
      <c r="DIK225" s="1311"/>
      <c r="DIL225" s="1311"/>
      <c r="DIM225" s="1311"/>
      <c r="DIN225" s="1311"/>
      <c r="DIO225" s="1311"/>
      <c r="DIP225" s="1311"/>
      <c r="DIQ225" s="1311"/>
      <c r="DIR225" s="1311"/>
      <c r="DIS225" s="1311"/>
      <c r="DIT225" s="1311"/>
      <c r="DIU225" s="1311"/>
      <c r="DIV225" s="1311"/>
      <c r="DIW225" s="1311"/>
      <c r="DIX225" s="1311"/>
      <c r="DIY225" s="1311"/>
      <c r="DIZ225" s="1311"/>
      <c r="DJA225" s="1311"/>
      <c r="DJB225" s="1311"/>
      <c r="DJC225" s="1311"/>
      <c r="DJD225" s="1311"/>
      <c r="DJE225" s="1311"/>
      <c r="DJF225" s="1311"/>
      <c r="DJG225" s="1311"/>
      <c r="DJH225" s="1311"/>
      <c r="DJI225" s="1311"/>
      <c r="DJJ225" s="1311"/>
      <c r="DJK225" s="1311"/>
      <c r="DJL225" s="1311"/>
      <c r="DJM225" s="1311"/>
      <c r="DJN225" s="1311"/>
      <c r="DJO225" s="1311"/>
      <c r="DJP225" s="1311"/>
      <c r="DJQ225" s="1311"/>
      <c r="DJR225" s="1311"/>
      <c r="DJS225" s="1311"/>
      <c r="DJT225" s="1311"/>
      <c r="DJU225" s="1311"/>
      <c r="DJV225" s="1311"/>
      <c r="DJW225" s="1311"/>
      <c r="DJX225" s="1311"/>
      <c r="DJY225" s="1311"/>
      <c r="DJZ225" s="1311"/>
      <c r="DKA225" s="1311"/>
      <c r="DKB225" s="1311"/>
      <c r="DKC225" s="1311"/>
      <c r="DKD225" s="1311"/>
      <c r="DKE225" s="1311"/>
      <c r="DKF225" s="1311"/>
      <c r="DKG225" s="1311"/>
      <c r="DKH225" s="1311"/>
      <c r="DKI225" s="1311"/>
      <c r="DKJ225" s="1311"/>
      <c r="DKK225" s="1311"/>
      <c r="DKL225" s="1311"/>
      <c r="DKM225" s="1311"/>
      <c r="DKN225" s="1311"/>
      <c r="DKO225" s="1311"/>
      <c r="DKP225" s="1311"/>
      <c r="DKQ225" s="1311"/>
      <c r="DKR225" s="1311"/>
      <c r="DKS225" s="1311"/>
      <c r="DKT225" s="1311"/>
      <c r="DKU225" s="1311"/>
      <c r="DKV225" s="1311"/>
      <c r="DKW225" s="1311"/>
      <c r="DKX225" s="1311"/>
      <c r="DKY225" s="1311"/>
      <c r="DKZ225" s="1311"/>
      <c r="DLA225" s="1311"/>
      <c r="DLB225" s="1311"/>
      <c r="DLC225" s="1311"/>
      <c r="DLD225" s="1311"/>
      <c r="DLE225" s="1311"/>
      <c r="DLF225" s="1311"/>
      <c r="DLG225" s="1311"/>
      <c r="DLH225" s="1311"/>
      <c r="DLI225" s="1311"/>
      <c r="DLJ225" s="1311"/>
      <c r="DLK225" s="1311"/>
      <c r="DLL225" s="1311"/>
      <c r="DLM225" s="1311"/>
      <c r="DLN225" s="1311"/>
      <c r="DLO225" s="1311"/>
      <c r="DLP225" s="1311"/>
      <c r="DLQ225" s="1311"/>
      <c r="DLR225" s="1311"/>
      <c r="DLS225" s="1311"/>
      <c r="DLT225" s="1311"/>
      <c r="DLU225" s="1311"/>
      <c r="DLV225" s="1311"/>
      <c r="DLW225" s="1311"/>
      <c r="DLX225" s="1311"/>
      <c r="DLY225" s="1311"/>
      <c r="DLZ225" s="1311"/>
      <c r="DMA225" s="1311"/>
      <c r="DMB225" s="1311"/>
      <c r="DMC225" s="1311"/>
      <c r="DMD225" s="1311"/>
      <c r="DME225" s="1311"/>
      <c r="DMF225" s="1311"/>
      <c r="DMG225" s="1311"/>
      <c r="DMH225" s="1311"/>
      <c r="DMI225" s="1311"/>
      <c r="DMJ225" s="1311"/>
      <c r="DMK225" s="1311"/>
      <c r="DML225" s="1311"/>
      <c r="DMM225" s="1311"/>
      <c r="DMN225" s="1311"/>
      <c r="DMO225" s="1311"/>
      <c r="DMP225" s="1311"/>
      <c r="DMQ225" s="1311"/>
      <c r="DMR225" s="1311"/>
      <c r="DMS225" s="1311"/>
      <c r="DMT225" s="1311"/>
      <c r="DMU225" s="1311"/>
      <c r="DMV225" s="1311"/>
      <c r="DMW225" s="1311"/>
      <c r="DMX225" s="1311"/>
      <c r="DMY225" s="1311"/>
      <c r="DMZ225" s="1311"/>
      <c r="DNA225" s="1311"/>
      <c r="DNB225" s="1311"/>
      <c r="DNC225" s="1311"/>
      <c r="DND225" s="1311"/>
      <c r="DNE225" s="1311"/>
      <c r="DNF225" s="1311"/>
      <c r="DNG225" s="1311"/>
      <c r="DNH225" s="1311"/>
      <c r="DNI225" s="1311"/>
      <c r="DNJ225" s="1311"/>
      <c r="DNK225" s="1311"/>
      <c r="DNL225" s="1311"/>
      <c r="DNM225" s="1311"/>
      <c r="DNN225" s="1311"/>
      <c r="DNO225" s="1311"/>
      <c r="DNP225" s="1311"/>
      <c r="DNQ225" s="1311"/>
      <c r="DNR225" s="1311"/>
      <c r="DNS225" s="1311"/>
      <c r="DNT225" s="1311"/>
      <c r="DNU225" s="1311"/>
      <c r="DNV225" s="1311"/>
      <c r="DNW225" s="1311"/>
      <c r="DNX225" s="1311"/>
      <c r="DNY225" s="1311"/>
      <c r="DNZ225" s="1311"/>
      <c r="DOA225" s="1311"/>
      <c r="DOB225" s="1311"/>
      <c r="DOC225" s="1311"/>
      <c r="DOD225" s="1311"/>
      <c r="DOE225" s="1311"/>
      <c r="DOF225" s="1311"/>
      <c r="DOG225" s="1311"/>
      <c r="DOH225" s="1311"/>
      <c r="DOI225" s="1311"/>
      <c r="DOJ225" s="1311"/>
      <c r="DOK225" s="1311"/>
      <c r="DOL225" s="1311"/>
      <c r="DOM225" s="1311"/>
      <c r="DON225" s="1311"/>
      <c r="DOO225" s="1311"/>
      <c r="DOP225" s="1311"/>
      <c r="DOQ225" s="1311"/>
      <c r="DOR225" s="1311"/>
      <c r="DOS225" s="1311"/>
      <c r="DOT225" s="1311"/>
      <c r="DOU225" s="1311"/>
      <c r="DOV225" s="1311"/>
      <c r="DOW225" s="1311"/>
      <c r="DOX225" s="1311"/>
      <c r="DOY225" s="1311"/>
      <c r="DOZ225" s="1311"/>
      <c r="DPA225" s="1311"/>
      <c r="DPB225" s="1311"/>
      <c r="DPC225" s="1311"/>
      <c r="DPD225" s="1311"/>
      <c r="DPE225" s="1311"/>
      <c r="DPF225" s="1311"/>
      <c r="DPG225" s="1311"/>
      <c r="DPH225" s="1311"/>
      <c r="DPI225" s="1311"/>
      <c r="DPJ225" s="1311"/>
      <c r="DPK225" s="1311"/>
      <c r="DPL225" s="1311"/>
      <c r="DPM225" s="1311"/>
      <c r="DPN225" s="1311"/>
      <c r="DPO225" s="1311"/>
      <c r="DPP225" s="1311"/>
      <c r="DPQ225" s="1311"/>
      <c r="DPR225" s="1311"/>
      <c r="DPS225" s="1311"/>
      <c r="DPT225" s="1311"/>
      <c r="DPU225" s="1311"/>
      <c r="DPV225" s="1311"/>
      <c r="DPW225" s="1311"/>
      <c r="DPX225" s="1311"/>
      <c r="DPY225" s="1311"/>
      <c r="DPZ225" s="1311"/>
      <c r="DQA225" s="1311"/>
      <c r="DQB225" s="1311"/>
      <c r="DQC225" s="1311"/>
      <c r="DQD225" s="1311"/>
      <c r="DQE225" s="1311"/>
      <c r="DQF225" s="1311"/>
      <c r="DQG225" s="1311"/>
      <c r="DQH225" s="1311"/>
      <c r="DQI225" s="1311"/>
      <c r="DQJ225" s="1311"/>
      <c r="DQK225" s="1311"/>
      <c r="DQL225" s="1311"/>
      <c r="DQM225" s="1311"/>
      <c r="DQN225" s="1311"/>
      <c r="DQO225" s="1311"/>
      <c r="DQP225" s="1311"/>
      <c r="DQQ225" s="1311"/>
      <c r="DQR225" s="1311"/>
      <c r="DQS225" s="1311"/>
      <c r="DQT225" s="1311"/>
      <c r="DQU225" s="1311"/>
      <c r="DQV225" s="1311"/>
      <c r="DQW225" s="1311"/>
      <c r="DQX225" s="1311"/>
      <c r="DQY225" s="1311"/>
      <c r="DQZ225" s="1311"/>
      <c r="DRA225" s="1311"/>
      <c r="DRB225" s="1311"/>
      <c r="DRC225" s="1311"/>
      <c r="DRD225" s="1311"/>
      <c r="DRE225" s="1311"/>
      <c r="DRF225" s="1311"/>
      <c r="DRG225" s="1311"/>
      <c r="DRH225" s="1311"/>
      <c r="DRI225" s="1311"/>
      <c r="DRJ225" s="1311"/>
      <c r="DRK225" s="1311"/>
      <c r="DRL225" s="1311"/>
      <c r="DRM225" s="1311"/>
      <c r="DRN225" s="1311"/>
      <c r="DRO225" s="1311"/>
      <c r="DRP225" s="1311"/>
      <c r="DRQ225" s="1311"/>
      <c r="DRR225" s="1311"/>
      <c r="DRS225" s="1311"/>
      <c r="DRT225" s="1311"/>
      <c r="DRU225" s="1311"/>
      <c r="DRV225" s="1311"/>
      <c r="DRW225" s="1311"/>
      <c r="DRX225" s="1311"/>
      <c r="DRY225" s="1311"/>
      <c r="DRZ225" s="1311"/>
      <c r="DSA225" s="1311"/>
      <c r="DSB225" s="1311"/>
      <c r="DSC225" s="1311"/>
      <c r="DSD225" s="1311"/>
      <c r="DSE225" s="1311"/>
      <c r="DSF225" s="1311"/>
      <c r="DSG225" s="1311"/>
      <c r="DSH225" s="1311"/>
      <c r="DSI225" s="1311"/>
      <c r="DSJ225" s="1311"/>
      <c r="DSK225" s="1311"/>
      <c r="DSL225" s="1311"/>
      <c r="DSM225" s="1311"/>
      <c r="DSN225" s="1311"/>
      <c r="DSO225" s="1311"/>
      <c r="DSP225" s="1311"/>
      <c r="DSQ225" s="1311"/>
      <c r="DSR225" s="1311"/>
      <c r="DSS225" s="1311"/>
      <c r="DST225" s="1311"/>
      <c r="DSU225" s="1311"/>
      <c r="DSV225" s="1311"/>
      <c r="DSW225" s="1311"/>
      <c r="DSX225" s="1311"/>
      <c r="DSY225" s="1311"/>
      <c r="DSZ225" s="1311"/>
      <c r="DTA225" s="1311"/>
      <c r="DTB225" s="1311"/>
      <c r="DTC225" s="1311"/>
      <c r="DTD225" s="1311"/>
      <c r="DTE225" s="1311"/>
      <c r="DTF225" s="1311"/>
      <c r="DTG225" s="1311"/>
      <c r="DTH225" s="1311"/>
      <c r="DTI225" s="1311"/>
      <c r="DTJ225" s="1311"/>
      <c r="DTK225" s="1311"/>
      <c r="DTL225" s="1311"/>
      <c r="DTM225" s="1311"/>
      <c r="DTN225" s="1311"/>
      <c r="DTO225" s="1311"/>
      <c r="DTP225" s="1311"/>
      <c r="DTQ225" s="1311"/>
      <c r="DTR225" s="1311"/>
      <c r="DTS225" s="1311"/>
      <c r="DTT225" s="1311"/>
      <c r="DTU225" s="1311"/>
      <c r="DTV225" s="1311"/>
      <c r="DTW225" s="1311"/>
      <c r="DTX225" s="1311"/>
      <c r="DTY225" s="1311"/>
      <c r="DTZ225" s="1311"/>
      <c r="DUA225" s="1311"/>
      <c r="DUB225" s="1311"/>
      <c r="DUC225" s="1311"/>
      <c r="DUD225" s="1311"/>
      <c r="DUE225" s="1311"/>
      <c r="DUF225" s="1311"/>
      <c r="DUG225" s="1311"/>
      <c r="DUH225" s="1311"/>
      <c r="DUI225" s="1311"/>
      <c r="DUJ225" s="1311"/>
      <c r="DUK225" s="1311"/>
      <c r="DUL225" s="1311"/>
      <c r="DUM225" s="1311"/>
      <c r="DUN225" s="1311"/>
      <c r="DUO225" s="1311"/>
      <c r="DUP225" s="1311"/>
      <c r="DUQ225" s="1311"/>
      <c r="DUR225" s="1311"/>
      <c r="DUS225" s="1311"/>
      <c r="DUT225" s="1311"/>
      <c r="DUU225" s="1311"/>
      <c r="DUV225" s="1311"/>
      <c r="DUW225" s="1311"/>
      <c r="DUX225" s="1311"/>
      <c r="DUY225" s="1311"/>
      <c r="DUZ225" s="1311"/>
      <c r="DVA225" s="1311"/>
      <c r="DVB225" s="1311"/>
      <c r="DVC225" s="1311"/>
      <c r="DVD225" s="1311"/>
      <c r="DVE225" s="1311"/>
      <c r="DVF225" s="1311"/>
      <c r="DVG225" s="1311"/>
      <c r="DVH225" s="1311"/>
      <c r="DVI225" s="1311"/>
      <c r="DVJ225" s="1311"/>
      <c r="DVK225" s="1311"/>
      <c r="DVL225" s="1311"/>
      <c r="DVM225" s="1311"/>
      <c r="DVN225" s="1311"/>
      <c r="DVO225" s="1311"/>
      <c r="DVP225" s="1311"/>
      <c r="DVQ225" s="1311"/>
      <c r="DVR225" s="1311"/>
      <c r="DVS225" s="1311"/>
      <c r="DVT225" s="1311"/>
      <c r="DVU225" s="1311"/>
      <c r="DVV225" s="1311"/>
      <c r="DVW225" s="1311"/>
      <c r="DVX225" s="1311"/>
      <c r="DVY225" s="1311"/>
      <c r="DVZ225" s="1311"/>
      <c r="DWA225" s="1311"/>
      <c r="DWB225" s="1311"/>
      <c r="DWC225" s="1311"/>
      <c r="DWD225" s="1311"/>
      <c r="DWE225" s="1311"/>
      <c r="DWF225" s="1311"/>
      <c r="DWG225" s="1311"/>
      <c r="DWH225" s="1311"/>
      <c r="DWI225" s="1311"/>
      <c r="DWJ225" s="1311"/>
      <c r="DWK225" s="1311"/>
      <c r="DWL225" s="1311"/>
      <c r="DWM225" s="1311"/>
      <c r="DWN225" s="1311"/>
      <c r="DWO225" s="1311"/>
      <c r="DWP225" s="1311"/>
      <c r="DWQ225" s="1311"/>
      <c r="DWR225" s="1311"/>
      <c r="DWS225" s="1311"/>
      <c r="DWT225" s="1311"/>
      <c r="DWU225" s="1311"/>
      <c r="DWV225" s="1311"/>
      <c r="DWW225" s="1311"/>
      <c r="DWX225" s="1311"/>
      <c r="DWY225" s="1311"/>
      <c r="DWZ225" s="1311"/>
      <c r="DXA225" s="1311"/>
      <c r="DXB225" s="1311"/>
      <c r="DXC225" s="1311"/>
      <c r="DXD225" s="1311"/>
      <c r="DXE225" s="1311"/>
      <c r="DXF225" s="1311"/>
      <c r="DXG225" s="1311"/>
      <c r="DXH225" s="1311"/>
      <c r="DXI225" s="1311"/>
      <c r="DXJ225" s="1311"/>
      <c r="DXK225" s="1311"/>
      <c r="DXL225" s="1311"/>
      <c r="DXM225" s="1311"/>
      <c r="DXN225" s="1311"/>
      <c r="DXO225" s="1311"/>
      <c r="DXP225" s="1311"/>
      <c r="DXQ225" s="1311"/>
      <c r="DXR225" s="1311"/>
      <c r="DXS225" s="1311"/>
      <c r="DXT225" s="1311"/>
      <c r="DXU225" s="1311"/>
      <c r="DXV225" s="1311"/>
      <c r="DXW225" s="1311"/>
      <c r="DXX225" s="1311"/>
      <c r="DXY225" s="1311"/>
      <c r="DXZ225" s="1311"/>
      <c r="DYA225" s="1311"/>
      <c r="DYB225" s="1311"/>
      <c r="DYC225" s="1311"/>
      <c r="DYD225" s="1311"/>
      <c r="DYE225" s="1311"/>
      <c r="DYF225" s="1311"/>
      <c r="DYG225" s="1311"/>
      <c r="DYH225" s="1311"/>
      <c r="DYI225" s="1311"/>
      <c r="DYJ225" s="1311"/>
      <c r="DYK225" s="1311"/>
      <c r="DYL225" s="1311"/>
      <c r="DYM225" s="1311"/>
      <c r="DYN225" s="1311"/>
      <c r="DYO225" s="1311"/>
      <c r="DYP225" s="1311"/>
      <c r="DYQ225" s="1311"/>
      <c r="DYR225" s="1311"/>
      <c r="DYS225" s="1311"/>
      <c r="DYT225" s="1311"/>
      <c r="DYU225" s="1311"/>
      <c r="DYV225" s="1311"/>
      <c r="DYW225" s="1311"/>
      <c r="DYX225" s="1311"/>
      <c r="DYY225" s="1311"/>
      <c r="DYZ225" s="1311"/>
      <c r="DZA225" s="1311"/>
      <c r="DZB225" s="1311"/>
      <c r="DZC225" s="1311"/>
      <c r="DZD225" s="1311"/>
      <c r="DZE225" s="1311"/>
      <c r="DZF225" s="1311"/>
      <c r="DZG225" s="1311"/>
      <c r="DZH225" s="1311"/>
      <c r="DZI225" s="1311"/>
      <c r="DZJ225" s="1311"/>
      <c r="DZK225" s="1311"/>
      <c r="DZL225" s="1311"/>
      <c r="DZM225" s="1311"/>
      <c r="DZN225" s="1311"/>
      <c r="DZO225" s="1311"/>
      <c r="DZP225" s="1311"/>
      <c r="DZQ225" s="1311"/>
      <c r="DZR225" s="1311"/>
      <c r="DZS225" s="1311"/>
      <c r="DZT225" s="1311"/>
      <c r="DZU225" s="1311"/>
      <c r="DZV225" s="1311"/>
      <c r="DZW225" s="1311"/>
      <c r="DZX225" s="1311"/>
      <c r="DZY225" s="1311"/>
      <c r="DZZ225" s="1311"/>
      <c r="EAA225" s="1311"/>
      <c r="EAB225" s="1311"/>
      <c r="EAC225" s="1311"/>
      <c r="EAD225" s="1311"/>
      <c r="EAE225" s="1311"/>
      <c r="EAF225" s="1311"/>
      <c r="EAG225" s="1311"/>
      <c r="EAH225" s="1311"/>
      <c r="EAI225" s="1311"/>
      <c r="EAJ225" s="1311"/>
      <c r="EAK225" s="1311"/>
      <c r="EAL225" s="1311"/>
      <c r="EAM225" s="1311"/>
      <c r="EAN225" s="1311"/>
      <c r="EAO225" s="1311"/>
      <c r="EAP225" s="1311"/>
      <c r="EAQ225" s="1311"/>
      <c r="EAR225" s="1311"/>
      <c r="EAS225" s="1311"/>
      <c r="EAT225" s="1311"/>
      <c r="EAU225" s="1311"/>
      <c r="EAV225" s="1311"/>
      <c r="EAW225" s="1311"/>
      <c r="EAX225" s="1311"/>
      <c r="EAY225" s="1311"/>
      <c r="EAZ225" s="1311"/>
      <c r="EBA225" s="1311"/>
      <c r="EBB225" s="1311"/>
      <c r="EBC225" s="1311"/>
      <c r="EBD225" s="1311"/>
      <c r="EBE225" s="1311"/>
      <c r="EBF225" s="1311"/>
      <c r="EBG225" s="1311"/>
      <c r="EBH225" s="1311"/>
      <c r="EBI225" s="1311"/>
      <c r="EBJ225" s="1311"/>
      <c r="EBK225" s="1311"/>
      <c r="EBL225" s="1311"/>
      <c r="EBM225" s="1311"/>
      <c r="EBN225" s="1311"/>
      <c r="EBO225" s="1311"/>
      <c r="EBP225" s="1311"/>
      <c r="EBQ225" s="1311"/>
      <c r="EBR225" s="1311"/>
      <c r="EBS225" s="1311"/>
      <c r="EBT225" s="1311"/>
      <c r="EBU225" s="1311"/>
      <c r="EBV225" s="1311"/>
      <c r="EBW225" s="1311"/>
      <c r="EBX225" s="1311"/>
      <c r="EBY225" s="1311"/>
      <c r="EBZ225" s="1311"/>
      <c r="ECA225" s="1311"/>
      <c r="ECB225" s="1311"/>
      <c r="ECC225" s="1311"/>
      <c r="ECD225" s="1311"/>
      <c r="ECE225" s="1311"/>
      <c r="ECF225" s="1311"/>
      <c r="ECG225" s="1311"/>
      <c r="ECH225" s="1311"/>
      <c r="ECI225" s="1311"/>
      <c r="ECJ225" s="1311"/>
      <c r="ECK225" s="1311"/>
      <c r="ECL225" s="1311"/>
      <c r="ECM225" s="1311"/>
      <c r="ECN225" s="1311"/>
      <c r="ECO225" s="1311"/>
      <c r="ECP225" s="1311"/>
      <c r="ECQ225" s="1311"/>
      <c r="ECR225" s="1311"/>
      <c r="ECS225" s="1311"/>
      <c r="ECT225" s="1311"/>
      <c r="ECU225" s="1311"/>
      <c r="ECV225" s="1311"/>
      <c r="ECW225" s="1311"/>
      <c r="ECX225" s="1311"/>
      <c r="ECY225" s="1311"/>
      <c r="ECZ225" s="1311"/>
      <c r="EDA225" s="1311"/>
      <c r="EDB225" s="1311"/>
      <c r="EDC225" s="1311"/>
      <c r="EDD225" s="1311"/>
      <c r="EDE225" s="1311"/>
      <c r="EDF225" s="1311"/>
      <c r="EDG225" s="1311"/>
      <c r="EDH225" s="1311"/>
      <c r="EDI225" s="1311"/>
      <c r="EDJ225" s="1311"/>
      <c r="EDK225" s="1311"/>
      <c r="EDL225" s="1311"/>
      <c r="EDM225" s="1311"/>
      <c r="EDN225" s="1311"/>
      <c r="EDO225" s="1311"/>
      <c r="EDP225" s="1311"/>
      <c r="EDQ225" s="1311"/>
      <c r="EDR225" s="1311"/>
      <c r="EDS225" s="1311"/>
      <c r="EDT225" s="1311"/>
      <c r="EDU225" s="1311"/>
      <c r="EDV225" s="1311"/>
      <c r="EDW225" s="1311"/>
      <c r="EDX225" s="1311"/>
      <c r="EDY225" s="1311"/>
      <c r="EDZ225" s="1311"/>
      <c r="EEA225" s="1311"/>
      <c r="EEB225" s="1311"/>
      <c r="EEC225" s="1311"/>
      <c r="EED225" s="1311"/>
      <c r="EEE225" s="1311"/>
      <c r="EEF225" s="1311"/>
      <c r="EEG225" s="1311"/>
      <c r="EEH225" s="1311"/>
      <c r="EEI225" s="1311"/>
      <c r="EEJ225" s="1311"/>
      <c r="EEK225" s="1311"/>
      <c r="EEL225" s="1311"/>
      <c r="EEM225" s="1311"/>
      <c r="EEN225" s="1311"/>
      <c r="EEO225" s="1311"/>
      <c r="EEP225" s="1311"/>
      <c r="EEQ225" s="1311"/>
      <c r="EER225" s="1311"/>
      <c r="EES225" s="1311"/>
      <c r="EET225" s="1311"/>
      <c r="EEU225" s="1311"/>
      <c r="EEV225" s="1311"/>
      <c r="EEW225" s="1311"/>
      <c r="EEX225" s="1311"/>
      <c r="EEY225" s="1311"/>
      <c r="EEZ225" s="1311"/>
      <c r="EFA225" s="1311"/>
      <c r="EFB225" s="1311"/>
      <c r="EFC225" s="1311"/>
      <c r="EFD225" s="1311"/>
      <c r="EFE225" s="1311"/>
      <c r="EFF225" s="1311"/>
      <c r="EFG225" s="1311"/>
      <c r="EFH225" s="1311"/>
      <c r="EFI225" s="1311"/>
      <c r="EFJ225" s="1311"/>
      <c r="EFK225" s="1311"/>
      <c r="EFL225" s="1311"/>
      <c r="EFM225" s="1311"/>
      <c r="EFN225" s="1311"/>
      <c r="EFO225" s="1311"/>
      <c r="EFP225" s="1311"/>
      <c r="EFQ225" s="1311"/>
      <c r="EFR225" s="1311"/>
      <c r="EFS225" s="1311"/>
      <c r="EFT225" s="1311"/>
      <c r="EFU225" s="1311"/>
      <c r="EFV225" s="1311"/>
      <c r="EFW225" s="1311"/>
      <c r="EFX225" s="1311"/>
      <c r="EFY225" s="1311"/>
      <c r="EFZ225" s="1311"/>
      <c r="EGA225" s="1311"/>
      <c r="EGB225" s="1311"/>
      <c r="EGC225" s="1311"/>
      <c r="EGD225" s="1311"/>
      <c r="EGE225" s="1311"/>
      <c r="EGF225" s="1311"/>
      <c r="EGG225" s="1311"/>
      <c r="EGH225" s="1311"/>
      <c r="EGI225" s="1311"/>
      <c r="EGJ225" s="1311"/>
      <c r="EGK225" s="1311"/>
      <c r="EGL225" s="1311"/>
      <c r="EGM225" s="1311"/>
      <c r="EGN225" s="1311"/>
      <c r="EGO225" s="1311"/>
      <c r="EGP225" s="1311"/>
      <c r="EGQ225" s="1311"/>
      <c r="EGR225" s="1311"/>
      <c r="EGS225" s="1311"/>
      <c r="EGT225" s="1311"/>
      <c r="EGU225" s="1311"/>
      <c r="EGV225" s="1311"/>
      <c r="EGW225" s="1311"/>
      <c r="EGX225" s="1311"/>
      <c r="EGY225" s="1311"/>
      <c r="EGZ225" s="1311"/>
      <c r="EHA225" s="1311"/>
      <c r="EHB225" s="1311"/>
      <c r="EHC225" s="1311"/>
      <c r="EHD225" s="1311"/>
      <c r="EHE225" s="1311"/>
      <c r="EHF225" s="1311"/>
      <c r="EHG225" s="1311"/>
      <c r="EHH225" s="1311"/>
      <c r="EHI225" s="1311"/>
      <c r="EHJ225" s="1311"/>
      <c r="EHK225" s="1311"/>
      <c r="EHL225" s="1311"/>
      <c r="EHM225" s="1311"/>
      <c r="EHN225" s="1311"/>
      <c r="EHO225" s="1311"/>
      <c r="EHP225" s="1311"/>
      <c r="EHQ225" s="1311"/>
      <c r="EHR225" s="1311"/>
      <c r="EHS225" s="1311"/>
      <c r="EHT225" s="1311"/>
      <c r="EHU225" s="1311"/>
      <c r="EHV225" s="1311"/>
      <c r="EHW225" s="1311"/>
      <c r="EHX225" s="1311"/>
      <c r="EHY225" s="1311"/>
      <c r="EHZ225" s="1311"/>
      <c r="EIA225" s="1311"/>
      <c r="EIB225" s="1311"/>
      <c r="EIC225" s="1311"/>
      <c r="EID225" s="1311"/>
      <c r="EIE225" s="1311"/>
      <c r="EIF225" s="1311"/>
      <c r="EIG225" s="1311"/>
      <c r="EIH225" s="1311"/>
      <c r="EII225" s="1311"/>
      <c r="EIJ225" s="1311"/>
      <c r="EIK225" s="1311"/>
      <c r="EIL225" s="1311"/>
      <c r="EIM225" s="1311"/>
      <c r="EIN225" s="1311"/>
      <c r="EIO225" s="1311"/>
      <c r="EIP225" s="1311"/>
      <c r="EIQ225" s="1311"/>
      <c r="EIR225" s="1311"/>
      <c r="EIS225" s="1311"/>
      <c r="EIT225" s="1311"/>
      <c r="EIU225" s="1311"/>
      <c r="EIV225" s="1311"/>
      <c r="EIW225" s="1311"/>
      <c r="EIX225" s="1311"/>
      <c r="EIY225" s="1311"/>
      <c r="EIZ225" s="1311"/>
      <c r="EJA225" s="1311"/>
      <c r="EJB225" s="1311"/>
      <c r="EJC225" s="1311"/>
      <c r="EJD225" s="1311"/>
      <c r="EJE225" s="1311"/>
      <c r="EJF225" s="1311"/>
      <c r="EJG225" s="1311"/>
      <c r="EJH225" s="1311"/>
      <c r="EJI225" s="1311"/>
      <c r="EJJ225" s="1311"/>
      <c r="EJK225" s="1311"/>
      <c r="EJL225" s="1311"/>
      <c r="EJM225" s="1311"/>
      <c r="EJN225" s="1311"/>
      <c r="EJO225" s="1311"/>
      <c r="EJP225" s="1311"/>
      <c r="EJQ225" s="1311"/>
      <c r="EJR225" s="1311"/>
      <c r="EJS225" s="1311"/>
      <c r="EJT225" s="1311"/>
      <c r="EJU225" s="1311"/>
      <c r="EJV225" s="1311"/>
      <c r="EJW225" s="1311"/>
      <c r="EJX225" s="1311"/>
      <c r="EJY225" s="1311"/>
      <c r="EJZ225" s="1311"/>
      <c r="EKA225" s="1311"/>
      <c r="EKB225" s="1311"/>
      <c r="EKC225" s="1311"/>
      <c r="EKD225" s="1311"/>
      <c r="EKE225" s="1311"/>
      <c r="EKF225" s="1311"/>
      <c r="EKG225" s="1311"/>
      <c r="EKH225" s="1311"/>
      <c r="EKI225" s="1311"/>
      <c r="EKJ225" s="1311"/>
      <c r="EKK225" s="1311"/>
      <c r="EKL225" s="1311"/>
      <c r="EKM225" s="1311"/>
      <c r="EKN225" s="1311"/>
      <c r="EKO225" s="1311"/>
      <c r="EKP225" s="1311"/>
      <c r="EKQ225" s="1311"/>
      <c r="EKR225" s="1311"/>
      <c r="EKS225" s="1311"/>
      <c r="EKT225" s="1311"/>
      <c r="EKU225" s="1311"/>
      <c r="EKV225" s="1311"/>
      <c r="EKW225" s="1311"/>
      <c r="EKX225" s="1311"/>
      <c r="EKY225" s="1311"/>
      <c r="EKZ225" s="1311"/>
      <c r="ELA225" s="1311"/>
      <c r="ELB225" s="1311"/>
      <c r="ELC225" s="1311"/>
      <c r="ELD225" s="1311"/>
      <c r="ELE225" s="1311"/>
      <c r="ELF225" s="1311"/>
      <c r="ELG225" s="1311"/>
      <c r="ELH225" s="1311"/>
      <c r="ELI225" s="1311"/>
      <c r="ELJ225" s="1311"/>
      <c r="ELK225" s="1311"/>
      <c r="ELL225" s="1311"/>
      <c r="ELM225" s="1311"/>
      <c r="ELN225" s="1311"/>
      <c r="ELO225" s="1311"/>
      <c r="ELP225" s="1311"/>
      <c r="ELQ225" s="1311"/>
      <c r="ELR225" s="1311"/>
      <c r="ELS225" s="1311"/>
      <c r="ELT225" s="1311"/>
      <c r="ELU225" s="1311"/>
      <c r="ELV225" s="1311"/>
      <c r="ELW225" s="1311"/>
      <c r="ELX225" s="1311"/>
      <c r="ELY225" s="1311"/>
      <c r="ELZ225" s="1311"/>
      <c r="EMA225" s="1311"/>
      <c r="EMB225" s="1311"/>
      <c r="EMC225" s="1311"/>
      <c r="EMD225" s="1311"/>
      <c r="EME225" s="1311"/>
      <c r="EMF225" s="1311"/>
      <c r="EMG225" s="1311"/>
      <c r="EMH225" s="1311"/>
      <c r="EMI225" s="1311"/>
      <c r="EMJ225" s="1311"/>
      <c r="EMK225" s="1311"/>
      <c r="EML225" s="1311"/>
      <c r="EMM225" s="1311"/>
      <c r="EMN225" s="1311"/>
      <c r="EMO225" s="1311"/>
      <c r="EMP225" s="1311"/>
      <c r="EMQ225" s="1311"/>
      <c r="EMR225" s="1311"/>
      <c r="EMS225" s="1311"/>
      <c r="EMT225" s="1311"/>
      <c r="EMU225" s="1311"/>
      <c r="EMV225" s="1311"/>
      <c r="EMW225" s="1311"/>
      <c r="EMX225" s="1311"/>
      <c r="EMY225" s="1311"/>
      <c r="EMZ225" s="1311"/>
      <c r="ENA225" s="1311"/>
      <c r="ENB225" s="1311"/>
      <c r="ENC225" s="1311"/>
      <c r="END225" s="1311"/>
      <c r="ENE225" s="1311"/>
      <c r="ENF225" s="1311"/>
      <c r="ENG225" s="1311"/>
      <c r="ENH225" s="1311"/>
      <c r="ENI225" s="1311"/>
      <c r="ENJ225" s="1311"/>
      <c r="ENK225" s="1311"/>
      <c r="ENL225" s="1311"/>
      <c r="ENM225" s="1311"/>
      <c r="ENN225" s="1311"/>
      <c r="ENO225" s="1311"/>
      <c r="ENP225" s="1311"/>
      <c r="ENQ225" s="1311"/>
      <c r="ENR225" s="1311"/>
      <c r="ENS225" s="1311"/>
      <c r="ENT225" s="1311"/>
      <c r="ENU225" s="1311"/>
      <c r="ENV225" s="1311"/>
      <c r="ENW225" s="1311"/>
      <c r="ENX225" s="1311"/>
      <c r="ENY225" s="1311"/>
      <c r="ENZ225" s="1311"/>
      <c r="EOA225" s="1311"/>
      <c r="EOB225" s="1311"/>
      <c r="EOC225" s="1311"/>
      <c r="EOD225" s="1311"/>
      <c r="EOE225" s="1311"/>
      <c r="EOF225" s="1311"/>
      <c r="EOG225" s="1311"/>
      <c r="EOH225" s="1311"/>
      <c r="EOI225" s="1311"/>
      <c r="EOJ225" s="1311"/>
      <c r="EOK225" s="1311"/>
      <c r="EOL225" s="1311"/>
      <c r="EOM225" s="1311"/>
      <c r="EON225" s="1311"/>
      <c r="EOO225" s="1311"/>
      <c r="EOP225" s="1311"/>
      <c r="EOQ225" s="1311"/>
      <c r="EOR225" s="1311"/>
      <c r="EOS225" s="1311"/>
      <c r="EOT225" s="1311"/>
      <c r="EOU225" s="1311"/>
      <c r="EOV225" s="1311"/>
      <c r="EOW225" s="1311"/>
      <c r="EOX225" s="1311"/>
      <c r="EOY225" s="1311"/>
      <c r="EOZ225" s="1311"/>
      <c r="EPA225" s="1311"/>
      <c r="EPB225" s="1311"/>
      <c r="EPC225" s="1311"/>
      <c r="EPD225" s="1311"/>
      <c r="EPE225" s="1311"/>
      <c r="EPF225" s="1311"/>
      <c r="EPG225" s="1311"/>
      <c r="EPH225" s="1311"/>
      <c r="EPI225" s="1311"/>
      <c r="EPJ225" s="1311"/>
      <c r="EPK225" s="1311"/>
      <c r="EPL225" s="1311"/>
      <c r="EPM225" s="1311"/>
      <c r="EPN225" s="1311"/>
      <c r="EPO225" s="1311"/>
      <c r="EPP225" s="1311"/>
      <c r="EPQ225" s="1311"/>
      <c r="EPR225" s="1311"/>
      <c r="EPS225" s="1311"/>
      <c r="EPT225" s="1311"/>
      <c r="EPU225" s="1311"/>
      <c r="EPV225" s="1311"/>
      <c r="EPW225" s="1311"/>
      <c r="EPX225" s="1311"/>
      <c r="EPY225" s="1311"/>
      <c r="EPZ225" s="1311"/>
      <c r="EQA225" s="1311"/>
      <c r="EQB225" s="1311"/>
      <c r="EQC225" s="1311"/>
      <c r="EQD225" s="1311"/>
      <c r="EQE225" s="1311"/>
      <c r="EQF225" s="1311"/>
      <c r="EQG225" s="1311"/>
      <c r="EQH225" s="1311"/>
      <c r="EQI225" s="1311"/>
      <c r="EQJ225" s="1311"/>
      <c r="EQK225" s="1311"/>
      <c r="EQL225" s="1311"/>
      <c r="EQM225" s="1311"/>
      <c r="EQN225" s="1311"/>
      <c r="EQO225" s="1311"/>
      <c r="EQP225" s="1311"/>
      <c r="EQQ225" s="1311"/>
      <c r="EQR225" s="1311"/>
      <c r="EQS225" s="1311"/>
      <c r="EQT225" s="1311"/>
      <c r="EQU225" s="1311"/>
      <c r="EQV225" s="1311"/>
      <c r="EQW225" s="1311"/>
      <c r="EQX225" s="1311"/>
      <c r="EQY225" s="1311"/>
      <c r="EQZ225" s="1311"/>
      <c r="ERA225" s="1311"/>
      <c r="ERB225" s="1311"/>
      <c r="ERC225" s="1311"/>
      <c r="ERD225" s="1311"/>
      <c r="ERE225" s="1311"/>
      <c r="ERF225" s="1311"/>
      <c r="ERG225" s="1311"/>
      <c r="ERH225" s="1311"/>
      <c r="ERI225" s="1311"/>
      <c r="ERJ225" s="1311"/>
      <c r="ERK225" s="1311"/>
      <c r="ERL225" s="1311"/>
      <c r="ERM225" s="1311"/>
      <c r="ERN225" s="1311"/>
      <c r="ERO225" s="1311"/>
      <c r="ERP225" s="1311"/>
      <c r="ERQ225" s="1311"/>
      <c r="ERR225" s="1311"/>
      <c r="ERS225" s="1311"/>
      <c r="ERT225" s="1311"/>
      <c r="ERU225" s="1311"/>
      <c r="ERV225" s="1311"/>
      <c r="ERW225" s="1311"/>
      <c r="ERX225" s="1311"/>
      <c r="ERY225" s="1311"/>
      <c r="ERZ225" s="1311"/>
      <c r="ESA225" s="1311"/>
      <c r="ESB225" s="1311"/>
      <c r="ESC225" s="1311"/>
      <c r="ESD225" s="1311"/>
      <c r="ESE225" s="1311"/>
      <c r="ESF225" s="1311"/>
      <c r="ESG225" s="1311"/>
      <c r="ESH225" s="1311"/>
      <c r="ESI225" s="1311"/>
      <c r="ESJ225" s="1311"/>
      <c r="ESK225" s="1311"/>
      <c r="ESL225" s="1311"/>
      <c r="ESM225" s="1311"/>
      <c r="ESN225" s="1311"/>
      <c r="ESO225" s="1311"/>
      <c r="ESP225" s="1311"/>
      <c r="ESQ225" s="1311"/>
      <c r="ESR225" s="1311"/>
      <c r="ESS225" s="1311"/>
      <c r="EST225" s="1311"/>
      <c r="ESU225" s="1311"/>
      <c r="ESV225" s="1311"/>
      <c r="ESW225" s="1311"/>
      <c r="ESX225" s="1311"/>
      <c r="ESY225" s="1311"/>
      <c r="ESZ225" s="1311"/>
      <c r="ETA225" s="1311"/>
      <c r="ETB225" s="1311"/>
      <c r="ETC225" s="1311"/>
      <c r="ETD225" s="1311"/>
      <c r="ETE225" s="1311"/>
      <c r="ETF225" s="1311"/>
      <c r="ETG225" s="1311"/>
      <c r="ETH225" s="1311"/>
      <c r="ETI225" s="1311"/>
      <c r="ETJ225" s="1311"/>
      <c r="ETK225" s="1311"/>
      <c r="ETL225" s="1311"/>
      <c r="ETM225" s="1311"/>
      <c r="ETN225" s="1311"/>
      <c r="ETO225" s="1311"/>
      <c r="ETP225" s="1311"/>
      <c r="ETQ225" s="1311"/>
      <c r="ETR225" s="1311"/>
      <c r="ETS225" s="1311"/>
      <c r="ETT225" s="1311"/>
      <c r="ETU225" s="1311"/>
      <c r="ETV225" s="1311"/>
      <c r="ETW225" s="1311"/>
      <c r="ETX225" s="1311"/>
      <c r="ETY225" s="1311"/>
      <c r="ETZ225" s="1311"/>
      <c r="EUA225" s="1311"/>
      <c r="EUB225" s="1311"/>
      <c r="EUC225" s="1311"/>
      <c r="EUD225" s="1311"/>
      <c r="EUE225" s="1311"/>
      <c r="EUF225" s="1311"/>
      <c r="EUG225" s="1311"/>
      <c r="EUH225" s="1311"/>
      <c r="EUI225" s="1311"/>
      <c r="EUJ225" s="1311"/>
      <c r="EUK225" s="1311"/>
      <c r="EUL225" s="1311"/>
      <c r="EUM225" s="1311"/>
      <c r="EUN225" s="1311"/>
      <c r="EUO225" s="1311"/>
      <c r="EUP225" s="1311"/>
      <c r="EUQ225" s="1311"/>
      <c r="EUR225" s="1311"/>
      <c r="EUS225" s="1311"/>
      <c r="EUT225" s="1311"/>
      <c r="EUU225" s="1311"/>
      <c r="EUV225" s="1311"/>
      <c r="EUW225" s="1311"/>
      <c r="EUX225" s="1311"/>
      <c r="EUY225" s="1311"/>
      <c r="EUZ225" s="1311"/>
      <c r="EVA225" s="1311"/>
      <c r="EVB225" s="1311"/>
      <c r="EVC225" s="1311"/>
      <c r="EVD225" s="1311"/>
      <c r="EVE225" s="1311"/>
      <c r="EVF225" s="1311"/>
      <c r="EVG225" s="1311"/>
      <c r="EVH225" s="1311"/>
      <c r="EVI225" s="1311"/>
      <c r="EVJ225" s="1311"/>
      <c r="EVK225" s="1311"/>
      <c r="EVL225" s="1311"/>
      <c r="EVM225" s="1311"/>
      <c r="EVN225" s="1311"/>
      <c r="EVO225" s="1311"/>
      <c r="EVP225" s="1311"/>
      <c r="EVQ225" s="1311"/>
      <c r="EVR225" s="1311"/>
      <c r="EVS225" s="1311"/>
      <c r="EVT225" s="1311"/>
      <c r="EVU225" s="1311"/>
      <c r="EVV225" s="1311"/>
      <c r="EVW225" s="1311"/>
      <c r="EVX225" s="1311"/>
      <c r="EVY225" s="1311"/>
      <c r="EVZ225" s="1311"/>
      <c r="EWA225" s="1311"/>
      <c r="EWB225" s="1311"/>
      <c r="EWC225" s="1311"/>
      <c r="EWD225" s="1311"/>
      <c r="EWE225" s="1311"/>
      <c r="EWF225" s="1311"/>
      <c r="EWG225" s="1311"/>
      <c r="EWH225" s="1311"/>
      <c r="EWI225" s="1311"/>
      <c r="EWJ225" s="1311"/>
      <c r="EWK225" s="1311"/>
      <c r="EWL225" s="1311"/>
      <c r="EWM225" s="1311"/>
      <c r="EWN225" s="1311"/>
      <c r="EWO225" s="1311"/>
      <c r="EWP225" s="1311"/>
      <c r="EWQ225" s="1311"/>
      <c r="EWR225" s="1311"/>
      <c r="EWS225" s="1311"/>
      <c r="EWT225" s="1311"/>
      <c r="EWU225" s="1311"/>
      <c r="EWV225" s="1311"/>
      <c r="EWW225" s="1311"/>
      <c r="EWX225" s="1311"/>
      <c r="EWY225" s="1311"/>
      <c r="EWZ225" s="1311"/>
      <c r="EXA225" s="1311"/>
      <c r="EXB225" s="1311"/>
      <c r="EXC225" s="1311"/>
      <c r="EXD225" s="1311"/>
      <c r="EXE225" s="1311"/>
      <c r="EXF225" s="1311"/>
      <c r="EXG225" s="1311"/>
      <c r="EXH225" s="1311"/>
      <c r="EXI225" s="1311"/>
      <c r="EXJ225" s="1311"/>
      <c r="EXK225" s="1311"/>
      <c r="EXL225" s="1311"/>
      <c r="EXM225" s="1311"/>
      <c r="EXN225" s="1311"/>
      <c r="EXO225" s="1311"/>
      <c r="EXP225" s="1311"/>
      <c r="EXQ225" s="1311"/>
      <c r="EXR225" s="1311"/>
      <c r="EXS225" s="1311"/>
      <c r="EXT225" s="1311"/>
      <c r="EXU225" s="1311"/>
      <c r="EXV225" s="1311"/>
      <c r="EXW225" s="1311"/>
      <c r="EXX225" s="1311"/>
      <c r="EXY225" s="1311"/>
      <c r="EXZ225" s="1311"/>
      <c r="EYA225" s="1311"/>
      <c r="EYB225" s="1311"/>
      <c r="EYC225" s="1311"/>
      <c r="EYD225" s="1311"/>
      <c r="EYE225" s="1311"/>
      <c r="EYF225" s="1311"/>
      <c r="EYG225" s="1311"/>
      <c r="EYH225" s="1311"/>
      <c r="EYI225" s="1311"/>
      <c r="EYJ225" s="1311"/>
      <c r="EYK225" s="1311"/>
      <c r="EYL225" s="1311"/>
      <c r="EYM225" s="1311"/>
      <c r="EYN225" s="1311"/>
      <c r="EYO225" s="1311"/>
      <c r="EYP225" s="1311"/>
      <c r="EYQ225" s="1311"/>
      <c r="EYR225" s="1311"/>
      <c r="EYS225" s="1311"/>
      <c r="EYT225" s="1311"/>
      <c r="EYU225" s="1311"/>
      <c r="EYV225" s="1311"/>
      <c r="EYW225" s="1311"/>
      <c r="EYX225" s="1311"/>
      <c r="EYY225" s="1311"/>
      <c r="EYZ225" s="1311"/>
      <c r="EZA225" s="1311"/>
      <c r="EZB225" s="1311"/>
      <c r="EZC225" s="1311"/>
      <c r="EZD225" s="1311"/>
      <c r="EZE225" s="1311"/>
      <c r="EZF225" s="1311"/>
      <c r="EZG225" s="1311"/>
      <c r="EZH225" s="1311"/>
      <c r="EZI225" s="1311"/>
      <c r="EZJ225" s="1311"/>
      <c r="EZK225" s="1311"/>
      <c r="EZL225" s="1311"/>
      <c r="EZM225" s="1311"/>
      <c r="EZN225" s="1311"/>
      <c r="EZO225" s="1311"/>
      <c r="EZP225" s="1311"/>
      <c r="EZQ225" s="1311"/>
      <c r="EZR225" s="1311"/>
      <c r="EZS225" s="1311"/>
      <c r="EZT225" s="1311"/>
      <c r="EZU225" s="1311"/>
      <c r="EZV225" s="1311"/>
      <c r="EZW225" s="1311"/>
      <c r="EZX225" s="1311"/>
      <c r="EZY225" s="1311"/>
      <c r="EZZ225" s="1311"/>
      <c r="FAA225" s="1311"/>
      <c r="FAB225" s="1311"/>
      <c r="FAC225" s="1311"/>
      <c r="FAD225" s="1311"/>
      <c r="FAE225" s="1311"/>
      <c r="FAF225" s="1311"/>
      <c r="FAG225" s="1311"/>
      <c r="FAH225" s="1311"/>
      <c r="FAI225" s="1311"/>
      <c r="FAJ225" s="1311"/>
      <c r="FAK225" s="1311"/>
      <c r="FAL225" s="1311"/>
      <c r="FAM225" s="1311"/>
      <c r="FAN225" s="1311"/>
      <c r="FAO225" s="1311"/>
      <c r="FAP225" s="1311"/>
      <c r="FAQ225" s="1311"/>
      <c r="FAR225" s="1311"/>
      <c r="FAS225" s="1311"/>
      <c r="FAT225" s="1311"/>
      <c r="FAU225" s="1311"/>
      <c r="FAV225" s="1311"/>
      <c r="FAW225" s="1311"/>
      <c r="FAX225" s="1311"/>
      <c r="FAY225" s="1311"/>
      <c r="FAZ225" s="1311"/>
      <c r="FBA225" s="1311"/>
      <c r="FBB225" s="1311"/>
      <c r="FBC225" s="1311"/>
      <c r="FBD225" s="1311"/>
      <c r="FBE225" s="1311"/>
      <c r="FBF225" s="1311"/>
      <c r="FBG225" s="1311"/>
      <c r="FBH225" s="1311"/>
      <c r="FBI225" s="1311"/>
      <c r="FBJ225" s="1311"/>
      <c r="FBK225" s="1311"/>
      <c r="FBL225" s="1311"/>
      <c r="FBM225" s="1311"/>
      <c r="FBN225" s="1311"/>
      <c r="FBO225" s="1311"/>
      <c r="FBP225" s="1311"/>
      <c r="FBQ225" s="1311"/>
      <c r="FBR225" s="1311"/>
      <c r="FBS225" s="1311"/>
      <c r="FBT225" s="1311"/>
      <c r="FBU225" s="1311"/>
      <c r="FBV225" s="1311"/>
      <c r="FBW225" s="1311"/>
      <c r="FBX225" s="1311"/>
      <c r="FBY225" s="1311"/>
      <c r="FBZ225" s="1311"/>
      <c r="FCA225" s="1311"/>
      <c r="FCB225" s="1311"/>
      <c r="FCC225" s="1311"/>
      <c r="FCD225" s="1311"/>
      <c r="FCE225" s="1311"/>
      <c r="FCF225" s="1311"/>
      <c r="FCG225" s="1311"/>
      <c r="FCH225" s="1311"/>
      <c r="FCI225" s="1311"/>
      <c r="FCJ225" s="1311"/>
      <c r="FCK225" s="1311"/>
      <c r="FCL225" s="1311"/>
      <c r="FCM225" s="1311"/>
      <c r="FCN225" s="1311"/>
      <c r="FCO225" s="1311"/>
      <c r="FCP225" s="1311"/>
      <c r="FCQ225" s="1311"/>
      <c r="FCR225" s="1311"/>
      <c r="FCS225" s="1311"/>
      <c r="FCT225" s="1311"/>
      <c r="FCU225" s="1311"/>
      <c r="FCV225" s="1311"/>
      <c r="FCW225" s="1311"/>
      <c r="FCX225" s="1311"/>
      <c r="FCY225" s="1311"/>
      <c r="FCZ225" s="1311"/>
      <c r="FDA225" s="1311"/>
      <c r="FDB225" s="1311"/>
      <c r="FDC225" s="1311"/>
      <c r="FDD225" s="1311"/>
      <c r="FDE225" s="1311"/>
      <c r="FDF225" s="1311"/>
      <c r="FDG225" s="1311"/>
      <c r="FDH225" s="1311"/>
      <c r="FDI225" s="1311"/>
      <c r="FDJ225" s="1311"/>
      <c r="FDK225" s="1311"/>
      <c r="FDL225" s="1311"/>
      <c r="FDM225" s="1311"/>
      <c r="FDN225" s="1311"/>
      <c r="FDO225" s="1311"/>
      <c r="FDP225" s="1311"/>
      <c r="FDQ225" s="1311"/>
      <c r="FDR225" s="1311"/>
      <c r="FDS225" s="1311"/>
      <c r="FDT225" s="1311"/>
      <c r="FDU225" s="1311"/>
      <c r="FDV225" s="1311"/>
      <c r="FDW225" s="1311"/>
      <c r="FDX225" s="1311"/>
      <c r="FDY225" s="1311"/>
      <c r="FDZ225" s="1311"/>
      <c r="FEA225" s="1311"/>
      <c r="FEB225" s="1311"/>
      <c r="FEC225" s="1311"/>
      <c r="FED225" s="1311"/>
      <c r="FEE225" s="1311"/>
      <c r="FEF225" s="1311"/>
      <c r="FEG225" s="1311"/>
      <c r="FEH225" s="1311"/>
      <c r="FEI225" s="1311"/>
      <c r="FEJ225" s="1311"/>
      <c r="FEK225" s="1311"/>
      <c r="FEL225" s="1311"/>
      <c r="FEM225" s="1311"/>
      <c r="FEN225" s="1311"/>
      <c r="FEO225" s="1311"/>
      <c r="FEP225" s="1311"/>
      <c r="FEQ225" s="1311"/>
      <c r="FER225" s="1311"/>
      <c r="FES225" s="1311"/>
      <c r="FET225" s="1311"/>
      <c r="FEU225" s="1311"/>
      <c r="FEV225" s="1311"/>
      <c r="FEW225" s="1311"/>
      <c r="FEX225" s="1311"/>
      <c r="FEY225" s="1311"/>
      <c r="FEZ225" s="1311"/>
      <c r="FFA225" s="1311"/>
      <c r="FFB225" s="1311"/>
      <c r="FFC225" s="1311"/>
      <c r="FFD225" s="1311"/>
      <c r="FFE225" s="1311"/>
      <c r="FFF225" s="1311"/>
      <c r="FFG225" s="1311"/>
      <c r="FFH225" s="1311"/>
      <c r="FFI225" s="1311"/>
      <c r="FFJ225" s="1311"/>
      <c r="FFK225" s="1311"/>
      <c r="FFL225" s="1311"/>
      <c r="FFM225" s="1311"/>
      <c r="FFN225" s="1311"/>
      <c r="FFO225" s="1311"/>
      <c r="FFP225" s="1311"/>
      <c r="FFQ225" s="1311"/>
      <c r="FFR225" s="1311"/>
      <c r="FFS225" s="1311"/>
      <c r="FFT225" s="1311"/>
      <c r="FFU225" s="1311"/>
      <c r="FFV225" s="1311"/>
      <c r="FFW225" s="1311"/>
      <c r="FFX225" s="1311"/>
      <c r="FFY225" s="1311"/>
      <c r="FFZ225" s="1311"/>
      <c r="FGA225" s="1311"/>
      <c r="FGB225" s="1311"/>
      <c r="FGC225" s="1311"/>
      <c r="FGD225" s="1311"/>
      <c r="FGE225" s="1311"/>
      <c r="FGF225" s="1311"/>
      <c r="FGG225" s="1311"/>
      <c r="FGH225" s="1311"/>
      <c r="FGI225" s="1311"/>
      <c r="FGJ225" s="1311"/>
      <c r="FGK225" s="1311"/>
      <c r="FGL225" s="1311"/>
      <c r="FGM225" s="1311"/>
      <c r="FGN225" s="1311"/>
      <c r="FGO225" s="1311"/>
      <c r="FGP225" s="1311"/>
      <c r="FGQ225" s="1311"/>
      <c r="FGR225" s="1311"/>
      <c r="FGS225" s="1311"/>
      <c r="FGT225" s="1311"/>
      <c r="FGU225" s="1311"/>
      <c r="FGV225" s="1311"/>
      <c r="FGW225" s="1311"/>
      <c r="FGX225" s="1311"/>
      <c r="FGY225" s="1311"/>
      <c r="FGZ225" s="1311"/>
      <c r="FHA225" s="1311"/>
      <c r="FHB225" s="1311"/>
      <c r="FHC225" s="1311"/>
      <c r="FHD225" s="1311"/>
      <c r="FHE225" s="1311"/>
      <c r="FHF225" s="1311"/>
      <c r="FHG225" s="1311"/>
      <c r="FHH225" s="1311"/>
      <c r="FHI225" s="1311"/>
      <c r="FHJ225" s="1311"/>
      <c r="FHK225" s="1311"/>
      <c r="FHL225" s="1311"/>
      <c r="FHM225" s="1311"/>
      <c r="FHN225" s="1311"/>
      <c r="FHO225" s="1311"/>
      <c r="FHP225" s="1311"/>
      <c r="FHQ225" s="1311"/>
      <c r="FHR225" s="1311"/>
      <c r="FHS225" s="1311"/>
      <c r="FHT225" s="1311"/>
      <c r="FHU225" s="1311"/>
      <c r="FHV225" s="1311"/>
      <c r="FHW225" s="1311"/>
      <c r="FHX225" s="1311"/>
      <c r="FHY225" s="1311"/>
      <c r="FHZ225" s="1311"/>
      <c r="FIA225" s="1311"/>
      <c r="FIB225" s="1311"/>
      <c r="FIC225" s="1311"/>
      <c r="FID225" s="1311"/>
      <c r="FIE225" s="1311"/>
      <c r="FIF225" s="1311"/>
      <c r="FIG225" s="1311"/>
      <c r="FIH225" s="1311"/>
      <c r="FII225" s="1311"/>
      <c r="FIJ225" s="1311"/>
      <c r="FIK225" s="1311"/>
      <c r="FIL225" s="1311"/>
      <c r="FIM225" s="1311"/>
      <c r="FIN225" s="1311"/>
      <c r="FIO225" s="1311"/>
      <c r="FIP225" s="1311"/>
      <c r="FIQ225" s="1311"/>
      <c r="FIR225" s="1311"/>
      <c r="FIS225" s="1311"/>
      <c r="FIT225" s="1311"/>
      <c r="FIU225" s="1311"/>
      <c r="FIV225" s="1311"/>
      <c r="FIW225" s="1311"/>
      <c r="FIX225" s="1311"/>
      <c r="FIY225" s="1311"/>
      <c r="FIZ225" s="1311"/>
      <c r="FJA225" s="1311"/>
      <c r="FJB225" s="1311"/>
      <c r="FJC225" s="1311"/>
      <c r="FJD225" s="1311"/>
      <c r="FJE225" s="1311"/>
      <c r="FJF225" s="1311"/>
      <c r="FJG225" s="1311"/>
      <c r="FJH225" s="1311"/>
      <c r="FJI225" s="1311"/>
      <c r="FJJ225" s="1311"/>
      <c r="FJK225" s="1311"/>
      <c r="FJL225" s="1311"/>
      <c r="FJM225" s="1311"/>
      <c r="FJN225" s="1311"/>
      <c r="FJO225" s="1311"/>
      <c r="FJP225" s="1311"/>
      <c r="FJQ225" s="1311"/>
      <c r="FJR225" s="1311"/>
      <c r="FJS225" s="1311"/>
      <c r="FJT225" s="1311"/>
      <c r="FJU225" s="1311"/>
      <c r="FJV225" s="1311"/>
      <c r="FJW225" s="1311"/>
      <c r="FJX225" s="1311"/>
      <c r="FJY225" s="1311"/>
      <c r="FJZ225" s="1311"/>
      <c r="FKA225" s="1311"/>
      <c r="FKB225" s="1311"/>
      <c r="FKC225" s="1311"/>
      <c r="FKD225" s="1311"/>
      <c r="FKE225" s="1311"/>
      <c r="FKF225" s="1311"/>
      <c r="FKG225" s="1311"/>
      <c r="FKH225" s="1311"/>
      <c r="FKI225" s="1311"/>
      <c r="FKJ225" s="1311"/>
      <c r="FKK225" s="1311"/>
      <c r="FKL225" s="1311"/>
      <c r="FKM225" s="1311"/>
      <c r="FKN225" s="1311"/>
      <c r="FKO225" s="1311"/>
      <c r="FKP225" s="1311"/>
      <c r="FKQ225" s="1311"/>
      <c r="FKR225" s="1311"/>
      <c r="FKS225" s="1311"/>
      <c r="FKT225" s="1311"/>
      <c r="FKU225" s="1311"/>
      <c r="FKV225" s="1311"/>
      <c r="FKW225" s="1311"/>
      <c r="FKX225" s="1311"/>
      <c r="FKY225" s="1311"/>
      <c r="FKZ225" s="1311"/>
      <c r="FLA225" s="1311"/>
      <c r="FLB225" s="1311"/>
      <c r="FLC225" s="1311"/>
      <c r="FLD225" s="1311"/>
      <c r="FLE225" s="1311"/>
      <c r="FLF225" s="1311"/>
      <c r="FLG225" s="1311"/>
      <c r="FLH225" s="1311"/>
      <c r="FLI225" s="1311"/>
      <c r="FLJ225" s="1311"/>
      <c r="FLK225" s="1311"/>
      <c r="FLL225" s="1311"/>
      <c r="FLM225" s="1311"/>
      <c r="FLN225" s="1311"/>
      <c r="FLO225" s="1311"/>
      <c r="FLP225" s="1311"/>
      <c r="FLQ225" s="1311"/>
      <c r="FLR225" s="1311"/>
      <c r="FLS225" s="1311"/>
      <c r="FLT225" s="1311"/>
      <c r="FLU225" s="1311"/>
      <c r="FLV225" s="1311"/>
      <c r="FLW225" s="1311"/>
      <c r="FLX225" s="1311"/>
      <c r="FLY225" s="1311"/>
      <c r="FLZ225" s="1311"/>
      <c r="FMA225" s="1311"/>
      <c r="FMB225" s="1311"/>
      <c r="FMC225" s="1311"/>
      <c r="FMD225" s="1311"/>
      <c r="FME225" s="1311"/>
      <c r="FMF225" s="1311"/>
      <c r="FMG225" s="1311"/>
      <c r="FMH225" s="1311"/>
      <c r="FMI225" s="1311"/>
      <c r="FMJ225" s="1311"/>
      <c r="FMK225" s="1311"/>
      <c r="FML225" s="1311"/>
      <c r="FMM225" s="1311"/>
      <c r="FMN225" s="1311"/>
      <c r="FMO225" s="1311"/>
      <c r="FMP225" s="1311"/>
      <c r="FMQ225" s="1311"/>
      <c r="FMR225" s="1311"/>
      <c r="FMS225" s="1311"/>
      <c r="FMT225" s="1311"/>
      <c r="FMU225" s="1311"/>
      <c r="FMV225" s="1311"/>
      <c r="FMW225" s="1311"/>
      <c r="FMX225" s="1311"/>
      <c r="FMY225" s="1311"/>
      <c r="FMZ225" s="1311"/>
      <c r="FNA225" s="1311"/>
      <c r="FNB225" s="1311"/>
      <c r="FNC225" s="1311"/>
      <c r="FND225" s="1311"/>
      <c r="FNE225" s="1311"/>
      <c r="FNF225" s="1311"/>
      <c r="FNG225" s="1311"/>
      <c r="FNH225" s="1311"/>
      <c r="FNI225" s="1311"/>
      <c r="FNJ225" s="1311"/>
      <c r="FNK225" s="1311"/>
      <c r="FNL225" s="1311"/>
      <c r="FNM225" s="1311"/>
      <c r="FNN225" s="1311"/>
      <c r="FNO225" s="1311"/>
      <c r="FNP225" s="1311"/>
      <c r="FNQ225" s="1311"/>
      <c r="FNR225" s="1311"/>
      <c r="FNS225" s="1311"/>
      <c r="FNT225" s="1311"/>
      <c r="FNU225" s="1311"/>
      <c r="FNV225" s="1311"/>
      <c r="FNW225" s="1311"/>
      <c r="FNX225" s="1311"/>
      <c r="FNY225" s="1311"/>
      <c r="FNZ225" s="1311"/>
      <c r="FOA225" s="1311"/>
      <c r="FOB225" s="1311"/>
      <c r="FOC225" s="1311"/>
      <c r="FOD225" s="1311"/>
      <c r="FOE225" s="1311"/>
      <c r="FOF225" s="1311"/>
      <c r="FOG225" s="1311"/>
      <c r="FOH225" s="1311"/>
      <c r="FOI225" s="1311"/>
      <c r="FOJ225" s="1311"/>
      <c r="FOK225" s="1311"/>
      <c r="FOL225" s="1311"/>
      <c r="FOM225" s="1311"/>
      <c r="FON225" s="1311"/>
      <c r="FOO225" s="1311"/>
      <c r="FOP225" s="1311"/>
      <c r="FOQ225" s="1311"/>
      <c r="FOR225" s="1311"/>
      <c r="FOS225" s="1311"/>
      <c r="FOT225" s="1311"/>
      <c r="FOU225" s="1311"/>
      <c r="FOV225" s="1311"/>
      <c r="FOW225" s="1311"/>
      <c r="FOX225" s="1311"/>
      <c r="FOY225" s="1311"/>
      <c r="FOZ225" s="1311"/>
      <c r="FPA225" s="1311"/>
      <c r="FPB225" s="1311"/>
      <c r="FPC225" s="1311"/>
      <c r="FPD225" s="1311"/>
      <c r="FPE225" s="1311"/>
      <c r="FPF225" s="1311"/>
      <c r="FPG225" s="1311"/>
      <c r="FPH225" s="1311"/>
      <c r="FPI225" s="1311"/>
      <c r="FPJ225" s="1311"/>
      <c r="FPK225" s="1311"/>
      <c r="FPL225" s="1311"/>
      <c r="FPM225" s="1311"/>
      <c r="FPN225" s="1311"/>
      <c r="FPO225" s="1311"/>
      <c r="FPP225" s="1311"/>
      <c r="FPQ225" s="1311"/>
      <c r="FPR225" s="1311"/>
      <c r="FPS225" s="1311"/>
      <c r="FPT225" s="1311"/>
      <c r="FPU225" s="1311"/>
      <c r="FPV225" s="1311"/>
      <c r="FPW225" s="1311"/>
      <c r="FPX225" s="1311"/>
      <c r="FPY225" s="1311"/>
      <c r="FPZ225" s="1311"/>
      <c r="FQA225" s="1311"/>
      <c r="FQB225" s="1311"/>
      <c r="FQC225" s="1311"/>
      <c r="FQD225" s="1311"/>
      <c r="FQE225" s="1311"/>
      <c r="FQF225" s="1311"/>
      <c r="FQG225" s="1311"/>
      <c r="FQH225" s="1311"/>
      <c r="FQI225" s="1311"/>
      <c r="FQJ225" s="1311"/>
      <c r="FQK225" s="1311"/>
      <c r="FQL225" s="1311"/>
      <c r="FQM225" s="1311"/>
      <c r="FQN225" s="1311"/>
      <c r="FQO225" s="1311"/>
      <c r="FQP225" s="1311"/>
      <c r="FQQ225" s="1311"/>
      <c r="FQR225" s="1311"/>
      <c r="FQS225" s="1311"/>
      <c r="FQT225" s="1311"/>
      <c r="FQU225" s="1311"/>
      <c r="FQV225" s="1311"/>
      <c r="FQW225" s="1311"/>
      <c r="FQX225" s="1311"/>
      <c r="FQY225" s="1311"/>
      <c r="FQZ225" s="1311"/>
      <c r="FRA225" s="1311"/>
      <c r="FRB225" s="1311"/>
      <c r="FRC225" s="1311"/>
      <c r="FRD225" s="1311"/>
      <c r="FRE225" s="1311"/>
      <c r="FRF225" s="1311"/>
      <c r="FRG225" s="1311"/>
      <c r="FRH225" s="1311"/>
      <c r="FRI225" s="1311"/>
      <c r="FRJ225" s="1311"/>
      <c r="FRK225" s="1311"/>
      <c r="FRL225" s="1311"/>
      <c r="FRM225" s="1311"/>
      <c r="FRN225" s="1311"/>
      <c r="FRO225" s="1311"/>
      <c r="FRP225" s="1311"/>
      <c r="FRQ225" s="1311"/>
      <c r="FRR225" s="1311"/>
      <c r="FRS225" s="1311"/>
      <c r="FRT225" s="1311"/>
      <c r="FRU225" s="1311"/>
      <c r="FRV225" s="1311"/>
      <c r="FRW225" s="1311"/>
      <c r="FRX225" s="1311"/>
      <c r="FRY225" s="1311"/>
      <c r="FRZ225" s="1311"/>
      <c r="FSA225" s="1311"/>
      <c r="FSB225" s="1311"/>
      <c r="FSC225" s="1311"/>
      <c r="FSD225" s="1311"/>
      <c r="FSE225" s="1311"/>
      <c r="FSF225" s="1311"/>
      <c r="FSG225" s="1311"/>
      <c r="FSH225" s="1311"/>
      <c r="FSI225" s="1311"/>
      <c r="FSJ225" s="1311"/>
      <c r="FSK225" s="1311"/>
      <c r="FSL225" s="1311"/>
      <c r="FSM225" s="1311"/>
      <c r="FSN225" s="1311"/>
      <c r="FSO225" s="1311"/>
      <c r="FSP225" s="1311"/>
      <c r="FSQ225" s="1311"/>
      <c r="FSR225" s="1311"/>
      <c r="FSS225" s="1311"/>
      <c r="FST225" s="1311"/>
      <c r="FSU225" s="1311"/>
      <c r="FSV225" s="1311"/>
      <c r="FSW225" s="1311"/>
      <c r="FSX225" s="1311"/>
      <c r="FSY225" s="1311"/>
      <c r="FSZ225" s="1311"/>
      <c r="FTA225" s="1311"/>
      <c r="FTB225" s="1311"/>
      <c r="FTC225" s="1311"/>
      <c r="FTD225" s="1311"/>
      <c r="FTE225" s="1311"/>
      <c r="FTF225" s="1311"/>
      <c r="FTG225" s="1311"/>
      <c r="FTH225" s="1311"/>
      <c r="FTI225" s="1311"/>
      <c r="FTJ225" s="1311"/>
      <c r="FTK225" s="1311"/>
      <c r="FTL225" s="1311"/>
      <c r="FTM225" s="1311"/>
      <c r="FTN225" s="1311"/>
      <c r="FTO225" s="1311"/>
      <c r="FTP225" s="1311"/>
      <c r="FTQ225" s="1311"/>
      <c r="FTR225" s="1311"/>
      <c r="FTS225" s="1311"/>
      <c r="FTT225" s="1311"/>
      <c r="FTU225" s="1311"/>
      <c r="FTV225" s="1311"/>
      <c r="FTW225" s="1311"/>
      <c r="FTX225" s="1311"/>
      <c r="FTY225" s="1311"/>
      <c r="FTZ225" s="1311"/>
      <c r="FUA225" s="1311"/>
      <c r="FUB225" s="1311"/>
      <c r="FUC225" s="1311"/>
      <c r="FUD225" s="1311"/>
      <c r="FUE225" s="1311"/>
      <c r="FUF225" s="1311"/>
      <c r="FUG225" s="1311"/>
      <c r="FUH225" s="1311"/>
      <c r="FUI225" s="1311"/>
      <c r="FUJ225" s="1311"/>
      <c r="FUK225" s="1311"/>
      <c r="FUL225" s="1311"/>
      <c r="FUM225" s="1311"/>
      <c r="FUN225" s="1311"/>
      <c r="FUO225" s="1311"/>
      <c r="FUP225" s="1311"/>
      <c r="FUQ225" s="1311"/>
      <c r="FUR225" s="1311"/>
      <c r="FUS225" s="1311"/>
      <c r="FUT225" s="1311"/>
      <c r="FUU225" s="1311"/>
      <c r="FUV225" s="1311"/>
      <c r="FUW225" s="1311"/>
      <c r="FUX225" s="1311"/>
      <c r="FUY225" s="1311"/>
      <c r="FUZ225" s="1311"/>
      <c r="FVA225" s="1311"/>
      <c r="FVB225" s="1311"/>
      <c r="FVC225" s="1311"/>
      <c r="FVD225" s="1311"/>
      <c r="FVE225" s="1311"/>
      <c r="FVF225" s="1311"/>
      <c r="FVG225" s="1311"/>
      <c r="FVH225" s="1311"/>
      <c r="FVI225" s="1311"/>
      <c r="FVJ225" s="1311"/>
      <c r="FVK225" s="1311"/>
      <c r="FVL225" s="1311"/>
      <c r="FVM225" s="1311"/>
      <c r="FVN225" s="1311"/>
      <c r="FVO225" s="1311"/>
      <c r="FVP225" s="1311"/>
      <c r="FVQ225" s="1311"/>
      <c r="FVR225" s="1311"/>
      <c r="FVS225" s="1311"/>
      <c r="FVT225" s="1311"/>
      <c r="FVU225" s="1311"/>
      <c r="FVV225" s="1311"/>
      <c r="FVW225" s="1311"/>
      <c r="FVX225" s="1311"/>
      <c r="FVY225" s="1311"/>
      <c r="FVZ225" s="1311"/>
      <c r="FWA225" s="1311"/>
      <c r="FWB225" s="1311"/>
      <c r="FWC225" s="1311"/>
      <c r="FWD225" s="1311"/>
      <c r="FWE225" s="1311"/>
      <c r="FWF225" s="1311"/>
      <c r="FWG225" s="1311"/>
      <c r="FWH225" s="1311"/>
      <c r="FWI225" s="1311"/>
      <c r="FWJ225" s="1311"/>
      <c r="FWK225" s="1311"/>
      <c r="FWL225" s="1311"/>
      <c r="FWM225" s="1311"/>
      <c r="FWN225" s="1311"/>
      <c r="FWO225" s="1311"/>
      <c r="FWP225" s="1311"/>
      <c r="FWQ225" s="1311"/>
      <c r="FWR225" s="1311"/>
      <c r="FWS225" s="1311"/>
      <c r="FWT225" s="1311"/>
      <c r="FWU225" s="1311"/>
      <c r="FWV225" s="1311"/>
      <c r="FWW225" s="1311"/>
      <c r="FWX225" s="1311"/>
      <c r="FWY225" s="1311"/>
      <c r="FWZ225" s="1311"/>
      <c r="FXA225" s="1311"/>
      <c r="FXB225" s="1311"/>
      <c r="FXC225" s="1311"/>
      <c r="FXD225" s="1311"/>
      <c r="FXE225" s="1311"/>
      <c r="FXF225" s="1311"/>
      <c r="FXG225" s="1311"/>
      <c r="FXH225" s="1311"/>
      <c r="FXI225" s="1311"/>
      <c r="FXJ225" s="1311"/>
      <c r="FXK225" s="1311"/>
      <c r="FXL225" s="1311"/>
      <c r="FXM225" s="1311"/>
      <c r="FXN225" s="1311"/>
      <c r="FXO225" s="1311"/>
      <c r="FXP225" s="1311"/>
      <c r="FXQ225" s="1311"/>
      <c r="FXR225" s="1311"/>
      <c r="FXS225" s="1311"/>
      <c r="FXT225" s="1311"/>
      <c r="FXU225" s="1311"/>
      <c r="FXV225" s="1311"/>
      <c r="FXW225" s="1311"/>
      <c r="FXX225" s="1311"/>
      <c r="FXY225" s="1311"/>
      <c r="FXZ225" s="1311"/>
      <c r="FYA225" s="1311"/>
      <c r="FYB225" s="1311"/>
      <c r="FYC225" s="1311"/>
      <c r="FYD225" s="1311"/>
      <c r="FYE225" s="1311"/>
      <c r="FYF225" s="1311"/>
      <c r="FYG225" s="1311"/>
      <c r="FYH225" s="1311"/>
      <c r="FYI225" s="1311"/>
      <c r="FYJ225" s="1311"/>
      <c r="FYK225" s="1311"/>
      <c r="FYL225" s="1311"/>
      <c r="FYM225" s="1311"/>
      <c r="FYN225" s="1311"/>
      <c r="FYO225" s="1311"/>
      <c r="FYP225" s="1311"/>
      <c r="FYQ225" s="1311"/>
      <c r="FYR225" s="1311"/>
      <c r="FYS225" s="1311"/>
      <c r="FYT225" s="1311"/>
      <c r="FYU225" s="1311"/>
      <c r="FYV225" s="1311"/>
      <c r="FYW225" s="1311"/>
      <c r="FYX225" s="1311"/>
      <c r="FYY225" s="1311"/>
      <c r="FYZ225" s="1311"/>
      <c r="FZA225" s="1311"/>
      <c r="FZB225" s="1311"/>
      <c r="FZC225" s="1311"/>
      <c r="FZD225" s="1311"/>
      <c r="FZE225" s="1311"/>
      <c r="FZF225" s="1311"/>
      <c r="FZG225" s="1311"/>
      <c r="FZH225" s="1311"/>
      <c r="FZI225" s="1311"/>
      <c r="FZJ225" s="1311"/>
      <c r="FZK225" s="1311"/>
      <c r="FZL225" s="1311"/>
      <c r="FZM225" s="1311"/>
      <c r="FZN225" s="1311"/>
      <c r="FZO225" s="1311"/>
      <c r="FZP225" s="1311"/>
      <c r="FZQ225" s="1311"/>
      <c r="FZR225" s="1311"/>
      <c r="FZS225" s="1311"/>
      <c r="FZT225" s="1311"/>
      <c r="FZU225" s="1311"/>
      <c r="FZV225" s="1311"/>
      <c r="FZW225" s="1311"/>
      <c r="FZX225" s="1311"/>
      <c r="FZY225" s="1311"/>
      <c r="FZZ225" s="1311"/>
      <c r="GAA225" s="1311"/>
      <c r="GAB225" s="1311"/>
      <c r="GAC225" s="1311"/>
      <c r="GAD225" s="1311"/>
      <c r="GAE225" s="1311"/>
      <c r="GAF225" s="1311"/>
      <c r="GAG225" s="1311"/>
      <c r="GAH225" s="1311"/>
      <c r="GAI225" s="1311"/>
      <c r="GAJ225" s="1311"/>
      <c r="GAK225" s="1311"/>
      <c r="GAL225" s="1311"/>
      <c r="GAM225" s="1311"/>
      <c r="GAN225" s="1311"/>
      <c r="GAO225" s="1311"/>
      <c r="GAP225" s="1311"/>
      <c r="GAQ225" s="1311"/>
      <c r="GAR225" s="1311"/>
      <c r="GAS225" s="1311"/>
      <c r="GAT225" s="1311"/>
      <c r="GAU225" s="1311"/>
      <c r="GAV225" s="1311"/>
      <c r="GAW225" s="1311"/>
      <c r="GAX225" s="1311"/>
      <c r="GAY225" s="1311"/>
      <c r="GAZ225" s="1311"/>
      <c r="GBA225" s="1311"/>
      <c r="GBB225" s="1311"/>
      <c r="GBC225" s="1311"/>
      <c r="GBD225" s="1311"/>
      <c r="GBE225" s="1311"/>
      <c r="GBF225" s="1311"/>
      <c r="GBG225" s="1311"/>
      <c r="GBH225" s="1311"/>
      <c r="GBI225" s="1311"/>
      <c r="GBJ225" s="1311"/>
      <c r="GBK225" s="1311"/>
      <c r="GBL225" s="1311"/>
      <c r="GBM225" s="1311"/>
      <c r="GBN225" s="1311"/>
      <c r="GBO225" s="1311"/>
      <c r="GBP225" s="1311"/>
      <c r="GBQ225" s="1311"/>
      <c r="GBR225" s="1311"/>
      <c r="GBS225" s="1311"/>
      <c r="GBT225" s="1311"/>
      <c r="GBU225" s="1311"/>
      <c r="GBV225" s="1311"/>
      <c r="GBW225" s="1311"/>
      <c r="GBX225" s="1311"/>
      <c r="GBY225" s="1311"/>
      <c r="GBZ225" s="1311"/>
      <c r="GCA225" s="1311"/>
      <c r="GCB225" s="1311"/>
      <c r="GCC225" s="1311"/>
      <c r="GCD225" s="1311"/>
      <c r="GCE225" s="1311"/>
      <c r="GCF225" s="1311"/>
      <c r="GCG225" s="1311"/>
      <c r="GCH225" s="1311"/>
      <c r="GCI225" s="1311"/>
      <c r="GCJ225" s="1311"/>
      <c r="GCK225" s="1311"/>
      <c r="GCL225" s="1311"/>
      <c r="GCM225" s="1311"/>
      <c r="GCN225" s="1311"/>
      <c r="GCO225" s="1311"/>
      <c r="GCP225" s="1311"/>
      <c r="GCQ225" s="1311"/>
      <c r="GCR225" s="1311"/>
      <c r="GCS225" s="1311"/>
      <c r="GCT225" s="1311"/>
      <c r="GCU225" s="1311"/>
      <c r="GCV225" s="1311"/>
      <c r="GCW225" s="1311"/>
      <c r="GCX225" s="1311"/>
      <c r="GCY225" s="1311"/>
      <c r="GCZ225" s="1311"/>
      <c r="GDA225" s="1311"/>
      <c r="GDB225" s="1311"/>
      <c r="GDC225" s="1311"/>
      <c r="GDD225" s="1311"/>
      <c r="GDE225" s="1311"/>
      <c r="GDF225" s="1311"/>
      <c r="GDG225" s="1311"/>
      <c r="GDH225" s="1311"/>
      <c r="GDI225" s="1311"/>
      <c r="GDJ225" s="1311"/>
      <c r="GDK225" s="1311"/>
      <c r="GDL225" s="1311"/>
      <c r="GDM225" s="1311"/>
      <c r="GDN225" s="1311"/>
      <c r="GDO225" s="1311"/>
      <c r="GDP225" s="1311"/>
      <c r="GDQ225" s="1311"/>
      <c r="GDR225" s="1311"/>
      <c r="GDS225" s="1311"/>
      <c r="GDT225" s="1311"/>
      <c r="GDU225" s="1311"/>
      <c r="GDV225" s="1311"/>
      <c r="GDW225" s="1311"/>
      <c r="GDX225" s="1311"/>
      <c r="GDY225" s="1311"/>
      <c r="GDZ225" s="1311"/>
      <c r="GEA225" s="1311"/>
      <c r="GEB225" s="1311"/>
      <c r="GEC225" s="1311"/>
      <c r="GED225" s="1311"/>
      <c r="GEE225" s="1311"/>
      <c r="GEF225" s="1311"/>
      <c r="GEG225" s="1311"/>
      <c r="GEH225" s="1311"/>
      <c r="GEI225" s="1311"/>
      <c r="GEJ225" s="1311"/>
      <c r="GEK225" s="1311"/>
      <c r="GEL225" s="1311"/>
      <c r="GEM225" s="1311"/>
      <c r="GEN225" s="1311"/>
      <c r="GEO225" s="1311"/>
      <c r="GEP225" s="1311"/>
      <c r="GEQ225" s="1311"/>
      <c r="GER225" s="1311"/>
      <c r="GES225" s="1311"/>
      <c r="GET225" s="1311"/>
      <c r="GEU225" s="1311"/>
      <c r="GEV225" s="1311"/>
      <c r="GEW225" s="1311"/>
      <c r="GEX225" s="1311"/>
      <c r="GEY225" s="1311"/>
      <c r="GEZ225" s="1311"/>
      <c r="GFA225" s="1311"/>
      <c r="GFB225" s="1311"/>
      <c r="GFC225" s="1311"/>
      <c r="GFD225" s="1311"/>
      <c r="GFE225" s="1311"/>
      <c r="GFF225" s="1311"/>
      <c r="GFG225" s="1311"/>
      <c r="GFH225" s="1311"/>
      <c r="GFI225" s="1311"/>
      <c r="GFJ225" s="1311"/>
      <c r="GFK225" s="1311"/>
      <c r="GFL225" s="1311"/>
      <c r="GFM225" s="1311"/>
      <c r="GFN225" s="1311"/>
      <c r="GFO225" s="1311"/>
      <c r="GFP225" s="1311"/>
      <c r="GFQ225" s="1311"/>
      <c r="GFR225" s="1311"/>
      <c r="GFS225" s="1311"/>
      <c r="GFT225" s="1311"/>
      <c r="GFU225" s="1311"/>
      <c r="GFV225" s="1311"/>
      <c r="GFW225" s="1311"/>
      <c r="GFX225" s="1311"/>
      <c r="GFY225" s="1311"/>
      <c r="GFZ225" s="1311"/>
      <c r="GGA225" s="1311"/>
      <c r="GGB225" s="1311"/>
      <c r="GGC225" s="1311"/>
      <c r="GGD225" s="1311"/>
      <c r="GGE225" s="1311"/>
      <c r="GGF225" s="1311"/>
      <c r="GGG225" s="1311"/>
      <c r="GGH225" s="1311"/>
      <c r="GGI225" s="1311"/>
      <c r="GGJ225" s="1311"/>
      <c r="GGK225" s="1311"/>
      <c r="GGL225" s="1311"/>
      <c r="GGM225" s="1311"/>
      <c r="GGN225" s="1311"/>
      <c r="GGO225" s="1311"/>
      <c r="GGP225" s="1311"/>
      <c r="GGQ225" s="1311"/>
      <c r="GGR225" s="1311"/>
      <c r="GGS225" s="1311"/>
      <c r="GGT225" s="1311"/>
      <c r="GGU225" s="1311"/>
      <c r="GGV225" s="1311"/>
      <c r="GGW225" s="1311"/>
      <c r="GGX225" s="1311"/>
      <c r="GGY225" s="1311"/>
      <c r="GGZ225" s="1311"/>
      <c r="GHA225" s="1311"/>
      <c r="GHB225" s="1311"/>
      <c r="GHC225" s="1311"/>
      <c r="GHD225" s="1311"/>
      <c r="GHE225" s="1311"/>
      <c r="GHF225" s="1311"/>
      <c r="GHG225" s="1311"/>
      <c r="GHH225" s="1311"/>
      <c r="GHI225" s="1311"/>
      <c r="GHJ225" s="1311"/>
      <c r="GHK225" s="1311"/>
      <c r="GHL225" s="1311"/>
      <c r="GHM225" s="1311"/>
      <c r="GHN225" s="1311"/>
      <c r="GHO225" s="1311"/>
      <c r="GHP225" s="1311"/>
      <c r="GHQ225" s="1311"/>
      <c r="GHR225" s="1311"/>
      <c r="GHS225" s="1311"/>
      <c r="GHT225" s="1311"/>
      <c r="GHU225" s="1311"/>
      <c r="GHV225" s="1311"/>
      <c r="GHW225" s="1311"/>
      <c r="GHX225" s="1311"/>
      <c r="GHY225" s="1311"/>
      <c r="GHZ225" s="1311"/>
      <c r="GIA225" s="1311"/>
      <c r="GIB225" s="1311"/>
      <c r="GIC225" s="1311"/>
      <c r="GID225" s="1311"/>
      <c r="GIE225" s="1311"/>
      <c r="GIF225" s="1311"/>
      <c r="GIG225" s="1311"/>
      <c r="GIH225" s="1311"/>
      <c r="GII225" s="1311"/>
      <c r="GIJ225" s="1311"/>
      <c r="GIK225" s="1311"/>
      <c r="GIL225" s="1311"/>
      <c r="GIM225" s="1311"/>
      <c r="GIN225" s="1311"/>
      <c r="GIO225" s="1311"/>
      <c r="GIP225" s="1311"/>
      <c r="GIQ225" s="1311"/>
      <c r="GIR225" s="1311"/>
      <c r="GIS225" s="1311"/>
      <c r="GIT225" s="1311"/>
      <c r="GIU225" s="1311"/>
      <c r="GIV225" s="1311"/>
      <c r="GIW225" s="1311"/>
      <c r="GIX225" s="1311"/>
      <c r="GIY225" s="1311"/>
      <c r="GIZ225" s="1311"/>
      <c r="GJA225" s="1311"/>
      <c r="GJB225" s="1311"/>
      <c r="GJC225" s="1311"/>
      <c r="GJD225" s="1311"/>
      <c r="GJE225" s="1311"/>
      <c r="GJF225" s="1311"/>
      <c r="GJG225" s="1311"/>
      <c r="GJH225" s="1311"/>
      <c r="GJI225" s="1311"/>
      <c r="GJJ225" s="1311"/>
      <c r="GJK225" s="1311"/>
      <c r="GJL225" s="1311"/>
      <c r="GJM225" s="1311"/>
      <c r="GJN225" s="1311"/>
      <c r="GJO225" s="1311"/>
      <c r="GJP225" s="1311"/>
      <c r="GJQ225" s="1311"/>
      <c r="GJR225" s="1311"/>
      <c r="GJS225" s="1311"/>
      <c r="GJT225" s="1311"/>
      <c r="GJU225" s="1311"/>
      <c r="GJV225" s="1311"/>
      <c r="GJW225" s="1311"/>
      <c r="GJX225" s="1311"/>
      <c r="GJY225" s="1311"/>
      <c r="GJZ225" s="1311"/>
      <c r="GKA225" s="1311"/>
      <c r="GKB225" s="1311"/>
      <c r="GKC225" s="1311"/>
      <c r="GKD225" s="1311"/>
      <c r="GKE225" s="1311"/>
      <c r="GKF225" s="1311"/>
      <c r="GKG225" s="1311"/>
      <c r="GKH225" s="1311"/>
      <c r="GKI225" s="1311"/>
      <c r="GKJ225" s="1311"/>
      <c r="GKK225" s="1311"/>
      <c r="GKL225" s="1311"/>
      <c r="GKM225" s="1311"/>
      <c r="GKN225" s="1311"/>
      <c r="GKO225" s="1311"/>
      <c r="GKP225" s="1311"/>
      <c r="GKQ225" s="1311"/>
      <c r="GKR225" s="1311"/>
      <c r="GKS225" s="1311"/>
      <c r="GKT225" s="1311"/>
      <c r="GKU225" s="1311"/>
      <c r="GKV225" s="1311"/>
      <c r="GKW225" s="1311"/>
      <c r="GKX225" s="1311"/>
      <c r="GKY225" s="1311"/>
      <c r="GKZ225" s="1311"/>
      <c r="GLA225" s="1311"/>
      <c r="GLB225" s="1311"/>
      <c r="GLC225" s="1311"/>
      <c r="GLD225" s="1311"/>
      <c r="GLE225" s="1311"/>
      <c r="GLF225" s="1311"/>
      <c r="GLG225" s="1311"/>
      <c r="GLH225" s="1311"/>
      <c r="GLI225" s="1311"/>
      <c r="GLJ225" s="1311"/>
      <c r="GLK225" s="1311"/>
      <c r="GLL225" s="1311"/>
      <c r="GLM225" s="1311"/>
      <c r="GLN225" s="1311"/>
      <c r="GLO225" s="1311"/>
      <c r="GLP225" s="1311"/>
      <c r="GLQ225" s="1311"/>
      <c r="GLR225" s="1311"/>
      <c r="GLS225" s="1311"/>
      <c r="GLT225" s="1311"/>
      <c r="GLU225" s="1311"/>
      <c r="GLV225" s="1311"/>
      <c r="GLW225" s="1311"/>
      <c r="GLX225" s="1311"/>
      <c r="GLY225" s="1311"/>
      <c r="GLZ225" s="1311"/>
      <c r="GMA225" s="1311"/>
      <c r="GMB225" s="1311"/>
      <c r="GMC225" s="1311"/>
      <c r="GMD225" s="1311"/>
      <c r="GME225" s="1311"/>
      <c r="GMF225" s="1311"/>
      <c r="GMG225" s="1311"/>
      <c r="GMH225" s="1311"/>
      <c r="GMI225" s="1311"/>
      <c r="GMJ225" s="1311"/>
      <c r="GMK225" s="1311"/>
      <c r="GML225" s="1311"/>
      <c r="GMM225" s="1311"/>
      <c r="GMN225" s="1311"/>
      <c r="GMO225" s="1311"/>
      <c r="GMP225" s="1311"/>
      <c r="GMQ225" s="1311"/>
      <c r="GMR225" s="1311"/>
      <c r="GMS225" s="1311"/>
      <c r="GMT225" s="1311"/>
      <c r="GMU225" s="1311"/>
      <c r="GMV225" s="1311"/>
      <c r="GMW225" s="1311"/>
      <c r="GMX225" s="1311"/>
      <c r="GMY225" s="1311"/>
      <c r="GMZ225" s="1311"/>
      <c r="GNA225" s="1311"/>
      <c r="GNB225" s="1311"/>
      <c r="GNC225" s="1311"/>
      <c r="GND225" s="1311"/>
      <c r="GNE225" s="1311"/>
      <c r="GNF225" s="1311"/>
      <c r="GNG225" s="1311"/>
      <c r="GNH225" s="1311"/>
      <c r="GNI225" s="1311"/>
      <c r="GNJ225" s="1311"/>
      <c r="GNK225" s="1311"/>
      <c r="GNL225" s="1311"/>
      <c r="GNM225" s="1311"/>
      <c r="GNN225" s="1311"/>
      <c r="GNO225" s="1311"/>
      <c r="GNP225" s="1311"/>
      <c r="GNQ225" s="1311"/>
      <c r="GNR225" s="1311"/>
      <c r="GNS225" s="1311"/>
      <c r="GNT225" s="1311"/>
      <c r="GNU225" s="1311"/>
      <c r="GNV225" s="1311"/>
      <c r="GNW225" s="1311"/>
      <c r="GNX225" s="1311"/>
      <c r="GNY225" s="1311"/>
      <c r="GNZ225" s="1311"/>
      <c r="GOA225" s="1311"/>
      <c r="GOB225" s="1311"/>
      <c r="GOC225" s="1311"/>
      <c r="GOD225" s="1311"/>
      <c r="GOE225" s="1311"/>
      <c r="GOF225" s="1311"/>
      <c r="GOG225" s="1311"/>
      <c r="GOH225" s="1311"/>
      <c r="GOI225" s="1311"/>
      <c r="GOJ225" s="1311"/>
      <c r="GOK225" s="1311"/>
      <c r="GOL225" s="1311"/>
      <c r="GOM225" s="1311"/>
      <c r="GON225" s="1311"/>
      <c r="GOO225" s="1311"/>
      <c r="GOP225" s="1311"/>
      <c r="GOQ225" s="1311"/>
      <c r="GOR225" s="1311"/>
      <c r="GOS225" s="1311"/>
      <c r="GOT225" s="1311"/>
      <c r="GOU225" s="1311"/>
      <c r="GOV225" s="1311"/>
      <c r="GOW225" s="1311"/>
      <c r="GOX225" s="1311"/>
      <c r="GOY225" s="1311"/>
      <c r="GOZ225" s="1311"/>
      <c r="GPA225" s="1311"/>
      <c r="GPB225" s="1311"/>
      <c r="GPC225" s="1311"/>
      <c r="GPD225" s="1311"/>
      <c r="GPE225" s="1311"/>
      <c r="GPF225" s="1311"/>
      <c r="GPG225" s="1311"/>
      <c r="GPH225" s="1311"/>
      <c r="GPI225" s="1311"/>
      <c r="GPJ225" s="1311"/>
      <c r="GPK225" s="1311"/>
      <c r="GPL225" s="1311"/>
      <c r="GPM225" s="1311"/>
      <c r="GPN225" s="1311"/>
      <c r="GPO225" s="1311"/>
      <c r="GPP225" s="1311"/>
      <c r="GPQ225" s="1311"/>
      <c r="GPR225" s="1311"/>
      <c r="GPS225" s="1311"/>
      <c r="GPT225" s="1311"/>
      <c r="GPU225" s="1311"/>
      <c r="GPV225" s="1311"/>
      <c r="GPW225" s="1311"/>
      <c r="GPX225" s="1311"/>
      <c r="GPY225" s="1311"/>
      <c r="GPZ225" s="1311"/>
      <c r="GQA225" s="1311"/>
      <c r="GQB225" s="1311"/>
      <c r="GQC225" s="1311"/>
      <c r="GQD225" s="1311"/>
      <c r="GQE225" s="1311"/>
      <c r="GQF225" s="1311"/>
      <c r="GQG225" s="1311"/>
      <c r="GQH225" s="1311"/>
      <c r="GQI225" s="1311"/>
      <c r="GQJ225" s="1311"/>
      <c r="GQK225" s="1311"/>
      <c r="GQL225" s="1311"/>
      <c r="GQM225" s="1311"/>
      <c r="GQN225" s="1311"/>
      <c r="GQO225" s="1311"/>
      <c r="GQP225" s="1311"/>
      <c r="GQQ225" s="1311"/>
      <c r="GQR225" s="1311"/>
      <c r="GQS225" s="1311"/>
      <c r="GQT225" s="1311"/>
      <c r="GQU225" s="1311"/>
      <c r="GQV225" s="1311"/>
      <c r="GQW225" s="1311"/>
      <c r="GQX225" s="1311"/>
      <c r="GQY225" s="1311"/>
      <c r="GQZ225" s="1311"/>
      <c r="GRA225" s="1311"/>
      <c r="GRB225" s="1311"/>
      <c r="GRC225" s="1311"/>
      <c r="GRD225" s="1311"/>
      <c r="GRE225" s="1311"/>
      <c r="GRF225" s="1311"/>
      <c r="GRG225" s="1311"/>
      <c r="GRH225" s="1311"/>
      <c r="GRI225" s="1311"/>
      <c r="GRJ225" s="1311"/>
      <c r="GRK225" s="1311"/>
      <c r="GRL225" s="1311"/>
      <c r="GRM225" s="1311"/>
      <c r="GRN225" s="1311"/>
      <c r="GRO225" s="1311"/>
      <c r="GRP225" s="1311"/>
      <c r="GRQ225" s="1311"/>
      <c r="GRR225" s="1311"/>
      <c r="GRS225" s="1311"/>
      <c r="GRT225" s="1311"/>
      <c r="GRU225" s="1311"/>
      <c r="GRV225" s="1311"/>
      <c r="GRW225" s="1311"/>
      <c r="GRX225" s="1311"/>
      <c r="GRY225" s="1311"/>
      <c r="GRZ225" s="1311"/>
      <c r="GSA225" s="1311"/>
      <c r="GSB225" s="1311"/>
      <c r="GSC225" s="1311"/>
      <c r="GSD225" s="1311"/>
      <c r="GSE225" s="1311"/>
      <c r="GSF225" s="1311"/>
      <c r="GSG225" s="1311"/>
      <c r="GSH225" s="1311"/>
      <c r="GSI225" s="1311"/>
      <c r="GSJ225" s="1311"/>
      <c r="GSK225" s="1311"/>
      <c r="GSL225" s="1311"/>
      <c r="GSM225" s="1311"/>
      <c r="GSN225" s="1311"/>
      <c r="GSO225" s="1311"/>
      <c r="GSP225" s="1311"/>
      <c r="GSQ225" s="1311"/>
      <c r="GSR225" s="1311"/>
      <c r="GSS225" s="1311"/>
      <c r="GST225" s="1311"/>
      <c r="GSU225" s="1311"/>
      <c r="GSV225" s="1311"/>
      <c r="GSW225" s="1311"/>
      <c r="GSX225" s="1311"/>
      <c r="GSY225" s="1311"/>
      <c r="GSZ225" s="1311"/>
      <c r="GTA225" s="1311"/>
      <c r="GTB225" s="1311"/>
      <c r="GTC225" s="1311"/>
      <c r="GTD225" s="1311"/>
      <c r="GTE225" s="1311"/>
      <c r="GTF225" s="1311"/>
      <c r="GTG225" s="1311"/>
      <c r="GTH225" s="1311"/>
      <c r="GTI225" s="1311"/>
      <c r="GTJ225" s="1311"/>
      <c r="GTK225" s="1311"/>
      <c r="GTL225" s="1311"/>
      <c r="GTM225" s="1311"/>
      <c r="GTN225" s="1311"/>
      <c r="GTO225" s="1311"/>
      <c r="GTP225" s="1311"/>
      <c r="GTQ225" s="1311"/>
      <c r="GTR225" s="1311"/>
      <c r="GTS225" s="1311"/>
      <c r="GTT225" s="1311"/>
      <c r="GTU225" s="1311"/>
      <c r="GTV225" s="1311"/>
      <c r="GTW225" s="1311"/>
      <c r="GTX225" s="1311"/>
      <c r="GTY225" s="1311"/>
      <c r="GTZ225" s="1311"/>
      <c r="GUA225" s="1311"/>
      <c r="GUB225" s="1311"/>
      <c r="GUC225" s="1311"/>
      <c r="GUD225" s="1311"/>
      <c r="GUE225" s="1311"/>
      <c r="GUF225" s="1311"/>
      <c r="GUG225" s="1311"/>
      <c r="GUH225" s="1311"/>
      <c r="GUI225" s="1311"/>
      <c r="GUJ225" s="1311"/>
      <c r="GUK225" s="1311"/>
      <c r="GUL225" s="1311"/>
      <c r="GUM225" s="1311"/>
      <c r="GUN225" s="1311"/>
      <c r="GUO225" s="1311"/>
      <c r="GUP225" s="1311"/>
      <c r="GUQ225" s="1311"/>
      <c r="GUR225" s="1311"/>
      <c r="GUS225" s="1311"/>
      <c r="GUT225" s="1311"/>
      <c r="GUU225" s="1311"/>
      <c r="GUV225" s="1311"/>
      <c r="GUW225" s="1311"/>
      <c r="GUX225" s="1311"/>
      <c r="GUY225" s="1311"/>
      <c r="GUZ225" s="1311"/>
      <c r="GVA225" s="1311"/>
      <c r="GVB225" s="1311"/>
      <c r="GVC225" s="1311"/>
      <c r="GVD225" s="1311"/>
      <c r="GVE225" s="1311"/>
      <c r="GVF225" s="1311"/>
      <c r="GVG225" s="1311"/>
      <c r="GVH225" s="1311"/>
      <c r="GVI225" s="1311"/>
      <c r="GVJ225" s="1311"/>
      <c r="GVK225" s="1311"/>
      <c r="GVL225" s="1311"/>
      <c r="GVM225" s="1311"/>
      <c r="GVN225" s="1311"/>
      <c r="GVO225" s="1311"/>
      <c r="GVP225" s="1311"/>
      <c r="GVQ225" s="1311"/>
      <c r="GVR225" s="1311"/>
      <c r="GVS225" s="1311"/>
      <c r="GVT225" s="1311"/>
      <c r="GVU225" s="1311"/>
      <c r="GVV225" s="1311"/>
      <c r="GVW225" s="1311"/>
      <c r="GVX225" s="1311"/>
      <c r="GVY225" s="1311"/>
      <c r="GVZ225" s="1311"/>
      <c r="GWA225" s="1311"/>
      <c r="GWB225" s="1311"/>
      <c r="GWC225" s="1311"/>
      <c r="GWD225" s="1311"/>
      <c r="GWE225" s="1311"/>
      <c r="GWF225" s="1311"/>
      <c r="GWG225" s="1311"/>
      <c r="GWH225" s="1311"/>
      <c r="GWI225" s="1311"/>
      <c r="GWJ225" s="1311"/>
      <c r="GWK225" s="1311"/>
      <c r="GWL225" s="1311"/>
      <c r="GWM225" s="1311"/>
      <c r="GWN225" s="1311"/>
      <c r="GWO225" s="1311"/>
      <c r="GWP225" s="1311"/>
      <c r="GWQ225" s="1311"/>
      <c r="GWR225" s="1311"/>
      <c r="GWS225" s="1311"/>
      <c r="GWT225" s="1311"/>
      <c r="GWU225" s="1311"/>
      <c r="GWV225" s="1311"/>
      <c r="GWW225" s="1311"/>
      <c r="GWX225" s="1311"/>
      <c r="GWY225" s="1311"/>
      <c r="GWZ225" s="1311"/>
      <c r="GXA225" s="1311"/>
      <c r="GXB225" s="1311"/>
      <c r="GXC225" s="1311"/>
      <c r="GXD225" s="1311"/>
      <c r="GXE225" s="1311"/>
      <c r="GXF225" s="1311"/>
      <c r="GXG225" s="1311"/>
      <c r="GXH225" s="1311"/>
      <c r="GXI225" s="1311"/>
      <c r="GXJ225" s="1311"/>
      <c r="GXK225" s="1311"/>
      <c r="GXL225" s="1311"/>
      <c r="GXM225" s="1311"/>
      <c r="GXN225" s="1311"/>
      <c r="GXO225" s="1311"/>
      <c r="GXP225" s="1311"/>
      <c r="GXQ225" s="1311"/>
      <c r="GXR225" s="1311"/>
      <c r="GXS225" s="1311"/>
      <c r="GXT225" s="1311"/>
      <c r="GXU225" s="1311"/>
      <c r="GXV225" s="1311"/>
      <c r="GXW225" s="1311"/>
      <c r="GXX225" s="1311"/>
      <c r="GXY225" s="1311"/>
      <c r="GXZ225" s="1311"/>
      <c r="GYA225" s="1311"/>
      <c r="GYB225" s="1311"/>
      <c r="GYC225" s="1311"/>
      <c r="GYD225" s="1311"/>
      <c r="GYE225" s="1311"/>
      <c r="GYF225" s="1311"/>
      <c r="GYG225" s="1311"/>
      <c r="GYH225" s="1311"/>
      <c r="GYI225" s="1311"/>
      <c r="GYJ225" s="1311"/>
      <c r="GYK225" s="1311"/>
      <c r="GYL225" s="1311"/>
      <c r="GYM225" s="1311"/>
      <c r="GYN225" s="1311"/>
      <c r="GYO225" s="1311"/>
      <c r="GYP225" s="1311"/>
      <c r="GYQ225" s="1311"/>
      <c r="GYR225" s="1311"/>
      <c r="GYS225" s="1311"/>
      <c r="GYT225" s="1311"/>
      <c r="GYU225" s="1311"/>
      <c r="GYV225" s="1311"/>
      <c r="GYW225" s="1311"/>
      <c r="GYX225" s="1311"/>
      <c r="GYY225" s="1311"/>
      <c r="GYZ225" s="1311"/>
      <c r="GZA225" s="1311"/>
      <c r="GZB225" s="1311"/>
      <c r="GZC225" s="1311"/>
      <c r="GZD225" s="1311"/>
      <c r="GZE225" s="1311"/>
      <c r="GZF225" s="1311"/>
      <c r="GZG225" s="1311"/>
      <c r="GZH225" s="1311"/>
      <c r="GZI225" s="1311"/>
      <c r="GZJ225" s="1311"/>
      <c r="GZK225" s="1311"/>
      <c r="GZL225" s="1311"/>
      <c r="GZM225" s="1311"/>
      <c r="GZN225" s="1311"/>
      <c r="GZO225" s="1311"/>
      <c r="GZP225" s="1311"/>
      <c r="GZQ225" s="1311"/>
      <c r="GZR225" s="1311"/>
      <c r="GZS225" s="1311"/>
      <c r="GZT225" s="1311"/>
      <c r="GZU225" s="1311"/>
      <c r="GZV225" s="1311"/>
      <c r="GZW225" s="1311"/>
      <c r="GZX225" s="1311"/>
      <c r="GZY225" s="1311"/>
      <c r="GZZ225" s="1311"/>
      <c r="HAA225" s="1311"/>
      <c r="HAB225" s="1311"/>
      <c r="HAC225" s="1311"/>
      <c r="HAD225" s="1311"/>
      <c r="HAE225" s="1311"/>
      <c r="HAF225" s="1311"/>
      <c r="HAG225" s="1311"/>
      <c r="HAH225" s="1311"/>
      <c r="HAI225" s="1311"/>
      <c r="HAJ225" s="1311"/>
      <c r="HAK225" s="1311"/>
      <c r="HAL225" s="1311"/>
      <c r="HAM225" s="1311"/>
      <c r="HAN225" s="1311"/>
      <c r="HAO225" s="1311"/>
      <c r="HAP225" s="1311"/>
      <c r="HAQ225" s="1311"/>
      <c r="HAR225" s="1311"/>
      <c r="HAS225" s="1311"/>
      <c r="HAT225" s="1311"/>
      <c r="HAU225" s="1311"/>
      <c r="HAV225" s="1311"/>
      <c r="HAW225" s="1311"/>
      <c r="HAX225" s="1311"/>
      <c r="HAY225" s="1311"/>
      <c r="HAZ225" s="1311"/>
      <c r="HBA225" s="1311"/>
      <c r="HBB225" s="1311"/>
      <c r="HBC225" s="1311"/>
      <c r="HBD225" s="1311"/>
      <c r="HBE225" s="1311"/>
      <c r="HBF225" s="1311"/>
      <c r="HBG225" s="1311"/>
      <c r="HBH225" s="1311"/>
      <c r="HBI225" s="1311"/>
      <c r="HBJ225" s="1311"/>
      <c r="HBK225" s="1311"/>
      <c r="HBL225" s="1311"/>
      <c r="HBM225" s="1311"/>
      <c r="HBN225" s="1311"/>
      <c r="HBO225" s="1311"/>
      <c r="HBP225" s="1311"/>
      <c r="HBQ225" s="1311"/>
      <c r="HBR225" s="1311"/>
      <c r="HBS225" s="1311"/>
      <c r="HBT225" s="1311"/>
      <c r="HBU225" s="1311"/>
      <c r="HBV225" s="1311"/>
      <c r="HBW225" s="1311"/>
      <c r="HBX225" s="1311"/>
      <c r="HBY225" s="1311"/>
      <c r="HBZ225" s="1311"/>
      <c r="HCA225" s="1311"/>
      <c r="HCB225" s="1311"/>
      <c r="HCC225" s="1311"/>
      <c r="HCD225" s="1311"/>
      <c r="HCE225" s="1311"/>
      <c r="HCF225" s="1311"/>
      <c r="HCG225" s="1311"/>
      <c r="HCH225" s="1311"/>
      <c r="HCI225" s="1311"/>
      <c r="HCJ225" s="1311"/>
      <c r="HCK225" s="1311"/>
      <c r="HCL225" s="1311"/>
      <c r="HCM225" s="1311"/>
      <c r="HCN225" s="1311"/>
      <c r="HCO225" s="1311"/>
      <c r="HCP225" s="1311"/>
      <c r="HCQ225" s="1311"/>
      <c r="HCR225" s="1311"/>
      <c r="HCS225" s="1311"/>
      <c r="HCT225" s="1311"/>
      <c r="HCU225" s="1311"/>
      <c r="HCV225" s="1311"/>
      <c r="HCW225" s="1311"/>
      <c r="HCX225" s="1311"/>
      <c r="HCY225" s="1311"/>
      <c r="HCZ225" s="1311"/>
      <c r="HDA225" s="1311"/>
      <c r="HDB225" s="1311"/>
      <c r="HDC225" s="1311"/>
      <c r="HDD225" s="1311"/>
      <c r="HDE225" s="1311"/>
      <c r="HDF225" s="1311"/>
      <c r="HDG225" s="1311"/>
      <c r="HDH225" s="1311"/>
      <c r="HDI225" s="1311"/>
      <c r="HDJ225" s="1311"/>
      <c r="HDK225" s="1311"/>
      <c r="HDL225" s="1311"/>
      <c r="HDM225" s="1311"/>
      <c r="HDN225" s="1311"/>
      <c r="HDO225" s="1311"/>
      <c r="HDP225" s="1311"/>
      <c r="HDQ225" s="1311"/>
      <c r="HDR225" s="1311"/>
      <c r="HDS225" s="1311"/>
      <c r="HDT225" s="1311"/>
      <c r="HDU225" s="1311"/>
      <c r="HDV225" s="1311"/>
      <c r="HDW225" s="1311"/>
      <c r="HDX225" s="1311"/>
      <c r="HDY225" s="1311"/>
      <c r="HDZ225" s="1311"/>
      <c r="HEA225" s="1311"/>
      <c r="HEB225" s="1311"/>
      <c r="HEC225" s="1311"/>
      <c r="HED225" s="1311"/>
      <c r="HEE225" s="1311"/>
      <c r="HEF225" s="1311"/>
      <c r="HEG225" s="1311"/>
      <c r="HEH225" s="1311"/>
      <c r="HEI225" s="1311"/>
      <c r="HEJ225" s="1311"/>
      <c r="HEK225" s="1311"/>
      <c r="HEL225" s="1311"/>
      <c r="HEM225" s="1311"/>
      <c r="HEN225" s="1311"/>
      <c r="HEO225" s="1311"/>
      <c r="HEP225" s="1311"/>
      <c r="HEQ225" s="1311"/>
      <c r="HER225" s="1311"/>
      <c r="HES225" s="1311"/>
      <c r="HET225" s="1311"/>
      <c r="HEU225" s="1311"/>
      <c r="HEV225" s="1311"/>
      <c r="HEW225" s="1311"/>
      <c r="HEX225" s="1311"/>
      <c r="HEY225" s="1311"/>
      <c r="HEZ225" s="1311"/>
      <c r="HFA225" s="1311"/>
      <c r="HFB225" s="1311"/>
      <c r="HFC225" s="1311"/>
      <c r="HFD225" s="1311"/>
      <c r="HFE225" s="1311"/>
      <c r="HFF225" s="1311"/>
      <c r="HFG225" s="1311"/>
      <c r="HFH225" s="1311"/>
      <c r="HFI225" s="1311"/>
      <c r="HFJ225" s="1311"/>
      <c r="HFK225" s="1311"/>
      <c r="HFL225" s="1311"/>
      <c r="HFM225" s="1311"/>
      <c r="HFN225" s="1311"/>
      <c r="HFO225" s="1311"/>
      <c r="HFP225" s="1311"/>
      <c r="HFQ225" s="1311"/>
      <c r="HFR225" s="1311"/>
      <c r="HFS225" s="1311"/>
      <c r="HFT225" s="1311"/>
      <c r="HFU225" s="1311"/>
      <c r="HFV225" s="1311"/>
      <c r="HFW225" s="1311"/>
      <c r="HFX225" s="1311"/>
      <c r="HFY225" s="1311"/>
      <c r="HFZ225" s="1311"/>
      <c r="HGA225" s="1311"/>
      <c r="HGB225" s="1311"/>
      <c r="HGC225" s="1311"/>
      <c r="HGD225" s="1311"/>
      <c r="HGE225" s="1311"/>
      <c r="HGF225" s="1311"/>
      <c r="HGG225" s="1311"/>
      <c r="HGH225" s="1311"/>
      <c r="HGI225" s="1311"/>
      <c r="HGJ225" s="1311"/>
      <c r="HGK225" s="1311"/>
      <c r="HGL225" s="1311"/>
      <c r="HGM225" s="1311"/>
      <c r="HGN225" s="1311"/>
      <c r="HGO225" s="1311"/>
      <c r="HGP225" s="1311"/>
      <c r="HGQ225" s="1311"/>
      <c r="HGR225" s="1311"/>
      <c r="HGS225" s="1311"/>
      <c r="HGT225" s="1311"/>
      <c r="HGU225" s="1311"/>
      <c r="HGV225" s="1311"/>
      <c r="HGW225" s="1311"/>
      <c r="HGX225" s="1311"/>
      <c r="HGY225" s="1311"/>
      <c r="HGZ225" s="1311"/>
      <c r="HHA225" s="1311"/>
      <c r="HHB225" s="1311"/>
      <c r="HHC225" s="1311"/>
      <c r="HHD225" s="1311"/>
      <c r="HHE225" s="1311"/>
      <c r="HHF225" s="1311"/>
      <c r="HHG225" s="1311"/>
      <c r="HHH225" s="1311"/>
      <c r="HHI225" s="1311"/>
      <c r="HHJ225" s="1311"/>
      <c r="HHK225" s="1311"/>
      <c r="HHL225" s="1311"/>
      <c r="HHM225" s="1311"/>
      <c r="HHN225" s="1311"/>
      <c r="HHO225" s="1311"/>
      <c r="HHP225" s="1311"/>
      <c r="HHQ225" s="1311"/>
      <c r="HHR225" s="1311"/>
      <c r="HHS225" s="1311"/>
      <c r="HHT225" s="1311"/>
      <c r="HHU225" s="1311"/>
      <c r="HHV225" s="1311"/>
      <c r="HHW225" s="1311"/>
      <c r="HHX225" s="1311"/>
      <c r="HHY225" s="1311"/>
      <c r="HHZ225" s="1311"/>
      <c r="HIA225" s="1311"/>
      <c r="HIB225" s="1311"/>
      <c r="HIC225" s="1311"/>
      <c r="HID225" s="1311"/>
      <c r="HIE225" s="1311"/>
      <c r="HIF225" s="1311"/>
      <c r="HIG225" s="1311"/>
      <c r="HIH225" s="1311"/>
      <c r="HII225" s="1311"/>
      <c r="HIJ225" s="1311"/>
      <c r="HIK225" s="1311"/>
      <c r="HIL225" s="1311"/>
      <c r="HIM225" s="1311"/>
      <c r="HIN225" s="1311"/>
      <c r="HIO225" s="1311"/>
      <c r="HIP225" s="1311"/>
      <c r="HIQ225" s="1311"/>
      <c r="HIR225" s="1311"/>
      <c r="HIS225" s="1311"/>
      <c r="HIT225" s="1311"/>
      <c r="HIU225" s="1311"/>
      <c r="HIV225" s="1311"/>
      <c r="HIW225" s="1311"/>
      <c r="HIX225" s="1311"/>
      <c r="HIY225" s="1311"/>
      <c r="HIZ225" s="1311"/>
      <c r="HJA225" s="1311"/>
      <c r="HJB225" s="1311"/>
      <c r="HJC225" s="1311"/>
      <c r="HJD225" s="1311"/>
      <c r="HJE225" s="1311"/>
      <c r="HJF225" s="1311"/>
      <c r="HJG225" s="1311"/>
      <c r="HJH225" s="1311"/>
      <c r="HJI225" s="1311"/>
      <c r="HJJ225" s="1311"/>
      <c r="HJK225" s="1311"/>
      <c r="HJL225" s="1311"/>
      <c r="HJM225" s="1311"/>
      <c r="HJN225" s="1311"/>
      <c r="HJO225" s="1311"/>
      <c r="HJP225" s="1311"/>
      <c r="HJQ225" s="1311"/>
      <c r="HJR225" s="1311"/>
      <c r="HJS225" s="1311"/>
      <c r="HJT225" s="1311"/>
      <c r="HJU225" s="1311"/>
      <c r="HJV225" s="1311"/>
      <c r="HJW225" s="1311"/>
      <c r="HJX225" s="1311"/>
      <c r="HJY225" s="1311"/>
      <c r="HJZ225" s="1311"/>
      <c r="HKA225" s="1311"/>
      <c r="HKB225" s="1311"/>
      <c r="HKC225" s="1311"/>
      <c r="HKD225" s="1311"/>
      <c r="HKE225" s="1311"/>
      <c r="HKF225" s="1311"/>
      <c r="HKG225" s="1311"/>
      <c r="HKH225" s="1311"/>
      <c r="HKI225" s="1311"/>
      <c r="HKJ225" s="1311"/>
      <c r="HKK225" s="1311"/>
      <c r="HKL225" s="1311"/>
      <c r="HKM225" s="1311"/>
      <c r="HKN225" s="1311"/>
      <c r="HKO225" s="1311"/>
      <c r="HKP225" s="1311"/>
      <c r="HKQ225" s="1311"/>
      <c r="HKR225" s="1311"/>
      <c r="HKS225" s="1311"/>
      <c r="HKT225" s="1311"/>
      <c r="HKU225" s="1311"/>
      <c r="HKV225" s="1311"/>
      <c r="HKW225" s="1311"/>
      <c r="HKX225" s="1311"/>
      <c r="HKY225" s="1311"/>
      <c r="HKZ225" s="1311"/>
      <c r="HLA225" s="1311"/>
      <c r="HLB225" s="1311"/>
      <c r="HLC225" s="1311"/>
      <c r="HLD225" s="1311"/>
      <c r="HLE225" s="1311"/>
      <c r="HLF225" s="1311"/>
      <c r="HLG225" s="1311"/>
      <c r="HLH225" s="1311"/>
      <c r="HLI225" s="1311"/>
      <c r="HLJ225" s="1311"/>
      <c r="HLK225" s="1311"/>
      <c r="HLL225" s="1311"/>
      <c r="HLM225" s="1311"/>
      <c r="HLN225" s="1311"/>
      <c r="HLO225" s="1311"/>
      <c r="HLP225" s="1311"/>
      <c r="HLQ225" s="1311"/>
      <c r="HLR225" s="1311"/>
      <c r="HLS225" s="1311"/>
      <c r="HLT225" s="1311"/>
      <c r="HLU225" s="1311"/>
      <c r="HLV225" s="1311"/>
      <c r="HLW225" s="1311"/>
      <c r="HLX225" s="1311"/>
      <c r="HLY225" s="1311"/>
      <c r="HLZ225" s="1311"/>
      <c r="HMA225" s="1311"/>
      <c r="HMB225" s="1311"/>
      <c r="HMC225" s="1311"/>
      <c r="HMD225" s="1311"/>
      <c r="HME225" s="1311"/>
      <c r="HMF225" s="1311"/>
      <c r="HMG225" s="1311"/>
      <c r="HMH225" s="1311"/>
      <c r="HMI225" s="1311"/>
      <c r="HMJ225" s="1311"/>
      <c r="HMK225" s="1311"/>
      <c r="HML225" s="1311"/>
      <c r="HMM225" s="1311"/>
      <c r="HMN225" s="1311"/>
      <c r="HMO225" s="1311"/>
      <c r="HMP225" s="1311"/>
      <c r="HMQ225" s="1311"/>
      <c r="HMR225" s="1311"/>
      <c r="HMS225" s="1311"/>
      <c r="HMT225" s="1311"/>
      <c r="HMU225" s="1311"/>
      <c r="HMV225" s="1311"/>
      <c r="HMW225" s="1311"/>
      <c r="HMX225" s="1311"/>
      <c r="HMY225" s="1311"/>
      <c r="HMZ225" s="1311"/>
      <c r="HNA225" s="1311"/>
      <c r="HNB225" s="1311"/>
      <c r="HNC225" s="1311"/>
      <c r="HND225" s="1311"/>
      <c r="HNE225" s="1311"/>
      <c r="HNF225" s="1311"/>
      <c r="HNG225" s="1311"/>
      <c r="HNH225" s="1311"/>
      <c r="HNI225" s="1311"/>
      <c r="HNJ225" s="1311"/>
      <c r="HNK225" s="1311"/>
      <c r="HNL225" s="1311"/>
      <c r="HNM225" s="1311"/>
      <c r="HNN225" s="1311"/>
      <c r="HNO225" s="1311"/>
      <c r="HNP225" s="1311"/>
      <c r="HNQ225" s="1311"/>
      <c r="HNR225" s="1311"/>
      <c r="HNS225" s="1311"/>
      <c r="HNT225" s="1311"/>
      <c r="HNU225" s="1311"/>
      <c r="HNV225" s="1311"/>
      <c r="HNW225" s="1311"/>
      <c r="HNX225" s="1311"/>
      <c r="HNY225" s="1311"/>
      <c r="HNZ225" s="1311"/>
      <c r="HOA225" s="1311"/>
      <c r="HOB225" s="1311"/>
      <c r="HOC225" s="1311"/>
      <c r="HOD225" s="1311"/>
      <c r="HOE225" s="1311"/>
      <c r="HOF225" s="1311"/>
      <c r="HOG225" s="1311"/>
      <c r="HOH225" s="1311"/>
      <c r="HOI225" s="1311"/>
      <c r="HOJ225" s="1311"/>
      <c r="HOK225" s="1311"/>
      <c r="HOL225" s="1311"/>
      <c r="HOM225" s="1311"/>
      <c r="HON225" s="1311"/>
      <c r="HOO225" s="1311"/>
      <c r="HOP225" s="1311"/>
      <c r="HOQ225" s="1311"/>
      <c r="HOR225" s="1311"/>
      <c r="HOS225" s="1311"/>
      <c r="HOT225" s="1311"/>
      <c r="HOU225" s="1311"/>
      <c r="HOV225" s="1311"/>
      <c r="HOW225" s="1311"/>
      <c r="HOX225" s="1311"/>
      <c r="HOY225" s="1311"/>
      <c r="HOZ225" s="1311"/>
      <c r="HPA225" s="1311"/>
      <c r="HPB225" s="1311"/>
      <c r="HPC225" s="1311"/>
      <c r="HPD225" s="1311"/>
      <c r="HPE225" s="1311"/>
      <c r="HPF225" s="1311"/>
      <c r="HPG225" s="1311"/>
      <c r="HPH225" s="1311"/>
      <c r="HPI225" s="1311"/>
      <c r="HPJ225" s="1311"/>
      <c r="HPK225" s="1311"/>
      <c r="HPL225" s="1311"/>
      <c r="HPM225" s="1311"/>
      <c r="HPN225" s="1311"/>
      <c r="HPO225" s="1311"/>
      <c r="HPP225" s="1311"/>
      <c r="HPQ225" s="1311"/>
      <c r="HPR225" s="1311"/>
      <c r="HPS225" s="1311"/>
      <c r="HPT225" s="1311"/>
      <c r="HPU225" s="1311"/>
      <c r="HPV225" s="1311"/>
      <c r="HPW225" s="1311"/>
      <c r="HPX225" s="1311"/>
      <c r="HPY225" s="1311"/>
      <c r="HPZ225" s="1311"/>
      <c r="HQA225" s="1311"/>
      <c r="HQB225" s="1311"/>
      <c r="HQC225" s="1311"/>
      <c r="HQD225" s="1311"/>
      <c r="HQE225" s="1311"/>
      <c r="HQF225" s="1311"/>
      <c r="HQG225" s="1311"/>
      <c r="HQH225" s="1311"/>
      <c r="HQI225" s="1311"/>
      <c r="HQJ225" s="1311"/>
      <c r="HQK225" s="1311"/>
      <c r="HQL225" s="1311"/>
      <c r="HQM225" s="1311"/>
      <c r="HQN225" s="1311"/>
      <c r="HQO225" s="1311"/>
      <c r="HQP225" s="1311"/>
      <c r="HQQ225" s="1311"/>
      <c r="HQR225" s="1311"/>
      <c r="HQS225" s="1311"/>
      <c r="HQT225" s="1311"/>
      <c r="HQU225" s="1311"/>
      <c r="HQV225" s="1311"/>
      <c r="HQW225" s="1311"/>
      <c r="HQX225" s="1311"/>
      <c r="HQY225" s="1311"/>
      <c r="HQZ225" s="1311"/>
      <c r="HRA225" s="1311"/>
      <c r="HRB225" s="1311"/>
      <c r="HRC225" s="1311"/>
      <c r="HRD225" s="1311"/>
      <c r="HRE225" s="1311"/>
      <c r="HRF225" s="1311"/>
      <c r="HRG225" s="1311"/>
      <c r="HRH225" s="1311"/>
      <c r="HRI225" s="1311"/>
      <c r="HRJ225" s="1311"/>
      <c r="HRK225" s="1311"/>
      <c r="HRL225" s="1311"/>
      <c r="HRM225" s="1311"/>
      <c r="HRN225" s="1311"/>
      <c r="HRO225" s="1311"/>
      <c r="HRP225" s="1311"/>
      <c r="HRQ225" s="1311"/>
      <c r="HRR225" s="1311"/>
      <c r="HRS225" s="1311"/>
      <c r="HRT225" s="1311"/>
      <c r="HRU225" s="1311"/>
      <c r="HRV225" s="1311"/>
      <c r="HRW225" s="1311"/>
      <c r="HRX225" s="1311"/>
      <c r="HRY225" s="1311"/>
      <c r="HRZ225" s="1311"/>
      <c r="HSA225" s="1311"/>
      <c r="HSB225" s="1311"/>
      <c r="HSC225" s="1311"/>
      <c r="HSD225" s="1311"/>
      <c r="HSE225" s="1311"/>
      <c r="HSF225" s="1311"/>
      <c r="HSG225" s="1311"/>
      <c r="HSH225" s="1311"/>
      <c r="HSI225" s="1311"/>
      <c r="HSJ225" s="1311"/>
      <c r="HSK225" s="1311"/>
      <c r="HSL225" s="1311"/>
      <c r="HSM225" s="1311"/>
      <c r="HSN225" s="1311"/>
      <c r="HSO225" s="1311"/>
      <c r="HSP225" s="1311"/>
      <c r="HSQ225" s="1311"/>
      <c r="HSR225" s="1311"/>
      <c r="HSS225" s="1311"/>
      <c r="HST225" s="1311"/>
      <c r="HSU225" s="1311"/>
      <c r="HSV225" s="1311"/>
      <c r="HSW225" s="1311"/>
      <c r="HSX225" s="1311"/>
      <c r="HSY225" s="1311"/>
      <c r="HSZ225" s="1311"/>
      <c r="HTA225" s="1311"/>
      <c r="HTB225" s="1311"/>
      <c r="HTC225" s="1311"/>
      <c r="HTD225" s="1311"/>
      <c r="HTE225" s="1311"/>
      <c r="HTF225" s="1311"/>
      <c r="HTG225" s="1311"/>
      <c r="HTH225" s="1311"/>
      <c r="HTI225" s="1311"/>
      <c r="HTJ225" s="1311"/>
      <c r="HTK225" s="1311"/>
      <c r="HTL225" s="1311"/>
      <c r="HTM225" s="1311"/>
      <c r="HTN225" s="1311"/>
      <c r="HTO225" s="1311"/>
      <c r="HTP225" s="1311"/>
      <c r="HTQ225" s="1311"/>
      <c r="HTR225" s="1311"/>
      <c r="HTS225" s="1311"/>
      <c r="HTT225" s="1311"/>
      <c r="HTU225" s="1311"/>
      <c r="HTV225" s="1311"/>
      <c r="HTW225" s="1311"/>
      <c r="HTX225" s="1311"/>
      <c r="HTY225" s="1311"/>
      <c r="HTZ225" s="1311"/>
      <c r="HUA225" s="1311"/>
      <c r="HUB225" s="1311"/>
      <c r="HUC225" s="1311"/>
      <c r="HUD225" s="1311"/>
      <c r="HUE225" s="1311"/>
      <c r="HUF225" s="1311"/>
      <c r="HUG225" s="1311"/>
      <c r="HUH225" s="1311"/>
      <c r="HUI225" s="1311"/>
      <c r="HUJ225" s="1311"/>
      <c r="HUK225" s="1311"/>
      <c r="HUL225" s="1311"/>
      <c r="HUM225" s="1311"/>
      <c r="HUN225" s="1311"/>
      <c r="HUO225" s="1311"/>
      <c r="HUP225" s="1311"/>
      <c r="HUQ225" s="1311"/>
      <c r="HUR225" s="1311"/>
      <c r="HUS225" s="1311"/>
      <c r="HUT225" s="1311"/>
      <c r="HUU225" s="1311"/>
      <c r="HUV225" s="1311"/>
      <c r="HUW225" s="1311"/>
      <c r="HUX225" s="1311"/>
      <c r="HUY225" s="1311"/>
      <c r="HUZ225" s="1311"/>
      <c r="HVA225" s="1311"/>
      <c r="HVB225" s="1311"/>
      <c r="HVC225" s="1311"/>
      <c r="HVD225" s="1311"/>
      <c r="HVE225" s="1311"/>
      <c r="HVF225" s="1311"/>
      <c r="HVG225" s="1311"/>
      <c r="HVH225" s="1311"/>
      <c r="HVI225" s="1311"/>
      <c r="HVJ225" s="1311"/>
      <c r="HVK225" s="1311"/>
      <c r="HVL225" s="1311"/>
      <c r="HVM225" s="1311"/>
      <c r="HVN225" s="1311"/>
      <c r="HVO225" s="1311"/>
      <c r="HVP225" s="1311"/>
      <c r="HVQ225" s="1311"/>
      <c r="HVR225" s="1311"/>
      <c r="HVS225" s="1311"/>
      <c r="HVT225" s="1311"/>
      <c r="HVU225" s="1311"/>
      <c r="HVV225" s="1311"/>
      <c r="HVW225" s="1311"/>
      <c r="HVX225" s="1311"/>
      <c r="HVY225" s="1311"/>
      <c r="HVZ225" s="1311"/>
      <c r="HWA225" s="1311"/>
      <c r="HWB225" s="1311"/>
      <c r="HWC225" s="1311"/>
      <c r="HWD225" s="1311"/>
      <c r="HWE225" s="1311"/>
      <c r="HWF225" s="1311"/>
      <c r="HWG225" s="1311"/>
      <c r="HWH225" s="1311"/>
      <c r="HWI225" s="1311"/>
      <c r="HWJ225" s="1311"/>
      <c r="HWK225" s="1311"/>
      <c r="HWL225" s="1311"/>
      <c r="HWM225" s="1311"/>
      <c r="HWN225" s="1311"/>
      <c r="HWO225" s="1311"/>
      <c r="HWP225" s="1311"/>
      <c r="HWQ225" s="1311"/>
      <c r="HWR225" s="1311"/>
      <c r="HWS225" s="1311"/>
      <c r="HWT225" s="1311"/>
      <c r="HWU225" s="1311"/>
      <c r="HWV225" s="1311"/>
      <c r="HWW225" s="1311"/>
      <c r="HWX225" s="1311"/>
      <c r="HWY225" s="1311"/>
      <c r="HWZ225" s="1311"/>
      <c r="HXA225" s="1311"/>
      <c r="HXB225" s="1311"/>
      <c r="HXC225" s="1311"/>
      <c r="HXD225" s="1311"/>
      <c r="HXE225" s="1311"/>
      <c r="HXF225" s="1311"/>
      <c r="HXG225" s="1311"/>
      <c r="HXH225" s="1311"/>
      <c r="HXI225" s="1311"/>
      <c r="HXJ225" s="1311"/>
      <c r="HXK225" s="1311"/>
      <c r="HXL225" s="1311"/>
      <c r="HXM225" s="1311"/>
      <c r="HXN225" s="1311"/>
      <c r="HXO225" s="1311"/>
      <c r="HXP225" s="1311"/>
      <c r="HXQ225" s="1311"/>
      <c r="HXR225" s="1311"/>
      <c r="HXS225" s="1311"/>
      <c r="HXT225" s="1311"/>
      <c r="HXU225" s="1311"/>
      <c r="HXV225" s="1311"/>
      <c r="HXW225" s="1311"/>
      <c r="HXX225" s="1311"/>
      <c r="HXY225" s="1311"/>
      <c r="HXZ225" s="1311"/>
      <c r="HYA225" s="1311"/>
      <c r="HYB225" s="1311"/>
      <c r="HYC225" s="1311"/>
      <c r="HYD225" s="1311"/>
      <c r="HYE225" s="1311"/>
      <c r="HYF225" s="1311"/>
      <c r="HYG225" s="1311"/>
      <c r="HYH225" s="1311"/>
      <c r="HYI225" s="1311"/>
      <c r="HYJ225" s="1311"/>
      <c r="HYK225" s="1311"/>
      <c r="HYL225" s="1311"/>
      <c r="HYM225" s="1311"/>
      <c r="HYN225" s="1311"/>
      <c r="HYO225" s="1311"/>
      <c r="HYP225" s="1311"/>
      <c r="HYQ225" s="1311"/>
      <c r="HYR225" s="1311"/>
      <c r="HYS225" s="1311"/>
      <c r="HYT225" s="1311"/>
      <c r="HYU225" s="1311"/>
      <c r="HYV225" s="1311"/>
      <c r="HYW225" s="1311"/>
      <c r="HYX225" s="1311"/>
      <c r="HYY225" s="1311"/>
      <c r="HYZ225" s="1311"/>
      <c r="HZA225" s="1311"/>
      <c r="HZB225" s="1311"/>
      <c r="HZC225" s="1311"/>
      <c r="HZD225" s="1311"/>
      <c r="HZE225" s="1311"/>
      <c r="HZF225" s="1311"/>
      <c r="HZG225" s="1311"/>
      <c r="HZH225" s="1311"/>
      <c r="HZI225" s="1311"/>
      <c r="HZJ225" s="1311"/>
      <c r="HZK225" s="1311"/>
      <c r="HZL225" s="1311"/>
      <c r="HZM225" s="1311"/>
      <c r="HZN225" s="1311"/>
      <c r="HZO225" s="1311"/>
      <c r="HZP225" s="1311"/>
      <c r="HZQ225" s="1311"/>
      <c r="HZR225" s="1311"/>
      <c r="HZS225" s="1311"/>
      <c r="HZT225" s="1311"/>
      <c r="HZU225" s="1311"/>
      <c r="HZV225" s="1311"/>
      <c r="HZW225" s="1311"/>
      <c r="HZX225" s="1311"/>
      <c r="HZY225" s="1311"/>
      <c r="HZZ225" s="1311"/>
      <c r="IAA225" s="1311"/>
      <c r="IAB225" s="1311"/>
      <c r="IAC225" s="1311"/>
      <c r="IAD225" s="1311"/>
      <c r="IAE225" s="1311"/>
      <c r="IAF225" s="1311"/>
      <c r="IAG225" s="1311"/>
      <c r="IAH225" s="1311"/>
      <c r="IAI225" s="1311"/>
      <c r="IAJ225" s="1311"/>
      <c r="IAK225" s="1311"/>
      <c r="IAL225" s="1311"/>
      <c r="IAM225" s="1311"/>
      <c r="IAN225" s="1311"/>
      <c r="IAO225" s="1311"/>
      <c r="IAP225" s="1311"/>
      <c r="IAQ225" s="1311"/>
      <c r="IAR225" s="1311"/>
      <c r="IAS225" s="1311"/>
      <c r="IAT225" s="1311"/>
      <c r="IAU225" s="1311"/>
      <c r="IAV225" s="1311"/>
      <c r="IAW225" s="1311"/>
      <c r="IAX225" s="1311"/>
      <c r="IAY225" s="1311"/>
      <c r="IAZ225" s="1311"/>
      <c r="IBA225" s="1311"/>
      <c r="IBB225" s="1311"/>
      <c r="IBC225" s="1311"/>
      <c r="IBD225" s="1311"/>
      <c r="IBE225" s="1311"/>
      <c r="IBF225" s="1311"/>
      <c r="IBG225" s="1311"/>
      <c r="IBH225" s="1311"/>
      <c r="IBI225" s="1311"/>
      <c r="IBJ225" s="1311"/>
      <c r="IBK225" s="1311"/>
      <c r="IBL225" s="1311"/>
      <c r="IBM225" s="1311"/>
      <c r="IBN225" s="1311"/>
      <c r="IBO225" s="1311"/>
      <c r="IBP225" s="1311"/>
      <c r="IBQ225" s="1311"/>
      <c r="IBR225" s="1311"/>
      <c r="IBS225" s="1311"/>
      <c r="IBT225" s="1311"/>
      <c r="IBU225" s="1311"/>
      <c r="IBV225" s="1311"/>
      <c r="IBW225" s="1311"/>
      <c r="IBX225" s="1311"/>
      <c r="IBY225" s="1311"/>
      <c r="IBZ225" s="1311"/>
      <c r="ICA225" s="1311"/>
      <c r="ICB225" s="1311"/>
      <c r="ICC225" s="1311"/>
      <c r="ICD225" s="1311"/>
      <c r="ICE225" s="1311"/>
      <c r="ICF225" s="1311"/>
      <c r="ICG225" s="1311"/>
      <c r="ICH225" s="1311"/>
      <c r="ICI225" s="1311"/>
      <c r="ICJ225" s="1311"/>
      <c r="ICK225" s="1311"/>
      <c r="ICL225" s="1311"/>
      <c r="ICM225" s="1311"/>
      <c r="ICN225" s="1311"/>
      <c r="ICO225" s="1311"/>
      <c r="ICP225" s="1311"/>
      <c r="ICQ225" s="1311"/>
      <c r="ICR225" s="1311"/>
      <c r="ICS225" s="1311"/>
      <c r="ICT225" s="1311"/>
      <c r="ICU225" s="1311"/>
      <c r="ICV225" s="1311"/>
      <c r="ICW225" s="1311"/>
      <c r="ICX225" s="1311"/>
      <c r="ICY225" s="1311"/>
      <c r="ICZ225" s="1311"/>
      <c r="IDA225" s="1311"/>
      <c r="IDB225" s="1311"/>
      <c r="IDC225" s="1311"/>
      <c r="IDD225" s="1311"/>
      <c r="IDE225" s="1311"/>
      <c r="IDF225" s="1311"/>
      <c r="IDG225" s="1311"/>
      <c r="IDH225" s="1311"/>
      <c r="IDI225" s="1311"/>
      <c r="IDJ225" s="1311"/>
      <c r="IDK225" s="1311"/>
      <c r="IDL225" s="1311"/>
      <c r="IDM225" s="1311"/>
      <c r="IDN225" s="1311"/>
      <c r="IDO225" s="1311"/>
      <c r="IDP225" s="1311"/>
      <c r="IDQ225" s="1311"/>
      <c r="IDR225" s="1311"/>
      <c r="IDS225" s="1311"/>
      <c r="IDT225" s="1311"/>
      <c r="IDU225" s="1311"/>
      <c r="IDV225" s="1311"/>
      <c r="IDW225" s="1311"/>
      <c r="IDX225" s="1311"/>
      <c r="IDY225" s="1311"/>
      <c r="IDZ225" s="1311"/>
      <c r="IEA225" s="1311"/>
      <c r="IEB225" s="1311"/>
      <c r="IEC225" s="1311"/>
      <c r="IED225" s="1311"/>
      <c r="IEE225" s="1311"/>
      <c r="IEF225" s="1311"/>
      <c r="IEG225" s="1311"/>
      <c r="IEH225" s="1311"/>
      <c r="IEI225" s="1311"/>
      <c r="IEJ225" s="1311"/>
      <c r="IEK225" s="1311"/>
      <c r="IEL225" s="1311"/>
      <c r="IEM225" s="1311"/>
      <c r="IEN225" s="1311"/>
      <c r="IEO225" s="1311"/>
      <c r="IEP225" s="1311"/>
      <c r="IEQ225" s="1311"/>
      <c r="IER225" s="1311"/>
      <c r="IES225" s="1311"/>
      <c r="IET225" s="1311"/>
      <c r="IEU225" s="1311"/>
      <c r="IEV225" s="1311"/>
      <c r="IEW225" s="1311"/>
      <c r="IEX225" s="1311"/>
      <c r="IEY225" s="1311"/>
      <c r="IEZ225" s="1311"/>
      <c r="IFA225" s="1311"/>
      <c r="IFB225" s="1311"/>
      <c r="IFC225" s="1311"/>
      <c r="IFD225" s="1311"/>
      <c r="IFE225" s="1311"/>
      <c r="IFF225" s="1311"/>
      <c r="IFG225" s="1311"/>
      <c r="IFH225" s="1311"/>
      <c r="IFI225" s="1311"/>
      <c r="IFJ225" s="1311"/>
      <c r="IFK225" s="1311"/>
      <c r="IFL225" s="1311"/>
      <c r="IFM225" s="1311"/>
      <c r="IFN225" s="1311"/>
      <c r="IFO225" s="1311"/>
      <c r="IFP225" s="1311"/>
      <c r="IFQ225" s="1311"/>
      <c r="IFR225" s="1311"/>
      <c r="IFS225" s="1311"/>
      <c r="IFT225" s="1311"/>
      <c r="IFU225" s="1311"/>
      <c r="IFV225" s="1311"/>
      <c r="IFW225" s="1311"/>
      <c r="IFX225" s="1311"/>
      <c r="IFY225" s="1311"/>
      <c r="IFZ225" s="1311"/>
      <c r="IGA225" s="1311"/>
      <c r="IGB225" s="1311"/>
      <c r="IGC225" s="1311"/>
      <c r="IGD225" s="1311"/>
      <c r="IGE225" s="1311"/>
      <c r="IGF225" s="1311"/>
      <c r="IGG225" s="1311"/>
      <c r="IGH225" s="1311"/>
      <c r="IGI225" s="1311"/>
      <c r="IGJ225" s="1311"/>
      <c r="IGK225" s="1311"/>
      <c r="IGL225" s="1311"/>
      <c r="IGM225" s="1311"/>
      <c r="IGN225" s="1311"/>
      <c r="IGO225" s="1311"/>
      <c r="IGP225" s="1311"/>
      <c r="IGQ225" s="1311"/>
      <c r="IGR225" s="1311"/>
      <c r="IGS225" s="1311"/>
      <c r="IGT225" s="1311"/>
      <c r="IGU225" s="1311"/>
      <c r="IGV225" s="1311"/>
      <c r="IGW225" s="1311"/>
      <c r="IGX225" s="1311"/>
      <c r="IGY225" s="1311"/>
      <c r="IGZ225" s="1311"/>
      <c r="IHA225" s="1311"/>
      <c r="IHB225" s="1311"/>
      <c r="IHC225" s="1311"/>
      <c r="IHD225" s="1311"/>
      <c r="IHE225" s="1311"/>
      <c r="IHF225" s="1311"/>
      <c r="IHG225" s="1311"/>
      <c r="IHH225" s="1311"/>
      <c r="IHI225" s="1311"/>
      <c r="IHJ225" s="1311"/>
      <c r="IHK225" s="1311"/>
      <c r="IHL225" s="1311"/>
      <c r="IHM225" s="1311"/>
      <c r="IHN225" s="1311"/>
      <c r="IHO225" s="1311"/>
      <c r="IHP225" s="1311"/>
      <c r="IHQ225" s="1311"/>
      <c r="IHR225" s="1311"/>
      <c r="IHS225" s="1311"/>
      <c r="IHT225" s="1311"/>
      <c r="IHU225" s="1311"/>
      <c r="IHV225" s="1311"/>
      <c r="IHW225" s="1311"/>
      <c r="IHX225" s="1311"/>
      <c r="IHY225" s="1311"/>
      <c r="IHZ225" s="1311"/>
      <c r="IIA225" s="1311"/>
      <c r="IIB225" s="1311"/>
      <c r="IIC225" s="1311"/>
      <c r="IID225" s="1311"/>
      <c r="IIE225" s="1311"/>
      <c r="IIF225" s="1311"/>
      <c r="IIG225" s="1311"/>
      <c r="IIH225" s="1311"/>
      <c r="III225" s="1311"/>
      <c r="IIJ225" s="1311"/>
      <c r="IIK225" s="1311"/>
      <c r="IIL225" s="1311"/>
      <c r="IIM225" s="1311"/>
      <c r="IIN225" s="1311"/>
      <c r="IIO225" s="1311"/>
      <c r="IIP225" s="1311"/>
      <c r="IIQ225" s="1311"/>
      <c r="IIR225" s="1311"/>
      <c r="IIS225" s="1311"/>
      <c r="IIT225" s="1311"/>
      <c r="IIU225" s="1311"/>
      <c r="IIV225" s="1311"/>
      <c r="IIW225" s="1311"/>
      <c r="IIX225" s="1311"/>
      <c r="IIY225" s="1311"/>
      <c r="IIZ225" s="1311"/>
      <c r="IJA225" s="1311"/>
      <c r="IJB225" s="1311"/>
      <c r="IJC225" s="1311"/>
      <c r="IJD225" s="1311"/>
      <c r="IJE225" s="1311"/>
      <c r="IJF225" s="1311"/>
      <c r="IJG225" s="1311"/>
      <c r="IJH225" s="1311"/>
      <c r="IJI225" s="1311"/>
      <c r="IJJ225" s="1311"/>
      <c r="IJK225" s="1311"/>
      <c r="IJL225" s="1311"/>
      <c r="IJM225" s="1311"/>
      <c r="IJN225" s="1311"/>
      <c r="IJO225" s="1311"/>
      <c r="IJP225" s="1311"/>
      <c r="IJQ225" s="1311"/>
      <c r="IJR225" s="1311"/>
      <c r="IJS225" s="1311"/>
      <c r="IJT225" s="1311"/>
      <c r="IJU225" s="1311"/>
      <c r="IJV225" s="1311"/>
      <c r="IJW225" s="1311"/>
      <c r="IJX225" s="1311"/>
      <c r="IJY225" s="1311"/>
      <c r="IJZ225" s="1311"/>
      <c r="IKA225" s="1311"/>
      <c r="IKB225" s="1311"/>
      <c r="IKC225" s="1311"/>
      <c r="IKD225" s="1311"/>
      <c r="IKE225" s="1311"/>
      <c r="IKF225" s="1311"/>
      <c r="IKG225" s="1311"/>
      <c r="IKH225" s="1311"/>
      <c r="IKI225" s="1311"/>
      <c r="IKJ225" s="1311"/>
      <c r="IKK225" s="1311"/>
      <c r="IKL225" s="1311"/>
      <c r="IKM225" s="1311"/>
      <c r="IKN225" s="1311"/>
      <c r="IKO225" s="1311"/>
      <c r="IKP225" s="1311"/>
      <c r="IKQ225" s="1311"/>
      <c r="IKR225" s="1311"/>
      <c r="IKS225" s="1311"/>
      <c r="IKT225" s="1311"/>
      <c r="IKU225" s="1311"/>
      <c r="IKV225" s="1311"/>
      <c r="IKW225" s="1311"/>
      <c r="IKX225" s="1311"/>
      <c r="IKY225" s="1311"/>
      <c r="IKZ225" s="1311"/>
      <c r="ILA225" s="1311"/>
      <c r="ILB225" s="1311"/>
      <c r="ILC225" s="1311"/>
      <c r="ILD225" s="1311"/>
      <c r="ILE225" s="1311"/>
      <c r="ILF225" s="1311"/>
      <c r="ILG225" s="1311"/>
      <c r="ILH225" s="1311"/>
      <c r="ILI225" s="1311"/>
      <c r="ILJ225" s="1311"/>
      <c r="ILK225" s="1311"/>
      <c r="ILL225" s="1311"/>
      <c r="ILM225" s="1311"/>
      <c r="ILN225" s="1311"/>
      <c r="ILO225" s="1311"/>
      <c r="ILP225" s="1311"/>
      <c r="ILQ225" s="1311"/>
      <c r="ILR225" s="1311"/>
      <c r="ILS225" s="1311"/>
      <c r="ILT225" s="1311"/>
      <c r="ILU225" s="1311"/>
      <c r="ILV225" s="1311"/>
      <c r="ILW225" s="1311"/>
      <c r="ILX225" s="1311"/>
      <c r="ILY225" s="1311"/>
      <c r="ILZ225" s="1311"/>
      <c r="IMA225" s="1311"/>
      <c r="IMB225" s="1311"/>
      <c r="IMC225" s="1311"/>
      <c r="IMD225" s="1311"/>
      <c r="IME225" s="1311"/>
      <c r="IMF225" s="1311"/>
      <c r="IMG225" s="1311"/>
      <c r="IMH225" s="1311"/>
      <c r="IMI225" s="1311"/>
      <c r="IMJ225" s="1311"/>
      <c r="IMK225" s="1311"/>
      <c r="IML225" s="1311"/>
      <c r="IMM225" s="1311"/>
      <c r="IMN225" s="1311"/>
      <c r="IMO225" s="1311"/>
      <c r="IMP225" s="1311"/>
      <c r="IMQ225" s="1311"/>
      <c r="IMR225" s="1311"/>
      <c r="IMS225" s="1311"/>
      <c r="IMT225" s="1311"/>
      <c r="IMU225" s="1311"/>
      <c r="IMV225" s="1311"/>
      <c r="IMW225" s="1311"/>
      <c r="IMX225" s="1311"/>
      <c r="IMY225" s="1311"/>
      <c r="IMZ225" s="1311"/>
      <c r="INA225" s="1311"/>
      <c r="INB225" s="1311"/>
      <c r="INC225" s="1311"/>
      <c r="IND225" s="1311"/>
      <c r="INE225" s="1311"/>
      <c r="INF225" s="1311"/>
      <c r="ING225" s="1311"/>
      <c r="INH225" s="1311"/>
      <c r="INI225" s="1311"/>
      <c r="INJ225" s="1311"/>
      <c r="INK225" s="1311"/>
      <c r="INL225" s="1311"/>
      <c r="INM225" s="1311"/>
      <c r="INN225" s="1311"/>
      <c r="INO225" s="1311"/>
      <c r="INP225" s="1311"/>
      <c r="INQ225" s="1311"/>
      <c r="INR225" s="1311"/>
      <c r="INS225" s="1311"/>
      <c r="INT225" s="1311"/>
      <c r="INU225" s="1311"/>
      <c r="INV225" s="1311"/>
      <c r="INW225" s="1311"/>
      <c r="INX225" s="1311"/>
      <c r="INY225" s="1311"/>
      <c r="INZ225" s="1311"/>
      <c r="IOA225" s="1311"/>
      <c r="IOB225" s="1311"/>
      <c r="IOC225" s="1311"/>
      <c r="IOD225" s="1311"/>
      <c r="IOE225" s="1311"/>
      <c r="IOF225" s="1311"/>
      <c r="IOG225" s="1311"/>
      <c r="IOH225" s="1311"/>
      <c r="IOI225" s="1311"/>
      <c r="IOJ225" s="1311"/>
      <c r="IOK225" s="1311"/>
      <c r="IOL225" s="1311"/>
      <c r="IOM225" s="1311"/>
      <c r="ION225" s="1311"/>
      <c r="IOO225" s="1311"/>
      <c r="IOP225" s="1311"/>
      <c r="IOQ225" s="1311"/>
      <c r="IOR225" s="1311"/>
      <c r="IOS225" s="1311"/>
      <c r="IOT225" s="1311"/>
      <c r="IOU225" s="1311"/>
      <c r="IOV225" s="1311"/>
      <c r="IOW225" s="1311"/>
      <c r="IOX225" s="1311"/>
      <c r="IOY225" s="1311"/>
      <c r="IOZ225" s="1311"/>
      <c r="IPA225" s="1311"/>
      <c r="IPB225" s="1311"/>
      <c r="IPC225" s="1311"/>
      <c r="IPD225" s="1311"/>
      <c r="IPE225" s="1311"/>
      <c r="IPF225" s="1311"/>
      <c r="IPG225" s="1311"/>
      <c r="IPH225" s="1311"/>
      <c r="IPI225" s="1311"/>
      <c r="IPJ225" s="1311"/>
      <c r="IPK225" s="1311"/>
      <c r="IPL225" s="1311"/>
      <c r="IPM225" s="1311"/>
      <c r="IPN225" s="1311"/>
      <c r="IPO225" s="1311"/>
      <c r="IPP225" s="1311"/>
      <c r="IPQ225" s="1311"/>
      <c r="IPR225" s="1311"/>
      <c r="IPS225" s="1311"/>
      <c r="IPT225" s="1311"/>
      <c r="IPU225" s="1311"/>
      <c r="IPV225" s="1311"/>
      <c r="IPW225" s="1311"/>
      <c r="IPX225" s="1311"/>
      <c r="IPY225" s="1311"/>
      <c r="IPZ225" s="1311"/>
      <c r="IQA225" s="1311"/>
      <c r="IQB225" s="1311"/>
      <c r="IQC225" s="1311"/>
      <c r="IQD225" s="1311"/>
      <c r="IQE225" s="1311"/>
      <c r="IQF225" s="1311"/>
      <c r="IQG225" s="1311"/>
      <c r="IQH225" s="1311"/>
      <c r="IQI225" s="1311"/>
      <c r="IQJ225" s="1311"/>
      <c r="IQK225" s="1311"/>
      <c r="IQL225" s="1311"/>
      <c r="IQM225" s="1311"/>
      <c r="IQN225" s="1311"/>
      <c r="IQO225" s="1311"/>
      <c r="IQP225" s="1311"/>
      <c r="IQQ225" s="1311"/>
      <c r="IQR225" s="1311"/>
      <c r="IQS225" s="1311"/>
      <c r="IQT225" s="1311"/>
      <c r="IQU225" s="1311"/>
      <c r="IQV225" s="1311"/>
      <c r="IQW225" s="1311"/>
      <c r="IQX225" s="1311"/>
      <c r="IQY225" s="1311"/>
      <c r="IQZ225" s="1311"/>
      <c r="IRA225" s="1311"/>
      <c r="IRB225" s="1311"/>
      <c r="IRC225" s="1311"/>
      <c r="IRD225" s="1311"/>
      <c r="IRE225" s="1311"/>
      <c r="IRF225" s="1311"/>
      <c r="IRG225" s="1311"/>
      <c r="IRH225" s="1311"/>
      <c r="IRI225" s="1311"/>
      <c r="IRJ225" s="1311"/>
      <c r="IRK225" s="1311"/>
      <c r="IRL225" s="1311"/>
      <c r="IRM225" s="1311"/>
      <c r="IRN225" s="1311"/>
      <c r="IRO225" s="1311"/>
      <c r="IRP225" s="1311"/>
      <c r="IRQ225" s="1311"/>
      <c r="IRR225" s="1311"/>
      <c r="IRS225" s="1311"/>
      <c r="IRT225" s="1311"/>
      <c r="IRU225" s="1311"/>
      <c r="IRV225" s="1311"/>
      <c r="IRW225" s="1311"/>
      <c r="IRX225" s="1311"/>
      <c r="IRY225" s="1311"/>
      <c r="IRZ225" s="1311"/>
      <c r="ISA225" s="1311"/>
      <c r="ISB225" s="1311"/>
      <c r="ISC225" s="1311"/>
      <c r="ISD225" s="1311"/>
      <c r="ISE225" s="1311"/>
      <c r="ISF225" s="1311"/>
      <c r="ISG225" s="1311"/>
      <c r="ISH225" s="1311"/>
      <c r="ISI225" s="1311"/>
      <c r="ISJ225" s="1311"/>
      <c r="ISK225" s="1311"/>
      <c r="ISL225" s="1311"/>
      <c r="ISM225" s="1311"/>
      <c r="ISN225" s="1311"/>
      <c r="ISO225" s="1311"/>
      <c r="ISP225" s="1311"/>
      <c r="ISQ225" s="1311"/>
      <c r="ISR225" s="1311"/>
      <c r="ISS225" s="1311"/>
      <c r="IST225" s="1311"/>
      <c r="ISU225" s="1311"/>
      <c r="ISV225" s="1311"/>
      <c r="ISW225" s="1311"/>
      <c r="ISX225" s="1311"/>
      <c r="ISY225" s="1311"/>
      <c r="ISZ225" s="1311"/>
      <c r="ITA225" s="1311"/>
      <c r="ITB225" s="1311"/>
      <c r="ITC225" s="1311"/>
      <c r="ITD225" s="1311"/>
      <c r="ITE225" s="1311"/>
      <c r="ITF225" s="1311"/>
      <c r="ITG225" s="1311"/>
      <c r="ITH225" s="1311"/>
      <c r="ITI225" s="1311"/>
      <c r="ITJ225" s="1311"/>
      <c r="ITK225" s="1311"/>
      <c r="ITL225" s="1311"/>
      <c r="ITM225" s="1311"/>
      <c r="ITN225" s="1311"/>
      <c r="ITO225" s="1311"/>
      <c r="ITP225" s="1311"/>
      <c r="ITQ225" s="1311"/>
      <c r="ITR225" s="1311"/>
      <c r="ITS225" s="1311"/>
      <c r="ITT225" s="1311"/>
      <c r="ITU225" s="1311"/>
      <c r="ITV225" s="1311"/>
      <c r="ITW225" s="1311"/>
      <c r="ITX225" s="1311"/>
      <c r="ITY225" s="1311"/>
      <c r="ITZ225" s="1311"/>
      <c r="IUA225" s="1311"/>
      <c r="IUB225" s="1311"/>
      <c r="IUC225" s="1311"/>
      <c r="IUD225" s="1311"/>
      <c r="IUE225" s="1311"/>
      <c r="IUF225" s="1311"/>
      <c r="IUG225" s="1311"/>
      <c r="IUH225" s="1311"/>
      <c r="IUI225" s="1311"/>
      <c r="IUJ225" s="1311"/>
      <c r="IUK225" s="1311"/>
      <c r="IUL225" s="1311"/>
      <c r="IUM225" s="1311"/>
      <c r="IUN225" s="1311"/>
      <c r="IUO225" s="1311"/>
      <c r="IUP225" s="1311"/>
      <c r="IUQ225" s="1311"/>
      <c r="IUR225" s="1311"/>
      <c r="IUS225" s="1311"/>
      <c r="IUT225" s="1311"/>
      <c r="IUU225" s="1311"/>
      <c r="IUV225" s="1311"/>
      <c r="IUW225" s="1311"/>
      <c r="IUX225" s="1311"/>
      <c r="IUY225" s="1311"/>
      <c r="IUZ225" s="1311"/>
      <c r="IVA225" s="1311"/>
      <c r="IVB225" s="1311"/>
      <c r="IVC225" s="1311"/>
      <c r="IVD225" s="1311"/>
      <c r="IVE225" s="1311"/>
      <c r="IVF225" s="1311"/>
      <c r="IVG225" s="1311"/>
      <c r="IVH225" s="1311"/>
      <c r="IVI225" s="1311"/>
      <c r="IVJ225" s="1311"/>
      <c r="IVK225" s="1311"/>
      <c r="IVL225" s="1311"/>
      <c r="IVM225" s="1311"/>
      <c r="IVN225" s="1311"/>
      <c r="IVO225" s="1311"/>
      <c r="IVP225" s="1311"/>
      <c r="IVQ225" s="1311"/>
      <c r="IVR225" s="1311"/>
      <c r="IVS225" s="1311"/>
      <c r="IVT225" s="1311"/>
      <c r="IVU225" s="1311"/>
      <c r="IVV225" s="1311"/>
      <c r="IVW225" s="1311"/>
      <c r="IVX225" s="1311"/>
      <c r="IVY225" s="1311"/>
      <c r="IVZ225" s="1311"/>
      <c r="IWA225" s="1311"/>
      <c r="IWB225" s="1311"/>
      <c r="IWC225" s="1311"/>
      <c r="IWD225" s="1311"/>
      <c r="IWE225" s="1311"/>
      <c r="IWF225" s="1311"/>
      <c r="IWG225" s="1311"/>
      <c r="IWH225" s="1311"/>
      <c r="IWI225" s="1311"/>
      <c r="IWJ225" s="1311"/>
      <c r="IWK225" s="1311"/>
      <c r="IWL225" s="1311"/>
      <c r="IWM225" s="1311"/>
      <c r="IWN225" s="1311"/>
      <c r="IWO225" s="1311"/>
      <c r="IWP225" s="1311"/>
      <c r="IWQ225" s="1311"/>
      <c r="IWR225" s="1311"/>
      <c r="IWS225" s="1311"/>
      <c r="IWT225" s="1311"/>
      <c r="IWU225" s="1311"/>
      <c r="IWV225" s="1311"/>
      <c r="IWW225" s="1311"/>
      <c r="IWX225" s="1311"/>
      <c r="IWY225" s="1311"/>
      <c r="IWZ225" s="1311"/>
      <c r="IXA225" s="1311"/>
      <c r="IXB225" s="1311"/>
      <c r="IXC225" s="1311"/>
      <c r="IXD225" s="1311"/>
      <c r="IXE225" s="1311"/>
      <c r="IXF225" s="1311"/>
      <c r="IXG225" s="1311"/>
      <c r="IXH225" s="1311"/>
      <c r="IXI225" s="1311"/>
      <c r="IXJ225" s="1311"/>
      <c r="IXK225" s="1311"/>
      <c r="IXL225" s="1311"/>
      <c r="IXM225" s="1311"/>
      <c r="IXN225" s="1311"/>
      <c r="IXO225" s="1311"/>
      <c r="IXP225" s="1311"/>
      <c r="IXQ225" s="1311"/>
      <c r="IXR225" s="1311"/>
      <c r="IXS225" s="1311"/>
      <c r="IXT225" s="1311"/>
      <c r="IXU225" s="1311"/>
      <c r="IXV225" s="1311"/>
      <c r="IXW225" s="1311"/>
      <c r="IXX225" s="1311"/>
      <c r="IXY225" s="1311"/>
      <c r="IXZ225" s="1311"/>
      <c r="IYA225" s="1311"/>
      <c r="IYB225" s="1311"/>
      <c r="IYC225" s="1311"/>
      <c r="IYD225" s="1311"/>
      <c r="IYE225" s="1311"/>
      <c r="IYF225" s="1311"/>
      <c r="IYG225" s="1311"/>
      <c r="IYH225" s="1311"/>
      <c r="IYI225" s="1311"/>
      <c r="IYJ225" s="1311"/>
      <c r="IYK225" s="1311"/>
      <c r="IYL225" s="1311"/>
      <c r="IYM225" s="1311"/>
      <c r="IYN225" s="1311"/>
      <c r="IYO225" s="1311"/>
      <c r="IYP225" s="1311"/>
      <c r="IYQ225" s="1311"/>
      <c r="IYR225" s="1311"/>
      <c r="IYS225" s="1311"/>
      <c r="IYT225" s="1311"/>
      <c r="IYU225" s="1311"/>
      <c r="IYV225" s="1311"/>
      <c r="IYW225" s="1311"/>
      <c r="IYX225" s="1311"/>
      <c r="IYY225" s="1311"/>
      <c r="IYZ225" s="1311"/>
      <c r="IZA225" s="1311"/>
      <c r="IZB225" s="1311"/>
      <c r="IZC225" s="1311"/>
      <c r="IZD225" s="1311"/>
      <c r="IZE225" s="1311"/>
      <c r="IZF225" s="1311"/>
      <c r="IZG225" s="1311"/>
      <c r="IZH225" s="1311"/>
      <c r="IZI225" s="1311"/>
      <c r="IZJ225" s="1311"/>
      <c r="IZK225" s="1311"/>
      <c r="IZL225" s="1311"/>
      <c r="IZM225" s="1311"/>
      <c r="IZN225" s="1311"/>
      <c r="IZO225" s="1311"/>
      <c r="IZP225" s="1311"/>
      <c r="IZQ225" s="1311"/>
      <c r="IZR225" s="1311"/>
      <c r="IZS225" s="1311"/>
      <c r="IZT225" s="1311"/>
      <c r="IZU225" s="1311"/>
      <c r="IZV225" s="1311"/>
      <c r="IZW225" s="1311"/>
      <c r="IZX225" s="1311"/>
      <c r="IZY225" s="1311"/>
      <c r="IZZ225" s="1311"/>
      <c r="JAA225" s="1311"/>
      <c r="JAB225" s="1311"/>
      <c r="JAC225" s="1311"/>
      <c r="JAD225" s="1311"/>
      <c r="JAE225" s="1311"/>
      <c r="JAF225" s="1311"/>
      <c r="JAG225" s="1311"/>
      <c r="JAH225" s="1311"/>
      <c r="JAI225" s="1311"/>
      <c r="JAJ225" s="1311"/>
      <c r="JAK225" s="1311"/>
      <c r="JAL225" s="1311"/>
      <c r="JAM225" s="1311"/>
      <c r="JAN225" s="1311"/>
      <c r="JAO225" s="1311"/>
      <c r="JAP225" s="1311"/>
      <c r="JAQ225" s="1311"/>
      <c r="JAR225" s="1311"/>
      <c r="JAS225" s="1311"/>
      <c r="JAT225" s="1311"/>
      <c r="JAU225" s="1311"/>
      <c r="JAV225" s="1311"/>
      <c r="JAW225" s="1311"/>
      <c r="JAX225" s="1311"/>
      <c r="JAY225" s="1311"/>
      <c r="JAZ225" s="1311"/>
      <c r="JBA225" s="1311"/>
      <c r="JBB225" s="1311"/>
      <c r="JBC225" s="1311"/>
      <c r="JBD225" s="1311"/>
      <c r="JBE225" s="1311"/>
      <c r="JBF225" s="1311"/>
      <c r="JBG225" s="1311"/>
      <c r="JBH225" s="1311"/>
      <c r="JBI225" s="1311"/>
      <c r="JBJ225" s="1311"/>
      <c r="JBK225" s="1311"/>
      <c r="JBL225" s="1311"/>
      <c r="JBM225" s="1311"/>
      <c r="JBN225" s="1311"/>
      <c r="JBO225" s="1311"/>
      <c r="JBP225" s="1311"/>
      <c r="JBQ225" s="1311"/>
      <c r="JBR225" s="1311"/>
      <c r="JBS225" s="1311"/>
      <c r="JBT225" s="1311"/>
      <c r="JBU225" s="1311"/>
      <c r="JBV225" s="1311"/>
      <c r="JBW225" s="1311"/>
      <c r="JBX225" s="1311"/>
      <c r="JBY225" s="1311"/>
      <c r="JBZ225" s="1311"/>
      <c r="JCA225" s="1311"/>
      <c r="JCB225" s="1311"/>
      <c r="JCC225" s="1311"/>
      <c r="JCD225" s="1311"/>
      <c r="JCE225" s="1311"/>
      <c r="JCF225" s="1311"/>
      <c r="JCG225" s="1311"/>
      <c r="JCH225" s="1311"/>
      <c r="JCI225" s="1311"/>
      <c r="JCJ225" s="1311"/>
      <c r="JCK225" s="1311"/>
      <c r="JCL225" s="1311"/>
      <c r="JCM225" s="1311"/>
      <c r="JCN225" s="1311"/>
      <c r="JCO225" s="1311"/>
      <c r="JCP225" s="1311"/>
      <c r="JCQ225" s="1311"/>
      <c r="JCR225" s="1311"/>
      <c r="JCS225" s="1311"/>
      <c r="JCT225" s="1311"/>
      <c r="JCU225" s="1311"/>
      <c r="JCV225" s="1311"/>
      <c r="JCW225" s="1311"/>
      <c r="JCX225" s="1311"/>
      <c r="JCY225" s="1311"/>
      <c r="JCZ225" s="1311"/>
      <c r="JDA225" s="1311"/>
      <c r="JDB225" s="1311"/>
      <c r="JDC225" s="1311"/>
      <c r="JDD225" s="1311"/>
      <c r="JDE225" s="1311"/>
      <c r="JDF225" s="1311"/>
      <c r="JDG225" s="1311"/>
      <c r="JDH225" s="1311"/>
      <c r="JDI225" s="1311"/>
      <c r="JDJ225" s="1311"/>
      <c r="JDK225" s="1311"/>
      <c r="JDL225" s="1311"/>
      <c r="JDM225" s="1311"/>
      <c r="JDN225" s="1311"/>
      <c r="JDO225" s="1311"/>
      <c r="JDP225" s="1311"/>
      <c r="JDQ225" s="1311"/>
      <c r="JDR225" s="1311"/>
      <c r="JDS225" s="1311"/>
      <c r="JDT225" s="1311"/>
      <c r="JDU225" s="1311"/>
      <c r="JDV225" s="1311"/>
      <c r="JDW225" s="1311"/>
      <c r="JDX225" s="1311"/>
      <c r="JDY225" s="1311"/>
      <c r="JDZ225" s="1311"/>
      <c r="JEA225" s="1311"/>
      <c r="JEB225" s="1311"/>
      <c r="JEC225" s="1311"/>
      <c r="JED225" s="1311"/>
      <c r="JEE225" s="1311"/>
      <c r="JEF225" s="1311"/>
      <c r="JEG225" s="1311"/>
      <c r="JEH225" s="1311"/>
      <c r="JEI225" s="1311"/>
      <c r="JEJ225" s="1311"/>
      <c r="JEK225" s="1311"/>
      <c r="JEL225" s="1311"/>
      <c r="JEM225" s="1311"/>
      <c r="JEN225" s="1311"/>
      <c r="JEO225" s="1311"/>
      <c r="JEP225" s="1311"/>
      <c r="JEQ225" s="1311"/>
      <c r="JER225" s="1311"/>
      <c r="JES225" s="1311"/>
      <c r="JET225" s="1311"/>
      <c r="JEU225" s="1311"/>
      <c r="JEV225" s="1311"/>
      <c r="JEW225" s="1311"/>
      <c r="JEX225" s="1311"/>
      <c r="JEY225" s="1311"/>
      <c r="JEZ225" s="1311"/>
      <c r="JFA225" s="1311"/>
      <c r="JFB225" s="1311"/>
      <c r="JFC225" s="1311"/>
      <c r="JFD225" s="1311"/>
      <c r="JFE225" s="1311"/>
      <c r="JFF225" s="1311"/>
      <c r="JFG225" s="1311"/>
      <c r="JFH225" s="1311"/>
      <c r="JFI225" s="1311"/>
      <c r="JFJ225" s="1311"/>
      <c r="JFK225" s="1311"/>
      <c r="JFL225" s="1311"/>
      <c r="JFM225" s="1311"/>
      <c r="JFN225" s="1311"/>
      <c r="JFO225" s="1311"/>
      <c r="JFP225" s="1311"/>
      <c r="JFQ225" s="1311"/>
      <c r="JFR225" s="1311"/>
      <c r="JFS225" s="1311"/>
      <c r="JFT225" s="1311"/>
      <c r="JFU225" s="1311"/>
      <c r="JFV225" s="1311"/>
      <c r="JFW225" s="1311"/>
      <c r="JFX225" s="1311"/>
      <c r="JFY225" s="1311"/>
      <c r="JFZ225" s="1311"/>
      <c r="JGA225" s="1311"/>
      <c r="JGB225" s="1311"/>
      <c r="JGC225" s="1311"/>
      <c r="JGD225" s="1311"/>
      <c r="JGE225" s="1311"/>
      <c r="JGF225" s="1311"/>
      <c r="JGG225" s="1311"/>
      <c r="JGH225" s="1311"/>
      <c r="JGI225" s="1311"/>
      <c r="JGJ225" s="1311"/>
      <c r="JGK225" s="1311"/>
      <c r="JGL225" s="1311"/>
      <c r="JGM225" s="1311"/>
      <c r="JGN225" s="1311"/>
      <c r="JGO225" s="1311"/>
      <c r="JGP225" s="1311"/>
      <c r="JGQ225" s="1311"/>
      <c r="JGR225" s="1311"/>
      <c r="JGS225" s="1311"/>
      <c r="JGT225" s="1311"/>
      <c r="JGU225" s="1311"/>
      <c r="JGV225" s="1311"/>
      <c r="JGW225" s="1311"/>
      <c r="JGX225" s="1311"/>
      <c r="JGY225" s="1311"/>
      <c r="JGZ225" s="1311"/>
      <c r="JHA225" s="1311"/>
      <c r="JHB225" s="1311"/>
      <c r="JHC225" s="1311"/>
      <c r="JHD225" s="1311"/>
      <c r="JHE225" s="1311"/>
      <c r="JHF225" s="1311"/>
      <c r="JHG225" s="1311"/>
      <c r="JHH225" s="1311"/>
      <c r="JHI225" s="1311"/>
      <c r="JHJ225" s="1311"/>
      <c r="JHK225" s="1311"/>
      <c r="JHL225" s="1311"/>
      <c r="JHM225" s="1311"/>
      <c r="JHN225" s="1311"/>
      <c r="JHO225" s="1311"/>
      <c r="JHP225" s="1311"/>
      <c r="JHQ225" s="1311"/>
      <c r="JHR225" s="1311"/>
      <c r="JHS225" s="1311"/>
      <c r="JHT225" s="1311"/>
      <c r="JHU225" s="1311"/>
      <c r="JHV225" s="1311"/>
      <c r="JHW225" s="1311"/>
      <c r="JHX225" s="1311"/>
      <c r="JHY225" s="1311"/>
      <c r="JHZ225" s="1311"/>
      <c r="JIA225" s="1311"/>
      <c r="JIB225" s="1311"/>
      <c r="JIC225" s="1311"/>
      <c r="JID225" s="1311"/>
      <c r="JIE225" s="1311"/>
      <c r="JIF225" s="1311"/>
      <c r="JIG225" s="1311"/>
      <c r="JIH225" s="1311"/>
      <c r="JII225" s="1311"/>
      <c r="JIJ225" s="1311"/>
      <c r="JIK225" s="1311"/>
      <c r="JIL225" s="1311"/>
      <c r="JIM225" s="1311"/>
      <c r="JIN225" s="1311"/>
      <c r="JIO225" s="1311"/>
      <c r="JIP225" s="1311"/>
      <c r="JIQ225" s="1311"/>
      <c r="JIR225" s="1311"/>
      <c r="JIS225" s="1311"/>
      <c r="JIT225" s="1311"/>
      <c r="JIU225" s="1311"/>
      <c r="JIV225" s="1311"/>
      <c r="JIW225" s="1311"/>
      <c r="JIX225" s="1311"/>
      <c r="JIY225" s="1311"/>
      <c r="JIZ225" s="1311"/>
      <c r="JJA225" s="1311"/>
      <c r="JJB225" s="1311"/>
      <c r="JJC225" s="1311"/>
      <c r="JJD225" s="1311"/>
      <c r="JJE225" s="1311"/>
      <c r="JJF225" s="1311"/>
      <c r="JJG225" s="1311"/>
      <c r="JJH225" s="1311"/>
      <c r="JJI225" s="1311"/>
      <c r="JJJ225" s="1311"/>
      <c r="JJK225" s="1311"/>
      <c r="JJL225" s="1311"/>
      <c r="JJM225" s="1311"/>
      <c r="JJN225" s="1311"/>
      <c r="JJO225" s="1311"/>
      <c r="JJP225" s="1311"/>
      <c r="JJQ225" s="1311"/>
      <c r="JJR225" s="1311"/>
      <c r="JJS225" s="1311"/>
      <c r="JJT225" s="1311"/>
      <c r="JJU225" s="1311"/>
      <c r="JJV225" s="1311"/>
      <c r="JJW225" s="1311"/>
      <c r="JJX225" s="1311"/>
      <c r="JJY225" s="1311"/>
      <c r="JJZ225" s="1311"/>
      <c r="JKA225" s="1311"/>
      <c r="JKB225" s="1311"/>
      <c r="JKC225" s="1311"/>
      <c r="JKD225" s="1311"/>
      <c r="JKE225" s="1311"/>
      <c r="JKF225" s="1311"/>
      <c r="JKG225" s="1311"/>
      <c r="JKH225" s="1311"/>
      <c r="JKI225" s="1311"/>
      <c r="JKJ225" s="1311"/>
      <c r="JKK225" s="1311"/>
      <c r="JKL225" s="1311"/>
      <c r="JKM225" s="1311"/>
      <c r="JKN225" s="1311"/>
      <c r="JKO225" s="1311"/>
      <c r="JKP225" s="1311"/>
      <c r="JKQ225" s="1311"/>
      <c r="JKR225" s="1311"/>
      <c r="JKS225" s="1311"/>
      <c r="JKT225" s="1311"/>
      <c r="JKU225" s="1311"/>
      <c r="JKV225" s="1311"/>
      <c r="JKW225" s="1311"/>
      <c r="JKX225" s="1311"/>
      <c r="JKY225" s="1311"/>
      <c r="JKZ225" s="1311"/>
      <c r="JLA225" s="1311"/>
      <c r="JLB225" s="1311"/>
      <c r="JLC225" s="1311"/>
      <c r="JLD225" s="1311"/>
      <c r="JLE225" s="1311"/>
      <c r="JLF225" s="1311"/>
      <c r="JLG225" s="1311"/>
      <c r="JLH225" s="1311"/>
      <c r="JLI225" s="1311"/>
      <c r="JLJ225" s="1311"/>
      <c r="JLK225" s="1311"/>
      <c r="JLL225" s="1311"/>
      <c r="JLM225" s="1311"/>
      <c r="JLN225" s="1311"/>
      <c r="JLO225" s="1311"/>
      <c r="JLP225" s="1311"/>
      <c r="JLQ225" s="1311"/>
      <c r="JLR225" s="1311"/>
      <c r="JLS225" s="1311"/>
      <c r="JLT225" s="1311"/>
      <c r="JLU225" s="1311"/>
      <c r="JLV225" s="1311"/>
      <c r="JLW225" s="1311"/>
      <c r="JLX225" s="1311"/>
      <c r="JLY225" s="1311"/>
      <c r="JLZ225" s="1311"/>
      <c r="JMA225" s="1311"/>
      <c r="JMB225" s="1311"/>
      <c r="JMC225" s="1311"/>
      <c r="JMD225" s="1311"/>
      <c r="JME225" s="1311"/>
      <c r="JMF225" s="1311"/>
      <c r="JMG225" s="1311"/>
      <c r="JMH225" s="1311"/>
      <c r="JMI225" s="1311"/>
      <c r="JMJ225" s="1311"/>
      <c r="JMK225" s="1311"/>
      <c r="JML225" s="1311"/>
      <c r="JMM225" s="1311"/>
      <c r="JMN225" s="1311"/>
      <c r="JMO225" s="1311"/>
      <c r="JMP225" s="1311"/>
      <c r="JMQ225" s="1311"/>
      <c r="JMR225" s="1311"/>
      <c r="JMS225" s="1311"/>
      <c r="JMT225" s="1311"/>
      <c r="JMU225" s="1311"/>
      <c r="JMV225" s="1311"/>
      <c r="JMW225" s="1311"/>
      <c r="JMX225" s="1311"/>
      <c r="JMY225" s="1311"/>
      <c r="JMZ225" s="1311"/>
      <c r="JNA225" s="1311"/>
      <c r="JNB225" s="1311"/>
      <c r="JNC225" s="1311"/>
      <c r="JND225" s="1311"/>
      <c r="JNE225" s="1311"/>
      <c r="JNF225" s="1311"/>
      <c r="JNG225" s="1311"/>
      <c r="JNH225" s="1311"/>
      <c r="JNI225" s="1311"/>
      <c r="JNJ225" s="1311"/>
      <c r="JNK225" s="1311"/>
      <c r="JNL225" s="1311"/>
      <c r="JNM225" s="1311"/>
      <c r="JNN225" s="1311"/>
      <c r="JNO225" s="1311"/>
      <c r="JNP225" s="1311"/>
      <c r="JNQ225" s="1311"/>
      <c r="JNR225" s="1311"/>
      <c r="JNS225" s="1311"/>
      <c r="JNT225" s="1311"/>
      <c r="JNU225" s="1311"/>
      <c r="JNV225" s="1311"/>
      <c r="JNW225" s="1311"/>
      <c r="JNX225" s="1311"/>
      <c r="JNY225" s="1311"/>
      <c r="JNZ225" s="1311"/>
      <c r="JOA225" s="1311"/>
      <c r="JOB225" s="1311"/>
      <c r="JOC225" s="1311"/>
      <c r="JOD225" s="1311"/>
      <c r="JOE225" s="1311"/>
      <c r="JOF225" s="1311"/>
      <c r="JOG225" s="1311"/>
      <c r="JOH225" s="1311"/>
      <c r="JOI225" s="1311"/>
      <c r="JOJ225" s="1311"/>
      <c r="JOK225" s="1311"/>
      <c r="JOL225" s="1311"/>
      <c r="JOM225" s="1311"/>
      <c r="JON225" s="1311"/>
      <c r="JOO225" s="1311"/>
      <c r="JOP225" s="1311"/>
      <c r="JOQ225" s="1311"/>
      <c r="JOR225" s="1311"/>
      <c r="JOS225" s="1311"/>
      <c r="JOT225" s="1311"/>
      <c r="JOU225" s="1311"/>
      <c r="JOV225" s="1311"/>
      <c r="JOW225" s="1311"/>
      <c r="JOX225" s="1311"/>
      <c r="JOY225" s="1311"/>
      <c r="JOZ225" s="1311"/>
      <c r="JPA225" s="1311"/>
      <c r="JPB225" s="1311"/>
      <c r="JPC225" s="1311"/>
      <c r="JPD225" s="1311"/>
      <c r="JPE225" s="1311"/>
      <c r="JPF225" s="1311"/>
      <c r="JPG225" s="1311"/>
      <c r="JPH225" s="1311"/>
      <c r="JPI225" s="1311"/>
      <c r="JPJ225" s="1311"/>
      <c r="JPK225" s="1311"/>
      <c r="JPL225" s="1311"/>
      <c r="JPM225" s="1311"/>
      <c r="JPN225" s="1311"/>
      <c r="JPO225" s="1311"/>
      <c r="JPP225" s="1311"/>
      <c r="JPQ225" s="1311"/>
      <c r="JPR225" s="1311"/>
      <c r="JPS225" s="1311"/>
      <c r="JPT225" s="1311"/>
      <c r="JPU225" s="1311"/>
      <c r="JPV225" s="1311"/>
      <c r="JPW225" s="1311"/>
      <c r="JPX225" s="1311"/>
      <c r="JPY225" s="1311"/>
      <c r="JPZ225" s="1311"/>
      <c r="JQA225" s="1311"/>
      <c r="JQB225" s="1311"/>
      <c r="JQC225" s="1311"/>
      <c r="JQD225" s="1311"/>
      <c r="JQE225" s="1311"/>
      <c r="JQF225" s="1311"/>
      <c r="JQG225" s="1311"/>
      <c r="JQH225" s="1311"/>
      <c r="JQI225" s="1311"/>
      <c r="JQJ225" s="1311"/>
      <c r="JQK225" s="1311"/>
      <c r="JQL225" s="1311"/>
      <c r="JQM225" s="1311"/>
      <c r="JQN225" s="1311"/>
      <c r="JQO225" s="1311"/>
      <c r="JQP225" s="1311"/>
      <c r="JQQ225" s="1311"/>
      <c r="JQR225" s="1311"/>
      <c r="JQS225" s="1311"/>
      <c r="JQT225" s="1311"/>
      <c r="JQU225" s="1311"/>
      <c r="JQV225" s="1311"/>
      <c r="JQW225" s="1311"/>
      <c r="JQX225" s="1311"/>
      <c r="JQY225" s="1311"/>
      <c r="JQZ225" s="1311"/>
      <c r="JRA225" s="1311"/>
      <c r="JRB225" s="1311"/>
      <c r="JRC225" s="1311"/>
      <c r="JRD225" s="1311"/>
      <c r="JRE225" s="1311"/>
      <c r="JRF225" s="1311"/>
      <c r="JRG225" s="1311"/>
      <c r="JRH225" s="1311"/>
      <c r="JRI225" s="1311"/>
      <c r="JRJ225" s="1311"/>
      <c r="JRK225" s="1311"/>
      <c r="JRL225" s="1311"/>
      <c r="JRM225" s="1311"/>
      <c r="JRN225" s="1311"/>
      <c r="JRO225" s="1311"/>
      <c r="JRP225" s="1311"/>
      <c r="JRQ225" s="1311"/>
      <c r="JRR225" s="1311"/>
      <c r="JRS225" s="1311"/>
      <c r="JRT225" s="1311"/>
      <c r="JRU225" s="1311"/>
      <c r="JRV225" s="1311"/>
      <c r="JRW225" s="1311"/>
      <c r="JRX225" s="1311"/>
      <c r="JRY225" s="1311"/>
      <c r="JRZ225" s="1311"/>
      <c r="JSA225" s="1311"/>
      <c r="JSB225" s="1311"/>
      <c r="JSC225" s="1311"/>
      <c r="JSD225" s="1311"/>
      <c r="JSE225" s="1311"/>
      <c r="JSF225" s="1311"/>
      <c r="JSG225" s="1311"/>
      <c r="JSH225" s="1311"/>
      <c r="JSI225" s="1311"/>
      <c r="JSJ225" s="1311"/>
      <c r="JSK225" s="1311"/>
      <c r="JSL225" s="1311"/>
      <c r="JSM225" s="1311"/>
      <c r="JSN225" s="1311"/>
      <c r="JSO225" s="1311"/>
      <c r="JSP225" s="1311"/>
      <c r="JSQ225" s="1311"/>
      <c r="JSR225" s="1311"/>
      <c r="JSS225" s="1311"/>
      <c r="JST225" s="1311"/>
      <c r="JSU225" s="1311"/>
      <c r="JSV225" s="1311"/>
      <c r="JSW225" s="1311"/>
      <c r="JSX225" s="1311"/>
      <c r="JSY225" s="1311"/>
      <c r="JSZ225" s="1311"/>
      <c r="JTA225" s="1311"/>
      <c r="JTB225" s="1311"/>
      <c r="JTC225" s="1311"/>
      <c r="JTD225" s="1311"/>
      <c r="JTE225" s="1311"/>
      <c r="JTF225" s="1311"/>
      <c r="JTG225" s="1311"/>
      <c r="JTH225" s="1311"/>
      <c r="JTI225" s="1311"/>
      <c r="JTJ225" s="1311"/>
      <c r="JTK225" s="1311"/>
      <c r="JTL225" s="1311"/>
      <c r="JTM225" s="1311"/>
      <c r="JTN225" s="1311"/>
      <c r="JTO225" s="1311"/>
      <c r="JTP225" s="1311"/>
      <c r="JTQ225" s="1311"/>
      <c r="JTR225" s="1311"/>
      <c r="JTS225" s="1311"/>
      <c r="JTT225" s="1311"/>
      <c r="JTU225" s="1311"/>
      <c r="JTV225" s="1311"/>
      <c r="JTW225" s="1311"/>
      <c r="JTX225" s="1311"/>
      <c r="JTY225" s="1311"/>
      <c r="JTZ225" s="1311"/>
      <c r="JUA225" s="1311"/>
      <c r="JUB225" s="1311"/>
      <c r="JUC225" s="1311"/>
      <c r="JUD225" s="1311"/>
      <c r="JUE225" s="1311"/>
      <c r="JUF225" s="1311"/>
      <c r="JUG225" s="1311"/>
      <c r="JUH225" s="1311"/>
      <c r="JUI225" s="1311"/>
      <c r="JUJ225" s="1311"/>
      <c r="JUK225" s="1311"/>
      <c r="JUL225" s="1311"/>
      <c r="JUM225" s="1311"/>
      <c r="JUN225" s="1311"/>
      <c r="JUO225" s="1311"/>
      <c r="JUP225" s="1311"/>
      <c r="JUQ225" s="1311"/>
      <c r="JUR225" s="1311"/>
      <c r="JUS225" s="1311"/>
      <c r="JUT225" s="1311"/>
      <c r="JUU225" s="1311"/>
      <c r="JUV225" s="1311"/>
      <c r="JUW225" s="1311"/>
      <c r="JUX225" s="1311"/>
      <c r="JUY225" s="1311"/>
      <c r="JUZ225" s="1311"/>
      <c r="JVA225" s="1311"/>
      <c r="JVB225" s="1311"/>
      <c r="JVC225" s="1311"/>
      <c r="JVD225" s="1311"/>
      <c r="JVE225" s="1311"/>
      <c r="JVF225" s="1311"/>
      <c r="JVG225" s="1311"/>
      <c r="JVH225" s="1311"/>
      <c r="JVI225" s="1311"/>
      <c r="JVJ225" s="1311"/>
      <c r="JVK225" s="1311"/>
      <c r="JVL225" s="1311"/>
      <c r="JVM225" s="1311"/>
      <c r="JVN225" s="1311"/>
      <c r="JVO225" s="1311"/>
      <c r="JVP225" s="1311"/>
      <c r="JVQ225" s="1311"/>
      <c r="JVR225" s="1311"/>
      <c r="JVS225" s="1311"/>
      <c r="JVT225" s="1311"/>
      <c r="JVU225" s="1311"/>
      <c r="JVV225" s="1311"/>
      <c r="JVW225" s="1311"/>
      <c r="JVX225" s="1311"/>
      <c r="JVY225" s="1311"/>
      <c r="JVZ225" s="1311"/>
      <c r="JWA225" s="1311"/>
      <c r="JWB225" s="1311"/>
      <c r="JWC225" s="1311"/>
      <c r="JWD225" s="1311"/>
      <c r="JWE225" s="1311"/>
      <c r="JWF225" s="1311"/>
      <c r="JWG225" s="1311"/>
      <c r="JWH225" s="1311"/>
      <c r="JWI225" s="1311"/>
      <c r="JWJ225" s="1311"/>
      <c r="JWK225" s="1311"/>
      <c r="JWL225" s="1311"/>
      <c r="JWM225" s="1311"/>
      <c r="JWN225" s="1311"/>
      <c r="JWO225" s="1311"/>
      <c r="JWP225" s="1311"/>
      <c r="JWQ225" s="1311"/>
      <c r="JWR225" s="1311"/>
      <c r="JWS225" s="1311"/>
      <c r="JWT225" s="1311"/>
      <c r="JWU225" s="1311"/>
      <c r="JWV225" s="1311"/>
      <c r="JWW225" s="1311"/>
      <c r="JWX225" s="1311"/>
      <c r="JWY225" s="1311"/>
      <c r="JWZ225" s="1311"/>
      <c r="JXA225" s="1311"/>
      <c r="JXB225" s="1311"/>
      <c r="JXC225" s="1311"/>
      <c r="JXD225" s="1311"/>
      <c r="JXE225" s="1311"/>
      <c r="JXF225" s="1311"/>
      <c r="JXG225" s="1311"/>
      <c r="JXH225" s="1311"/>
      <c r="JXI225" s="1311"/>
      <c r="JXJ225" s="1311"/>
      <c r="JXK225" s="1311"/>
      <c r="JXL225" s="1311"/>
      <c r="JXM225" s="1311"/>
      <c r="JXN225" s="1311"/>
      <c r="JXO225" s="1311"/>
      <c r="JXP225" s="1311"/>
      <c r="JXQ225" s="1311"/>
      <c r="JXR225" s="1311"/>
      <c r="JXS225" s="1311"/>
      <c r="JXT225" s="1311"/>
      <c r="JXU225" s="1311"/>
      <c r="JXV225" s="1311"/>
      <c r="JXW225" s="1311"/>
      <c r="JXX225" s="1311"/>
      <c r="JXY225" s="1311"/>
      <c r="JXZ225" s="1311"/>
      <c r="JYA225" s="1311"/>
      <c r="JYB225" s="1311"/>
      <c r="JYC225" s="1311"/>
      <c r="JYD225" s="1311"/>
      <c r="JYE225" s="1311"/>
      <c r="JYF225" s="1311"/>
      <c r="JYG225" s="1311"/>
      <c r="JYH225" s="1311"/>
      <c r="JYI225" s="1311"/>
      <c r="JYJ225" s="1311"/>
      <c r="JYK225" s="1311"/>
      <c r="JYL225" s="1311"/>
      <c r="JYM225" s="1311"/>
      <c r="JYN225" s="1311"/>
      <c r="JYO225" s="1311"/>
      <c r="JYP225" s="1311"/>
      <c r="JYQ225" s="1311"/>
      <c r="JYR225" s="1311"/>
      <c r="JYS225" s="1311"/>
      <c r="JYT225" s="1311"/>
      <c r="JYU225" s="1311"/>
      <c r="JYV225" s="1311"/>
      <c r="JYW225" s="1311"/>
      <c r="JYX225" s="1311"/>
      <c r="JYY225" s="1311"/>
      <c r="JYZ225" s="1311"/>
      <c r="JZA225" s="1311"/>
      <c r="JZB225" s="1311"/>
      <c r="JZC225" s="1311"/>
      <c r="JZD225" s="1311"/>
      <c r="JZE225" s="1311"/>
      <c r="JZF225" s="1311"/>
      <c r="JZG225" s="1311"/>
      <c r="JZH225" s="1311"/>
      <c r="JZI225" s="1311"/>
      <c r="JZJ225" s="1311"/>
      <c r="JZK225" s="1311"/>
      <c r="JZL225" s="1311"/>
      <c r="JZM225" s="1311"/>
      <c r="JZN225" s="1311"/>
      <c r="JZO225" s="1311"/>
      <c r="JZP225" s="1311"/>
      <c r="JZQ225" s="1311"/>
      <c r="JZR225" s="1311"/>
      <c r="JZS225" s="1311"/>
      <c r="JZT225" s="1311"/>
      <c r="JZU225" s="1311"/>
      <c r="JZV225" s="1311"/>
      <c r="JZW225" s="1311"/>
      <c r="JZX225" s="1311"/>
      <c r="JZY225" s="1311"/>
      <c r="JZZ225" s="1311"/>
      <c r="KAA225" s="1311"/>
      <c r="KAB225" s="1311"/>
      <c r="KAC225" s="1311"/>
      <c r="KAD225" s="1311"/>
      <c r="KAE225" s="1311"/>
      <c r="KAF225" s="1311"/>
      <c r="KAG225" s="1311"/>
      <c r="KAH225" s="1311"/>
      <c r="KAI225" s="1311"/>
      <c r="KAJ225" s="1311"/>
      <c r="KAK225" s="1311"/>
      <c r="KAL225" s="1311"/>
      <c r="KAM225" s="1311"/>
      <c r="KAN225" s="1311"/>
      <c r="KAO225" s="1311"/>
      <c r="KAP225" s="1311"/>
      <c r="KAQ225" s="1311"/>
      <c r="KAR225" s="1311"/>
      <c r="KAS225" s="1311"/>
      <c r="KAT225" s="1311"/>
      <c r="KAU225" s="1311"/>
      <c r="KAV225" s="1311"/>
      <c r="KAW225" s="1311"/>
      <c r="KAX225" s="1311"/>
      <c r="KAY225" s="1311"/>
      <c r="KAZ225" s="1311"/>
      <c r="KBA225" s="1311"/>
      <c r="KBB225" s="1311"/>
      <c r="KBC225" s="1311"/>
      <c r="KBD225" s="1311"/>
      <c r="KBE225" s="1311"/>
      <c r="KBF225" s="1311"/>
      <c r="KBG225" s="1311"/>
      <c r="KBH225" s="1311"/>
      <c r="KBI225" s="1311"/>
      <c r="KBJ225" s="1311"/>
      <c r="KBK225" s="1311"/>
      <c r="KBL225" s="1311"/>
      <c r="KBM225" s="1311"/>
      <c r="KBN225" s="1311"/>
      <c r="KBO225" s="1311"/>
      <c r="KBP225" s="1311"/>
      <c r="KBQ225" s="1311"/>
      <c r="KBR225" s="1311"/>
      <c r="KBS225" s="1311"/>
      <c r="KBT225" s="1311"/>
      <c r="KBU225" s="1311"/>
      <c r="KBV225" s="1311"/>
      <c r="KBW225" s="1311"/>
      <c r="KBX225" s="1311"/>
      <c r="KBY225" s="1311"/>
      <c r="KBZ225" s="1311"/>
      <c r="KCA225" s="1311"/>
      <c r="KCB225" s="1311"/>
      <c r="KCC225" s="1311"/>
      <c r="KCD225" s="1311"/>
      <c r="KCE225" s="1311"/>
      <c r="KCF225" s="1311"/>
      <c r="KCG225" s="1311"/>
      <c r="KCH225" s="1311"/>
      <c r="KCI225" s="1311"/>
      <c r="KCJ225" s="1311"/>
      <c r="KCK225" s="1311"/>
      <c r="KCL225" s="1311"/>
      <c r="KCM225" s="1311"/>
      <c r="KCN225" s="1311"/>
      <c r="KCO225" s="1311"/>
      <c r="KCP225" s="1311"/>
      <c r="KCQ225" s="1311"/>
      <c r="KCR225" s="1311"/>
      <c r="KCS225" s="1311"/>
      <c r="KCT225" s="1311"/>
      <c r="KCU225" s="1311"/>
      <c r="KCV225" s="1311"/>
      <c r="KCW225" s="1311"/>
      <c r="KCX225" s="1311"/>
      <c r="KCY225" s="1311"/>
      <c r="KCZ225" s="1311"/>
      <c r="KDA225" s="1311"/>
      <c r="KDB225" s="1311"/>
      <c r="KDC225" s="1311"/>
      <c r="KDD225" s="1311"/>
      <c r="KDE225" s="1311"/>
      <c r="KDF225" s="1311"/>
      <c r="KDG225" s="1311"/>
      <c r="KDH225" s="1311"/>
      <c r="KDI225" s="1311"/>
      <c r="KDJ225" s="1311"/>
      <c r="KDK225" s="1311"/>
      <c r="KDL225" s="1311"/>
      <c r="KDM225" s="1311"/>
      <c r="KDN225" s="1311"/>
      <c r="KDO225" s="1311"/>
      <c r="KDP225" s="1311"/>
      <c r="KDQ225" s="1311"/>
      <c r="KDR225" s="1311"/>
      <c r="KDS225" s="1311"/>
      <c r="KDT225" s="1311"/>
      <c r="KDU225" s="1311"/>
      <c r="KDV225" s="1311"/>
      <c r="KDW225" s="1311"/>
      <c r="KDX225" s="1311"/>
      <c r="KDY225" s="1311"/>
      <c r="KDZ225" s="1311"/>
      <c r="KEA225" s="1311"/>
      <c r="KEB225" s="1311"/>
      <c r="KEC225" s="1311"/>
      <c r="KED225" s="1311"/>
      <c r="KEE225" s="1311"/>
      <c r="KEF225" s="1311"/>
      <c r="KEG225" s="1311"/>
      <c r="KEH225" s="1311"/>
      <c r="KEI225" s="1311"/>
      <c r="KEJ225" s="1311"/>
      <c r="KEK225" s="1311"/>
      <c r="KEL225" s="1311"/>
      <c r="KEM225" s="1311"/>
      <c r="KEN225" s="1311"/>
      <c r="KEO225" s="1311"/>
      <c r="KEP225" s="1311"/>
      <c r="KEQ225" s="1311"/>
      <c r="KER225" s="1311"/>
      <c r="KES225" s="1311"/>
      <c r="KET225" s="1311"/>
      <c r="KEU225" s="1311"/>
      <c r="KEV225" s="1311"/>
      <c r="KEW225" s="1311"/>
      <c r="KEX225" s="1311"/>
      <c r="KEY225" s="1311"/>
      <c r="KEZ225" s="1311"/>
      <c r="KFA225" s="1311"/>
      <c r="KFB225" s="1311"/>
      <c r="KFC225" s="1311"/>
      <c r="KFD225" s="1311"/>
      <c r="KFE225" s="1311"/>
      <c r="KFF225" s="1311"/>
      <c r="KFG225" s="1311"/>
      <c r="KFH225" s="1311"/>
      <c r="KFI225" s="1311"/>
      <c r="KFJ225" s="1311"/>
      <c r="KFK225" s="1311"/>
      <c r="KFL225" s="1311"/>
      <c r="KFM225" s="1311"/>
      <c r="KFN225" s="1311"/>
      <c r="KFO225" s="1311"/>
      <c r="KFP225" s="1311"/>
      <c r="KFQ225" s="1311"/>
      <c r="KFR225" s="1311"/>
      <c r="KFS225" s="1311"/>
      <c r="KFT225" s="1311"/>
      <c r="KFU225" s="1311"/>
      <c r="KFV225" s="1311"/>
      <c r="KFW225" s="1311"/>
      <c r="KFX225" s="1311"/>
      <c r="KFY225" s="1311"/>
      <c r="KFZ225" s="1311"/>
      <c r="KGA225" s="1311"/>
      <c r="KGB225" s="1311"/>
      <c r="KGC225" s="1311"/>
      <c r="KGD225" s="1311"/>
      <c r="KGE225" s="1311"/>
      <c r="KGF225" s="1311"/>
      <c r="KGG225" s="1311"/>
      <c r="KGH225" s="1311"/>
      <c r="KGI225" s="1311"/>
      <c r="KGJ225" s="1311"/>
      <c r="KGK225" s="1311"/>
      <c r="KGL225" s="1311"/>
      <c r="KGM225" s="1311"/>
      <c r="KGN225" s="1311"/>
      <c r="KGO225" s="1311"/>
      <c r="KGP225" s="1311"/>
      <c r="KGQ225" s="1311"/>
      <c r="KGR225" s="1311"/>
      <c r="KGS225" s="1311"/>
      <c r="KGT225" s="1311"/>
      <c r="KGU225" s="1311"/>
      <c r="KGV225" s="1311"/>
      <c r="KGW225" s="1311"/>
      <c r="KGX225" s="1311"/>
      <c r="KGY225" s="1311"/>
      <c r="KGZ225" s="1311"/>
      <c r="KHA225" s="1311"/>
      <c r="KHB225" s="1311"/>
      <c r="KHC225" s="1311"/>
      <c r="KHD225" s="1311"/>
      <c r="KHE225" s="1311"/>
      <c r="KHF225" s="1311"/>
      <c r="KHG225" s="1311"/>
      <c r="KHH225" s="1311"/>
      <c r="KHI225" s="1311"/>
      <c r="KHJ225" s="1311"/>
      <c r="KHK225" s="1311"/>
      <c r="KHL225" s="1311"/>
      <c r="KHM225" s="1311"/>
      <c r="KHN225" s="1311"/>
      <c r="KHO225" s="1311"/>
      <c r="KHP225" s="1311"/>
      <c r="KHQ225" s="1311"/>
      <c r="KHR225" s="1311"/>
      <c r="KHS225" s="1311"/>
      <c r="KHT225" s="1311"/>
      <c r="KHU225" s="1311"/>
      <c r="KHV225" s="1311"/>
      <c r="KHW225" s="1311"/>
      <c r="KHX225" s="1311"/>
      <c r="KHY225" s="1311"/>
      <c r="KHZ225" s="1311"/>
      <c r="KIA225" s="1311"/>
      <c r="KIB225" s="1311"/>
      <c r="KIC225" s="1311"/>
      <c r="KID225" s="1311"/>
      <c r="KIE225" s="1311"/>
      <c r="KIF225" s="1311"/>
      <c r="KIG225" s="1311"/>
      <c r="KIH225" s="1311"/>
      <c r="KII225" s="1311"/>
      <c r="KIJ225" s="1311"/>
      <c r="KIK225" s="1311"/>
      <c r="KIL225" s="1311"/>
      <c r="KIM225" s="1311"/>
      <c r="KIN225" s="1311"/>
      <c r="KIO225" s="1311"/>
      <c r="KIP225" s="1311"/>
      <c r="KIQ225" s="1311"/>
      <c r="KIR225" s="1311"/>
      <c r="KIS225" s="1311"/>
      <c r="KIT225" s="1311"/>
      <c r="KIU225" s="1311"/>
      <c r="KIV225" s="1311"/>
      <c r="KIW225" s="1311"/>
      <c r="KIX225" s="1311"/>
      <c r="KIY225" s="1311"/>
      <c r="KIZ225" s="1311"/>
      <c r="KJA225" s="1311"/>
      <c r="KJB225" s="1311"/>
      <c r="KJC225" s="1311"/>
      <c r="KJD225" s="1311"/>
      <c r="KJE225" s="1311"/>
      <c r="KJF225" s="1311"/>
      <c r="KJG225" s="1311"/>
      <c r="KJH225" s="1311"/>
      <c r="KJI225" s="1311"/>
      <c r="KJJ225" s="1311"/>
      <c r="KJK225" s="1311"/>
      <c r="KJL225" s="1311"/>
      <c r="KJM225" s="1311"/>
      <c r="KJN225" s="1311"/>
      <c r="KJO225" s="1311"/>
      <c r="KJP225" s="1311"/>
      <c r="KJQ225" s="1311"/>
      <c r="KJR225" s="1311"/>
      <c r="KJS225" s="1311"/>
      <c r="KJT225" s="1311"/>
      <c r="KJU225" s="1311"/>
      <c r="KJV225" s="1311"/>
      <c r="KJW225" s="1311"/>
      <c r="KJX225" s="1311"/>
      <c r="KJY225" s="1311"/>
      <c r="KJZ225" s="1311"/>
      <c r="KKA225" s="1311"/>
      <c r="KKB225" s="1311"/>
      <c r="KKC225" s="1311"/>
      <c r="KKD225" s="1311"/>
      <c r="KKE225" s="1311"/>
      <c r="KKF225" s="1311"/>
      <c r="KKG225" s="1311"/>
      <c r="KKH225" s="1311"/>
      <c r="KKI225" s="1311"/>
      <c r="KKJ225" s="1311"/>
      <c r="KKK225" s="1311"/>
      <c r="KKL225" s="1311"/>
      <c r="KKM225" s="1311"/>
      <c r="KKN225" s="1311"/>
      <c r="KKO225" s="1311"/>
      <c r="KKP225" s="1311"/>
      <c r="KKQ225" s="1311"/>
      <c r="KKR225" s="1311"/>
      <c r="KKS225" s="1311"/>
      <c r="KKT225" s="1311"/>
      <c r="KKU225" s="1311"/>
      <c r="KKV225" s="1311"/>
      <c r="KKW225" s="1311"/>
      <c r="KKX225" s="1311"/>
      <c r="KKY225" s="1311"/>
      <c r="KKZ225" s="1311"/>
      <c r="KLA225" s="1311"/>
      <c r="KLB225" s="1311"/>
      <c r="KLC225" s="1311"/>
      <c r="KLD225" s="1311"/>
      <c r="KLE225" s="1311"/>
      <c r="KLF225" s="1311"/>
      <c r="KLG225" s="1311"/>
      <c r="KLH225" s="1311"/>
      <c r="KLI225" s="1311"/>
      <c r="KLJ225" s="1311"/>
      <c r="KLK225" s="1311"/>
      <c r="KLL225" s="1311"/>
      <c r="KLM225" s="1311"/>
      <c r="KLN225" s="1311"/>
      <c r="KLO225" s="1311"/>
      <c r="KLP225" s="1311"/>
      <c r="KLQ225" s="1311"/>
      <c r="KLR225" s="1311"/>
      <c r="KLS225" s="1311"/>
      <c r="KLT225" s="1311"/>
      <c r="KLU225" s="1311"/>
      <c r="KLV225" s="1311"/>
      <c r="KLW225" s="1311"/>
      <c r="KLX225" s="1311"/>
      <c r="KLY225" s="1311"/>
      <c r="KLZ225" s="1311"/>
      <c r="KMA225" s="1311"/>
      <c r="KMB225" s="1311"/>
      <c r="KMC225" s="1311"/>
      <c r="KMD225" s="1311"/>
      <c r="KME225" s="1311"/>
      <c r="KMF225" s="1311"/>
      <c r="KMG225" s="1311"/>
      <c r="KMH225" s="1311"/>
      <c r="KMI225" s="1311"/>
      <c r="KMJ225" s="1311"/>
      <c r="KMK225" s="1311"/>
      <c r="KML225" s="1311"/>
      <c r="KMM225" s="1311"/>
      <c r="KMN225" s="1311"/>
      <c r="KMO225" s="1311"/>
      <c r="KMP225" s="1311"/>
      <c r="KMQ225" s="1311"/>
      <c r="KMR225" s="1311"/>
      <c r="KMS225" s="1311"/>
      <c r="KMT225" s="1311"/>
      <c r="KMU225" s="1311"/>
      <c r="KMV225" s="1311"/>
      <c r="KMW225" s="1311"/>
      <c r="KMX225" s="1311"/>
      <c r="KMY225" s="1311"/>
      <c r="KMZ225" s="1311"/>
      <c r="KNA225" s="1311"/>
      <c r="KNB225" s="1311"/>
      <c r="KNC225" s="1311"/>
      <c r="KND225" s="1311"/>
      <c r="KNE225" s="1311"/>
      <c r="KNF225" s="1311"/>
      <c r="KNG225" s="1311"/>
      <c r="KNH225" s="1311"/>
      <c r="KNI225" s="1311"/>
      <c r="KNJ225" s="1311"/>
      <c r="KNK225" s="1311"/>
      <c r="KNL225" s="1311"/>
      <c r="KNM225" s="1311"/>
      <c r="KNN225" s="1311"/>
      <c r="KNO225" s="1311"/>
      <c r="KNP225" s="1311"/>
      <c r="KNQ225" s="1311"/>
      <c r="KNR225" s="1311"/>
      <c r="KNS225" s="1311"/>
      <c r="KNT225" s="1311"/>
      <c r="KNU225" s="1311"/>
      <c r="KNV225" s="1311"/>
      <c r="KNW225" s="1311"/>
      <c r="KNX225" s="1311"/>
      <c r="KNY225" s="1311"/>
      <c r="KNZ225" s="1311"/>
      <c r="KOA225" s="1311"/>
      <c r="KOB225" s="1311"/>
      <c r="KOC225" s="1311"/>
      <c r="KOD225" s="1311"/>
      <c r="KOE225" s="1311"/>
      <c r="KOF225" s="1311"/>
      <c r="KOG225" s="1311"/>
      <c r="KOH225" s="1311"/>
      <c r="KOI225" s="1311"/>
      <c r="KOJ225" s="1311"/>
      <c r="KOK225" s="1311"/>
      <c r="KOL225" s="1311"/>
      <c r="KOM225" s="1311"/>
      <c r="KON225" s="1311"/>
      <c r="KOO225" s="1311"/>
      <c r="KOP225" s="1311"/>
      <c r="KOQ225" s="1311"/>
      <c r="KOR225" s="1311"/>
      <c r="KOS225" s="1311"/>
      <c r="KOT225" s="1311"/>
      <c r="KOU225" s="1311"/>
      <c r="KOV225" s="1311"/>
      <c r="KOW225" s="1311"/>
      <c r="KOX225" s="1311"/>
      <c r="KOY225" s="1311"/>
      <c r="KOZ225" s="1311"/>
      <c r="KPA225" s="1311"/>
      <c r="KPB225" s="1311"/>
      <c r="KPC225" s="1311"/>
      <c r="KPD225" s="1311"/>
      <c r="KPE225" s="1311"/>
      <c r="KPF225" s="1311"/>
      <c r="KPG225" s="1311"/>
      <c r="KPH225" s="1311"/>
      <c r="KPI225" s="1311"/>
      <c r="KPJ225" s="1311"/>
      <c r="KPK225" s="1311"/>
      <c r="KPL225" s="1311"/>
      <c r="KPM225" s="1311"/>
      <c r="KPN225" s="1311"/>
      <c r="KPO225" s="1311"/>
      <c r="KPP225" s="1311"/>
      <c r="KPQ225" s="1311"/>
      <c r="KPR225" s="1311"/>
      <c r="KPS225" s="1311"/>
      <c r="KPT225" s="1311"/>
      <c r="KPU225" s="1311"/>
      <c r="KPV225" s="1311"/>
      <c r="KPW225" s="1311"/>
      <c r="KPX225" s="1311"/>
      <c r="KPY225" s="1311"/>
      <c r="KPZ225" s="1311"/>
      <c r="KQA225" s="1311"/>
      <c r="KQB225" s="1311"/>
      <c r="KQC225" s="1311"/>
      <c r="KQD225" s="1311"/>
      <c r="KQE225" s="1311"/>
      <c r="KQF225" s="1311"/>
      <c r="KQG225" s="1311"/>
      <c r="KQH225" s="1311"/>
      <c r="KQI225" s="1311"/>
      <c r="KQJ225" s="1311"/>
      <c r="KQK225" s="1311"/>
      <c r="KQL225" s="1311"/>
      <c r="KQM225" s="1311"/>
      <c r="KQN225" s="1311"/>
      <c r="KQO225" s="1311"/>
      <c r="KQP225" s="1311"/>
      <c r="KQQ225" s="1311"/>
      <c r="KQR225" s="1311"/>
      <c r="KQS225" s="1311"/>
      <c r="KQT225" s="1311"/>
      <c r="KQU225" s="1311"/>
      <c r="KQV225" s="1311"/>
      <c r="KQW225" s="1311"/>
      <c r="KQX225" s="1311"/>
      <c r="KQY225" s="1311"/>
      <c r="KQZ225" s="1311"/>
      <c r="KRA225" s="1311"/>
      <c r="KRB225" s="1311"/>
      <c r="KRC225" s="1311"/>
      <c r="KRD225" s="1311"/>
      <c r="KRE225" s="1311"/>
      <c r="KRF225" s="1311"/>
      <c r="KRG225" s="1311"/>
      <c r="KRH225" s="1311"/>
      <c r="KRI225" s="1311"/>
      <c r="KRJ225" s="1311"/>
      <c r="KRK225" s="1311"/>
      <c r="KRL225" s="1311"/>
      <c r="KRM225" s="1311"/>
      <c r="KRN225" s="1311"/>
      <c r="KRO225" s="1311"/>
      <c r="KRP225" s="1311"/>
      <c r="KRQ225" s="1311"/>
      <c r="KRR225" s="1311"/>
      <c r="KRS225" s="1311"/>
      <c r="KRT225" s="1311"/>
      <c r="KRU225" s="1311"/>
      <c r="KRV225" s="1311"/>
      <c r="KRW225" s="1311"/>
      <c r="KRX225" s="1311"/>
      <c r="KRY225" s="1311"/>
      <c r="KRZ225" s="1311"/>
      <c r="KSA225" s="1311"/>
      <c r="KSB225" s="1311"/>
      <c r="KSC225" s="1311"/>
      <c r="KSD225" s="1311"/>
      <c r="KSE225" s="1311"/>
      <c r="KSF225" s="1311"/>
      <c r="KSG225" s="1311"/>
      <c r="KSH225" s="1311"/>
      <c r="KSI225" s="1311"/>
      <c r="KSJ225" s="1311"/>
      <c r="KSK225" s="1311"/>
      <c r="KSL225" s="1311"/>
      <c r="KSM225" s="1311"/>
      <c r="KSN225" s="1311"/>
      <c r="KSO225" s="1311"/>
      <c r="KSP225" s="1311"/>
      <c r="KSQ225" s="1311"/>
      <c r="KSR225" s="1311"/>
      <c r="KSS225" s="1311"/>
      <c r="KST225" s="1311"/>
      <c r="KSU225" s="1311"/>
      <c r="KSV225" s="1311"/>
      <c r="KSW225" s="1311"/>
      <c r="KSX225" s="1311"/>
      <c r="KSY225" s="1311"/>
      <c r="KSZ225" s="1311"/>
      <c r="KTA225" s="1311"/>
      <c r="KTB225" s="1311"/>
      <c r="KTC225" s="1311"/>
      <c r="KTD225" s="1311"/>
      <c r="KTE225" s="1311"/>
      <c r="KTF225" s="1311"/>
      <c r="KTG225" s="1311"/>
      <c r="KTH225" s="1311"/>
      <c r="KTI225" s="1311"/>
      <c r="KTJ225" s="1311"/>
      <c r="KTK225" s="1311"/>
      <c r="KTL225" s="1311"/>
      <c r="KTM225" s="1311"/>
      <c r="KTN225" s="1311"/>
      <c r="KTO225" s="1311"/>
      <c r="KTP225" s="1311"/>
      <c r="KTQ225" s="1311"/>
      <c r="KTR225" s="1311"/>
      <c r="KTS225" s="1311"/>
      <c r="KTT225" s="1311"/>
      <c r="KTU225" s="1311"/>
      <c r="KTV225" s="1311"/>
      <c r="KTW225" s="1311"/>
      <c r="KTX225" s="1311"/>
      <c r="KTY225" s="1311"/>
      <c r="KTZ225" s="1311"/>
      <c r="KUA225" s="1311"/>
      <c r="KUB225" s="1311"/>
      <c r="KUC225" s="1311"/>
      <c r="KUD225" s="1311"/>
      <c r="KUE225" s="1311"/>
      <c r="KUF225" s="1311"/>
      <c r="KUG225" s="1311"/>
      <c r="KUH225" s="1311"/>
      <c r="KUI225" s="1311"/>
      <c r="KUJ225" s="1311"/>
      <c r="KUK225" s="1311"/>
      <c r="KUL225" s="1311"/>
      <c r="KUM225" s="1311"/>
      <c r="KUN225" s="1311"/>
      <c r="KUO225" s="1311"/>
      <c r="KUP225" s="1311"/>
      <c r="KUQ225" s="1311"/>
      <c r="KUR225" s="1311"/>
      <c r="KUS225" s="1311"/>
      <c r="KUT225" s="1311"/>
      <c r="KUU225" s="1311"/>
      <c r="KUV225" s="1311"/>
      <c r="KUW225" s="1311"/>
      <c r="KUX225" s="1311"/>
      <c r="KUY225" s="1311"/>
      <c r="KUZ225" s="1311"/>
      <c r="KVA225" s="1311"/>
      <c r="KVB225" s="1311"/>
      <c r="KVC225" s="1311"/>
      <c r="KVD225" s="1311"/>
      <c r="KVE225" s="1311"/>
      <c r="KVF225" s="1311"/>
      <c r="KVG225" s="1311"/>
      <c r="KVH225" s="1311"/>
      <c r="KVI225" s="1311"/>
      <c r="KVJ225" s="1311"/>
      <c r="KVK225" s="1311"/>
      <c r="KVL225" s="1311"/>
      <c r="KVM225" s="1311"/>
      <c r="KVN225" s="1311"/>
      <c r="KVO225" s="1311"/>
      <c r="KVP225" s="1311"/>
      <c r="KVQ225" s="1311"/>
      <c r="KVR225" s="1311"/>
      <c r="KVS225" s="1311"/>
      <c r="KVT225" s="1311"/>
      <c r="KVU225" s="1311"/>
      <c r="KVV225" s="1311"/>
      <c r="KVW225" s="1311"/>
      <c r="KVX225" s="1311"/>
      <c r="KVY225" s="1311"/>
      <c r="KVZ225" s="1311"/>
      <c r="KWA225" s="1311"/>
      <c r="KWB225" s="1311"/>
      <c r="KWC225" s="1311"/>
      <c r="KWD225" s="1311"/>
      <c r="KWE225" s="1311"/>
      <c r="KWF225" s="1311"/>
      <c r="KWG225" s="1311"/>
      <c r="KWH225" s="1311"/>
      <c r="KWI225" s="1311"/>
      <c r="KWJ225" s="1311"/>
      <c r="KWK225" s="1311"/>
      <c r="KWL225" s="1311"/>
      <c r="KWM225" s="1311"/>
      <c r="KWN225" s="1311"/>
      <c r="KWO225" s="1311"/>
      <c r="KWP225" s="1311"/>
      <c r="KWQ225" s="1311"/>
      <c r="KWR225" s="1311"/>
      <c r="KWS225" s="1311"/>
      <c r="KWT225" s="1311"/>
      <c r="KWU225" s="1311"/>
      <c r="KWV225" s="1311"/>
      <c r="KWW225" s="1311"/>
      <c r="KWX225" s="1311"/>
      <c r="KWY225" s="1311"/>
      <c r="KWZ225" s="1311"/>
      <c r="KXA225" s="1311"/>
      <c r="KXB225" s="1311"/>
      <c r="KXC225" s="1311"/>
      <c r="KXD225" s="1311"/>
      <c r="KXE225" s="1311"/>
      <c r="KXF225" s="1311"/>
      <c r="KXG225" s="1311"/>
      <c r="KXH225" s="1311"/>
      <c r="KXI225" s="1311"/>
      <c r="KXJ225" s="1311"/>
      <c r="KXK225" s="1311"/>
      <c r="KXL225" s="1311"/>
      <c r="KXM225" s="1311"/>
      <c r="KXN225" s="1311"/>
      <c r="KXO225" s="1311"/>
      <c r="KXP225" s="1311"/>
      <c r="KXQ225" s="1311"/>
      <c r="KXR225" s="1311"/>
      <c r="KXS225" s="1311"/>
      <c r="KXT225" s="1311"/>
      <c r="KXU225" s="1311"/>
      <c r="KXV225" s="1311"/>
      <c r="KXW225" s="1311"/>
      <c r="KXX225" s="1311"/>
      <c r="KXY225" s="1311"/>
      <c r="KXZ225" s="1311"/>
      <c r="KYA225" s="1311"/>
      <c r="KYB225" s="1311"/>
      <c r="KYC225" s="1311"/>
      <c r="KYD225" s="1311"/>
      <c r="KYE225" s="1311"/>
      <c r="KYF225" s="1311"/>
      <c r="KYG225" s="1311"/>
      <c r="KYH225" s="1311"/>
      <c r="KYI225" s="1311"/>
      <c r="KYJ225" s="1311"/>
      <c r="KYK225" s="1311"/>
      <c r="KYL225" s="1311"/>
      <c r="KYM225" s="1311"/>
      <c r="KYN225" s="1311"/>
      <c r="KYO225" s="1311"/>
      <c r="KYP225" s="1311"/>
      <c r="KYQ225" s="1311"/>
      <c r="KYR225" s="1311"/>
      <c r="KYS225" s="1311"/>
      <c r="KYT225" s="1311"/>
      <c r="KYU225" s="1311"/>
      <c r="KYV225" s="1311"/>
      <c r="KYW225" s="1311"/>
      <c r="KYX225" s="1311"/>
      <c r="KYY225" s="1311"/>
      <c r="KYZ225" s="1311"/>
      <c r="KZA225" s="1311"/>
      <c r="KZB225" s="1311"/>
      <c r="KZC225" s="1311"/>
      <c r="KZD225" s="1311"/>
      <c r="KZE225" s="1311"/>
      <c r="KZF225" s="1311"/>
      <c r="KZG225" s="1311"/>
      <c r="KZH225" s="1311"/>
      <c r="KZI225" s="1311"/>
      <c r="KZJ225" s="1311"/>
      <c r="KZK225" s="1311"/>
      <c r="KZL225" s="1311"/>
      <c r="KZM225" s="1311"/>
      <c r="KZN225" s="1311"/>
      <c r="KZO225" s="1311"/>
      <c r="KZP225" s="1311"/>
      <c r="KZQ225" s="1311"/>
      <c r="KZR225" s="1311"/>
      <c r="KZS225" s="1311"/>
      <c r="KZT225" s="1311"/>
      <c r="KZU225" s="1311"/>
      <c r="KZV225" s="1311"/>
      <c r="KZW225" s="1311"/>
      <c r="KZX225" s="1311"/>
      <c r="KZY225" s="1311"/>
      <c r="KZZ225" s="1311"/>
      <c r="LAA225" s="1311"/>
      <c r="LAB225" s="1311"/>
      <c r="LAC225" s="1311"/>
      <c r="LAD225" s="1311"/>
      <c r="LAE225" s="1311"/>
      <c r="LAF225" s="1311"/>
      <c r="LAG225" s="1311"/>
      <c r="LAH225" s="1311"/>
      <c r="LAI225" s="1311"/>
      <c r="LAJ225" s="1311"/>
      <c r="LAK225" s="1311"/>
      <c r="LAL225" s="1311"/>
      <c r="LAM225" s="1311"/>
      <c r="LAN225" s="1311"/>
      <c r="LAO225" s="1311"/>
      <c r="LAP225" s="1311"/>
      <c r="LAQ225" s="1311"/>
      <c r="LAR225" s="1311"/>
      <c r="LAS225" s="1311"/>
      <c r="LAT225" s="1311"/>
      <c r="LAU225" s="1311"/>
      <c r="LAV225" s="1311"/>
      <c r="LAW225" s="1311"/>
      <c r="LAX225" s="1311"/>
      <c r="LAY225" s="1311"/>
      <c r="LAZ225" s="1311"/>
      <c r="LBA225" s="1311"/>
      <c r="LBB225" s="1311"/>
      <c r="LBC225" s="1311"/>
      <c r="LBD225" s="1311"/>
      <c r="LBE225" s="1311"/>
      <c r="LBF225" s="1311"/>
      <c r="LBG225" s="1311"/>
      <c r="LBH225" s="1311"/>
      <c r="LBI225" s="1311"/>
      <c r="LBJ225" s="1311"/>
      <c r="LBK225" s="1311"/>
      <c r="LBL225" s="1311"/>
      <c r="LBM225" s="1311"/>
      <c r="LBN225" s="1311"/>
      <c r="LBO225" s="1311"/>
      <c r="LBP225" s="1311"/>
      <c r="LBQ225" s="1311"/>
      <c r="LBR225" s="1311"/>
      <c r="LBS225" s="1311"/>
      <c r="LBT225" s="1311"/>
      <c r="LBU225" s="1311"/>
      <c r="LBV225" s="1311"/>
      <c r="LBW225" s="1311"/>
      <c r="LBX225" s="1311"/>
      <c r="LBY225" s="1311"/>
      <c r="LBZ225" s="1311"/>
      <c r="LCA225" s="1311"/>
      <c r="LCB225" s="1311"/>
      <c r="LCC225" s="1311"/>
      <c r="LCD225" s="1311"/>
      <c r="LCE225" s="1311"/>
      <c r="LCF225" s="1311"/>
      <c r="LCG225" s="1311"/>
      <c r="LCH225" s="1311"/>
      <c r="LCI225" s="1311"/>
      <c r="LCJ225" s="1311"/>
      <c r="LCK225" s="1311"/>
      <c r="LCL225" s="1311"/>
      <c r="LCM225" s="1311"/>
      <c r="LCN225" s="1311"/>
      <c r="LCO225" s="1311"/>
      <c r="LCP225" s="1311"/>
      <c r="LCQ225" s="1311"/>
      <c r="LCR225" s="1311"/>
      <c r="LCS225" s="1311"/>
      <c r="LCT225" s="1311"/>
      <c r="LCU225" s="1311"/>
      <c r="LCV225" s="1311"/>
      <c r="LCW225" s="1311"/>
      <c r="LCX225" s="1311"/>
      <c r="LCY225" s="1311"/>
      <c r="LCZ225" s="1311"/>
      <c r="LDA225" s="1311"/>
      <c r="LDB225" s="1311"/>
      <c r="LDC225" s="1311"/>
      <c r="LDD225" s="1311"/>
      <c r="LDE225" s="1311"/>
      <c r="LDF225" s="1311"/>
      <c r="LDG225" s="1311"/>
      <c r="LDH225" s="1311"/>
      <c r="LDI225" s="1311"/>
      <c r="LDJ225" s="1311"/>
      <c r="LDK225" s="1311"/>
      <c r="LDL225" s="1311"/>
      <c r="LDM225" s="1311"/>
      <c r="LDN225" s="1311"/>
      <c r="LDO225" s="1311"/>
      <c r="LDP225" s="1311"/>
      <c r="LDQ225" s="1311"/>
      <c r="LDR225" s="1311"/>
      <c r="LDS225" s="1311"/>
      <c r="LDT225" s="1311"/>
      <c r="LDU225" s="1311"/>
      <c r="LDV225" s="1311"/>
      <c r="LDW225" s="1311"/>
      <c r="LDX225" s="1311"/>
      <c r="LDY225" s="1311"/>
      <c r="LDZ225" s="1311"/>
      <c r="LEA225" s="1311"/>
      <c r="LEB225" s="1311"/>
      <c r="LEC225" s="1311"/>
      <c r="LED225" s="1311"/>
      <c r="LEE225" s="1311"/>
      <c r="LEF225" s="1311"/>
      <c r="LEG225" s="1311"/>
      <c r="LEH225" s="1311"/>
      <c r="LEI225" s="1311"/>
      <c r="LEJ225" s="1311"/>
      <c r="LEK225" s="1311"/>
      <c r="LEL225" s="1311"/>
      <c r="LEM225" s="1311"/>
      <c r="LEN225" s="1311"/>
      <c r="LEO225" s="1311"/>
      <c r="LEP225" s="1311"/>
      <c r="LEQ225" s="1311"/>
      <c r="LER225" s="1311"/>
      <c r="LES225" s="1311"/>
      <c r="LET225" s="1311"/>
      <c r="LEU225" s="1311"/>
      <c r="LEV225" s="1311"/>
      <c r="LEW225" s="1311"/>
      <c r="LEX225" s="1311"/>
      <c r="LEY225" s="1311"/>
      <c r="LEZ225" s="1311"/>
      <c r="LFA225" s="1311"/>
      <c r="LFB225" s="1311"/>
      <c r="LFC225" s="1311"/>
      <c r="LFD225" s="1311"/>
      <c r="LFE225" s="1311"/>
      <c r="LFF225" s="1311"/>
      <c r="LFG225" s="1311"/>
      <c r="LFH225" s="1311"/>
      <c r="LFI225" s="1311"/>
      <c r="LFJ225" s="1311"/>
      <c r="LFK225" s="1311"/>
      <c r="LFL225" s="1311"/>
      <c r="LFM225" s="1311"/>
      <c r="LFN225" s="1311"/>
      <c r="LFO225" s="1311"/>
      <c r="LFP225" s="1311"/>
      <c r="LFQ225" s="1311"/>
      <c r="LFR225" s="1311"/>
      <c r="LFS225" s="1311"/>
      <c r="LFT225" s="1311"/>
      <c r="LFU225" s="1311"/>
      <c r="LFV225" s="1311"/>
      <c r="LFW225" s="1311"/>
      <c r="LFX225" s="1311"/>
      <c r="LFY225" s="1311"/>
      <c r="LFZ225" s="1311"/>
      <c r="LGA225" s="1311"/>
      <c r="LGB225" s="1311"/>
      <c r="LGC225" s="1311"/>
      <c r="LGD225" s="1311"/>
      <c r="LGE225" s="1311"/>
      <c r="LGF225" s="1311"/>
      <c r="LGG225" s="1311"/>
      <c r="LGH225" s="1311"/>
      <c r="LGI225" s="1311"/>
      <c r="LGJ225" s="1311"/>
      <c r="LGK225" s="1311"/>
      <c r="LGL225" s="1311"/>
      <c r="LGM225" s="1311"/>
      <c r="LGN225" s="1311"/>
      <c r="LGO225" s="1311"/>
      <c r="LGP225" s="1311"/>
      <c r="LGQ225" s="1311"/>
      <c r="LGR225" s="1311"/>
      <c r="LGS225" s="1311"/>
      <c r="LGT225" s="1311"/>
      <c r="LGU225" s="1311"/>
      <c r="LGV225" s="1311"/>
      <c r="LGW225" s="1311"/>
      <c r="LGX225" s="1311"/>
      <c r="LGY225" s="1311"/>
      <c r="LGZ225" s="1311"/>
      <c r="LHA225" s="1311"/>
      <c r="LHB225" s="1311"/>
      <c r="LHC225" s="1311"/>
      <c r="LHD225" s="1311"/>
      <c r="LHE225" s="1311"/>
      <c r="LHF225" s="1311"/>
      <c r="LHG225" s="1311"/>
      <c r="LHH225" s="1311"/>
      <c r="LHI225" s="1311"/>
      <c r="LHJ225" s="1311"/>
      <c r="LHK225" s="1311"/>
      <c r="LHL225" s="1311"/>
      <c r="LHM225" s="1311"/>
      <c r="LHN225" s="1311"/>
      <c r="LHO225" s="1311"/>
      <c r="LHP225" s="1311"/>
      <c r="LHQ225" s="1311"/>
      <c r="LHR225" s="1311"/>
      <c r="LHS225" s="1311"/>
      <c r="LHT225" s="1311"/>
      <c r="LHU225" s="1311"/>
      <c r="LHV225" s="1311"/>
      <c r="LHW225" s="1311"/>
      <c r="LHX225" s="1311"/>
      <c r="LHY225" s="1311"/>
      <c r="LHZ225" s="1311"/>
      <c r="LIA225" s="1311"/>
      <c r="LIB225" s="1311"/>
      <c r="LIC225" s="1311"/>
      <c r="LID225" s="1311"/>
      <c r="LIE225" s="1311"/>
      <c r="LIF225" s="1311"/>
      <c r="LIG225" s="1311"/>
      <c r="LIH225" s="1311"/>
      <c r="LII225" s="1311"/>
      <c r="LIJ225" s="1311"/>
      <c r="LIK225" s="1311"/>
      <c r="LIL225" s="1311"/>
      <c r="LIM225" s="1311"/>
      <c r="LIN225" s="1311"/>
      <c r="LIO225" s="1311"/>
      <c r="LIP225" s="1311"/>
      <c r="LIQ225" s="1311"/>
      <c r="LIR225" s="1311"/>
      <c r="LIS225" s="1311"/>
      <c r="LIT225" s="1311"/>
      <c r="LIU225" s="1311"/>
      <c r="LIV225" s="1311"/>
      <c r="LIW225" s="1311"/>
      <c r="LIX225" s="1311"/>
      <c r="LIY225" s="1311"/>
      <c r="LIZ225" s="1311"/>
      <c r="LJA225" s="1311"/>
      <c r="LJB225" s="1311"/>
      <c r="LJC225" s="1311"/>
      <c r="LJD225" s="1311"/>
      <c r="LJE225" s="1311"/>
      <c r="LJF225" s="1311"/>
      <c r="LJG225" s="1311"/>
      <c r="LJH225" s="1311"/>
      <c r="LJI225" s="1311"/>
      <c r="LJJ225" s="1311"/>
      <c r="LJK225" s="1311"/>
      <c r="LJL225" s="1311"/>
      <c r="LJM225" s="1311"/>
      <c r="LJN225" s="1311"/>
      <c r="LJO225" s="1311"/>
      <c r="LJP225" s="1311"/>
      <c r="LJQ225" s="1311"/>
      <c r="LJR225" s="1311"/>
      <c r="LJS225" s="1311"/>
      <c r="LJT225" s="1311"/>
      <c r="LJU225" s="1311"/>
      <c r="LJV225" s="1311"/>
      <c r="LJW225" s="1311"/>
      <c r="LJX225" s="1311"/>
      <c r="LJY225" s="1311"/>
      <c r="LJZ225" s="1311"/>
      <c r="LKA225" s="1311"/>
      <c r="LKB225" s="1311"/>
      <c r="LKC225" s="1311"/>
      <c r="LKD225" s="1311"/>
      <c r="LKE225" s="1311"/>
      <c r="LKF225" s="1311"/>
      <c r="LKG225" s="1311"/>
      <c r="LKH225" s="1311"/>
      <c r="LKI225" s="1311"/>
      <c r="LKJ225" s="1311"/>
      <c r="LKK225" s="1311"/>
      <c r="LKL225" s="1311"/>
      <c r="LKM225" s="1311"/>
      <c r="LKN225" s="1311"/>
      <c r="LKO225" s="1311"/>
      <c r="LKP225" s="1311"/>
      <c r="LKQ225" s="1311"/>
      <c r="LKR225" s="1311"/>
      <c r="LKS225" s="1311"/>
      <c r="LKT225" s="1311"/>
      <c r="LKU225" s="1311"/>
      <c r="LKV225" s="1311"/>
      <c r="LKW225" s="1311"/>
      <c r="LKX225" s="1311"/>
      <c r="LKY225" s="1311"/>
      <c r="LKZ225" s="1311"/>
      <c r="LLA225" s="1311"/>
      <c r="LLB225" s="1311"/>
      <c r="LLC225" s="1311"/>
      <c r="LLD225" s="1311"/>
      <c r="LLE225" s="1311"/>
      <c r="LLF225" s="1311"/>
      <c r="LLG225" s="1311"/>
      <c r="LLH225" s="1311"/>
      <c r="LLI225" s="1311"/>
      <c r="LLJ225" s="1311"/>
      <c r="LLK225" s="1311"/>
      <c r="LLL225" s="1311"/>
      <c r="LLM225" s="1311"/>
      <c r="LLN225" s="1311"/>
      <c r="LLO225" s="1311"/>
      <c r="LLP225" s="1311"/>
      <c r="LLQ225" s="1311"/>
      <c r="LLR225" s="1311"/>
      <c r="LLS225" s="1311"/>
      <c r="LLT225" s="1311"/>
      <c r="LLU225" s="1311"/>
      <c r="LLV225" s="1311"/>
      <c r="LLW225" s="1311"/>
      <c r="LLX225" s="1311"/>
      <c r="LLY225" s="1311"/>
      <c r="LLZ225" s="1311"/>
      <c r="LMA225" s="1311"/>
      <c r="LMB225" s="1311"/>
      <c r="LMC225" s="1311"/>
      <c r="LMD225" s="1311"/>
      <c r="LME225" s="1311"/>
      <c r="LMF225" s="1311"/>
      <c r="LMG225" s="1311"/>
      <c r="LMH225" s="1311"/>
      <c r="LMI225" s="1311"/>
      <c r="LMJ225" s="1311"/>
      <c r="LMK225" s="1311"/>
      <c r="LML225" s="1311"/>
      <c r="LMM225" s="1311"/>
      <c r="LMN225" s="1311"/>
      <c r="LMO225" s="1311"/>
      <c r="LMP225" s="1311"/>
      <c r="LMQ225" s="1311"/>
      <c r="LMR225" s="1311"/>
      <c r="LMS225" s="1311"/>
      <c r="LMT225" s="1311"/>
      <c r="LMU225" s="1311"/>
      <c r="LMV225" s="1311"/>
      <c r="LMW225" s="1311"/>
      <c r="LMX225" s="1311"/>
      <c r="LMY225" s="1311"/>
      <c r="LMZ225" s="1311"/>
      <c r="LNA225" s="1311"/>
      <c r="LNB225" s="1311"/>
      <c r="LNC225" s="1311"/>
      <c r="LND225" s="1311"/>
      <c r="LNE225" s="1311"/>
      <c r="LNF225" s="1311"/>
      <c r="LNG225" s="1311"/>
      <c r="LNH225" s="1311"/>
      <c r="LNI225" s="1311"/>
      <c r="LNJ225" s="1311"/>
      <c r="LNK225" s="1311"/>
      <c r="LNL225" s="1311"/>
      <c r="LNM225" s="1311"/>
      <c r="LNN225" s="1311"/>
      <c r="LNO225" s="1311"/>
      <c r="LNP225" s="1311"/>
      <c r="LNQ225" s="1311"/>
      <c r="LNR225" s="1311"/>
      <c r="LNS225" s="1311"/>
      <c r="LNT225" s="1311"/>
      <c r="LNU225" s="1311"/>
      <c r="LNV225" s="1311"/>
      <c r="LNW225" s="1311"/>
      <c r="LNX225" s="1311"/>
      <c r="LNY225" s="1311"/>
      <c r="LNZ225" s="1311"/>
      <c r="LOA225" s="1311"/>
      <c r="LOB225" s="1311"/>
      <c r="LOC225" s="1311"/>
      <c r="LOD225" s="1311"/>
      <c r="LOE225" s="1311"/>
      <c r="LOF225" s="1311"/>
      <c r="LOG225" s="1311"/>
      <c r="LOH225" s="1311"/>
      <c r="LOI225" s="1311"/>
      <c r="LOJ225" s="1311"/>
      <c r="LOK225" s="1311"/>
      <c r="LOL225" s="1311"/>
      <c r="LOM225" s="1311"/>
      <c r="LON225" s="1311"/>
      <c r="LOO225" s="1311"/>
      <c r="LOP225" s="1311"/>
      <c r="LOQ225" s="1311"/>
      <c r="LOR225" s="1311"/>
      <c r="LOS225" s="1311"/>
      <c r="LOT225" s="1311"/>
      <c r="LOU225" s="1311"/>
      <c r="LOV225" s="1311"/>
      <c r="LOW225" s="1311"/>
      <c r="LOX225" s="1311"/>
      <c r="LOY225" s="1311"/>
      <c r="LOZ225" s="1311"/>
      <c r="LPA225" s="1311"/>
      <c r="LPB225" s="1311"/>
      <c r="LPC225" s="1311"/>
      <c r="LPD225" s="1311"/>
      <c r="LPE225" s="1311"/>
      <c r="LPF225" s="1311"/>
      <c r="LPG225" s="1311"/>
      <c r="LPH225" s="1311"/>
      <c r="LPI225" s="1311"/>
      <c r="LPJ225" s="1311"/>
      <c r="LPK225" s="1311"/>
      <c r="LPL225" s="1311"/>
      <c r="LPM225" s="1311"/>
      <c r="LPN225" s="1311"/>
      <c r="LPO225" s="1311"/>
      <c r="LPP225" s="1311"/>
      <c r="LPQ225" s="1311"/>
      <c r="LPR225" s="1311"/>
      <c r="LPS225" s="1311"/>
      <c r="LPT225" s="1311"/>
      <c r="LPU225" s="1311"/>
      <c r="LPV225" s="1311"/>
      <c r="LPW225" s="1311"/>
      <c r="LPX225" s="1311"/>
      <c r="LPY225" s="1311"/>
      <c r="LPZ225" s="1311"/>
      <c r="LQA225" s="1311"/>
      <c r="LQB225" s="1311"/>
      <c r="LQC225" s="1311"/>
      <c r="LQD225" s="1311"/>
      <c r="LQE225" s="1311"/>
      <c r="LQF225" s="1311"/>
      <c r="LQG225" s="1311"/>
      <c r="LQH225" s="1311"/>
      <c r="LQI225" s="1311"/>
      <c r="LQJ225" s="1311"/>
      <c r="LQK225" s="1311"/>
      <c r="LQL225" s="1311"/>
      <c r="LQM225" s="1311"/>
      <c r="LQN225" s="1311"/>
      <c r="LQO225" s="1311"/>
      <c r="LQP225" s="1311"/>
      <c r="LQQ225" s="1311"/>
      <c r="LQR225" s="1311"/>
      <c r="LQS225" s="1311"/>
      <c r="LQT225" s="1311"/>
      <c r="LQU225" s="1311"/>
      <c r="LQV225" s="1311"/>
      <c r="LQW225" s="1311"/>
      <c r="LQX225" s="1311"/>
      <c r="LQY225" s="1311"/>
      <c r="LQZ225" s="1311"/>
      <c r="LRA225" s="1311"/>
      <c r="LRB225" s="1311"/>
      <c r="LRC225" s="1311"/>
      <c r="LRD225" s="1311"/>
      <c r="LRE225" s="1311"/>
      <c r="LRF225" s="1311"/>
      <c r="LRG225" s="1311"/>
      <c r="LRH225" s="1311"/>
      <c r="LRI225" s="1311"/>
      <c r="LRJ225" s="1311"/>
      <c r="LRK225" s="1311"/>
      <c r="LRL225" s="1311"/>
      <c r="LRM225" s="1311"/>
      <c r="LRN225" s="1311"/>
      <c r="LRO225" s="1311"/>
      <c r="LRP225" s="1311"/>
      <c r="LRQ225" s="1311"/>
      <c r="LRR225" s="1311"/>
      <c r="LRS225" s="1311"/>
      <c r="LRT225" s="1311"/>
      <c r="LRU225" s="1311"/>
      <c r="LRV225" s="1311"/>
      <c r="LRW225" s="1311"/>
      <c r="LRX225" s="1311"/>
      <c r="LRY225" s="1311"/>
      <c r="LRZ225" s="1311"/>
      <c r="LSA225" s="1311"/>
      <c r="LSB225" s="1311"/>
      <c r="LSC225" s="1311"/>
      <c r="LSD225" s="1311"/>
      <c r="LSE225" s="1311"/>
      <c r="LSF225" s="1311"/>
      <c r="LSG225" s="1311"/>
      <c r="LSH225" s="1311"/>
      <c r="LSI225" s="1311"/>
      <c r="LSJ225" s="1311"/>
      <c r="LSK225" s="1311"/>
      <c r="LSL225" s="1311"/>
      <c r="LSM225" s="1311"/>
      <c r="LSN225" s="1311"/>
      <c r="LSO225" s="1311"/>
      <c r="LSP225" s="1311"/>
      <c r="LSQ225" s="1311"/>
      <c r="LSR225" s="1311"/>
      <c r="LSS225" s="1311"/>
      <c r="LST225" s="1311"/>
      <c r="LSU225" s="1311"/>
      <c r="LSV225" s="1311"/>
      <c r="LSW225" s="1311"/>
      <c r="LSX225" s="1311"/>
      <c r="LSY225" s="1311"/>
      <c r="LSZ225" s="1311"/>
      <c r="LTA225" s="1311"/>
      <c r="LTB225" s="1311"/>
      <c r="LTC225" s="1311"/>
      <c r="LTD225" s="1311"/>
      <c r="LTE225" s="1311"/>
      <c r="LTF225" s="1311"/>
      <c r="LTG225" s="1311"/>
      <c r="LTH225" s="1311"/>
      <c r="LTI225" s="1311"/>
      <c r="LTJ225" s="1311"/>
      <c r="LTK225" s="1311"/>
      <c r="LTL225" s="1311"/>
      <c r="LTM225" s="1311"/>
      <c r="LTN225" s="1311"/>
      <c r="LTO225" s="1311"/>
      <c r="LTP225" s="1311"/>
      <c r="LTQ225" s="1311"/>
      <c r="LTR225" s="1311"/>
      <c r="LTS225" s="1311"/>
      <c r="LTT225" s="1311"/>
      <c r="LTU225" s="1311"/>
      <c r="LTV225" s="1311"/>
      <c r="LTW225" s="1311"/>
      <c r="LTX225" s="1311"/>
      <c r="LTY225" s="1311"/>
      <c r="LTZ225" s="1311"/>
      <c r="LUA225" s="1311"/>
      <c r="LUB225" s="1311"/>
      <c r="LUC225" s="1311"/>
      <c r="LUD225" s="1311"/>
      <c r="LUE225" s="1311"/>
      <c r="LUF225" s="1311"/>
      <c r="LUG225" s="1311"/>
      <c r="LUH225" s="1311"/>
      <c r="LUI225" s="1311"/>
      <c r="LUJ225" s="1311"/>
      <c r="LUK225" s="1311"/>
      <c r="LUL225" s="1311"/>
      <c r="LUM225" s="1311"/>
      <c r="LUN225" s="1311"/>
      <c r="LUO225" s="1311"/>
      <c r="LUP225" s="1311"/>
      <c r="LUQ225" s="1311"/>
      <c r="LUR225" s="1311"/>
      <c r="LUS225" s="1311"/>
      <c r="LUT225" s="1311"/>
      <c r="LUU225" s="1311"/>
      <c r="LUV225" s="1311"/>
      <c r="LUW225" s="1311"/>
      <c r="LUX225" s="1311"/>
      <c r="LUY225" s="1311"/>
      <c r="LUZ225" s="1311"/>
      <c r="LVA225" s="1311"/>
      <c r="LVB225" s="1311"/>
      <c r="LVC225" s="1311"/>
      <c r="LVD225" s="1311"/>
      <c r="LVE225" s="1311"/>
      <c r="LVF225" s="1311"/>
      <c r="LVG225" s="1311"/>
      <c r="LVH225" s="1311"/>
      <c r="LVI225" s="1311"/>
      <c r="LVJ225" s="1311"/>
      <c r="LVK225" s="1311"/>
      <c r="LVL225" s="1311"/>
      <c r="LVM225" s="1311"/>
      <c r="LVN225" s="1311"/>
      <c r="LVO225" s="1311"/>
      <c r="LVP225" s="1311"/>
      <c r="LVQ225" s="1311"/>
      <c r="LVR225" s="1311"/>
      <c r="LVS225" s="1311"/>
      <c r="LVT225" s="1311"/>
      <c r="LVU225" s="1311"/>
      <c r="LVV225" s="1311"/>
      <c r="LVW225" s="1311"/>
      <c r="LVX225" s="1311"/>
      <c r="LVY225" s="1311"/>
      <c r="LVZ225" s="1311"/>
      <c r="LWA225" s="1311"/>
      <c r="LWB225" s="1311"/>
      <c r="LWC225" s="1311"/>
      <c r="LWD225" s="1311"/>
      <c r="LWE225" s="1311"/>
      <c r="LWF225" s="1311"/>
      <c r="LWG225" s="1311"/>
      <c r="LWH225" s="1311"/>
      <c r="LWI225" s="1311"/>
      <c r="LWJ225" s="1311"/>
      <c r="LWK225" s="1311"/>
      <c r="LWL225" s="1311"/>
      <c r="LWM225" s="1311"/>
      <c r="LWN225" s="1311"/>
      <c r="LWO225" s="1311"/>
      <c r="LWP225" s="1311"/>
      <c r="LWQ225" s="1311"/>
      <c r="LWR225" s="1311"/>
      <c r="LWS225" s="1311"/>
      <c r="LWT225" s="1311"/>
      <c r="LWU225" s="1311"/>
      <c r="LWV225" s="1311"/>
      <c r="LWW225" s="1311"/>
      <c r="LWX225" s="1311"/>
      <c r="LWY225" s="1311"/>
      <c r="LWZ225" s="1311"/>
      <c r="LXA225" s="1311"/>
      <c r="LXB225" s="1311"/>
      <c r="LXC225" s="1311"/>
      <c r="LXD225" s="1311"/>
      <c r="LXE225" s="1311"/>
      <c r="LXF225" s="1311"/>
      <c r="LXG225" s="1311"/>
      <c r="LXH225" s="1311"/>
      <c r="LXI225" s="1311"/>
      <c r="LXJ225" s="1311"/>
      <c r="LXK225" s="1311"/>
      <c r="LXL225" s="1311"/>
      <c r="LXM225" s="1311"/>
      <c r="LXN225" s="1311"/>
      <c r="LXO225" s="1311"/>
      <c r="LXP225" s="1311"/>
      <c r="LXQ225" s="1311"/>
      <c r="LXR225" s="1311"/>
      <c r="LXS225" s="1311"/>
      <c r="LXT225" s="1311"/>
      <c r="LXU225" s="1311"/>
      <c r="LXV225" s="1311"/>
      <c r="LXW225" s="1311"/>
      <c r="LXX225" s="1311"/>
      <c r="LXY225" s="1311"/>
      <c r="LXZ225" s="1311"/>
      <c r="LYA225" s="1311"/>
      <c r="LYB225" s="1311"/>
      <c r="LYC225" s="1311"/>
      <c r="LYD225" s="1311"/>
      <c r="LYE225" s="1311"/>
      <c r="LYF225" s="1311"/>
      <c r="LYG225" s="1311"/>
      <c r="LYH225" s="1311"/>
      <c r="LYI225" s="1311"/>
      <c r="LYJ225" s="1311"/>
      <c r="LYK225" s="1311"/>
      <c r="LYL225" s="1311"/>
      <c r="LYM225" s="1311"/>
      <c r="LYN225" s="1311"/>
      <c r="LYO225" s="1311"/>
      <c r="LYP225" s="1311"/>
      <c r="LYQ225" s="1311"/>
      <c r="LYR225" s="1311"/>
      <c r="LYS225" s="1311"/>
      <c r="LYT225" s="1311"/>
      <c r="LYU225" s="1311"/>
      <c r="LYV225" s="1311"/>
      <c r="LYW225" s="1311"/>
      <c r="LYX225" s="1311"/>
      <c r="LYY225" s="1311"/>
      <c r="LYZ225" s="1311"/>
      <c r="LZA225" s="1311"/>
      <c r="LZB225" s="1311"/>
      <c r="LZC225" s="1311"/>
      <c r="LZD225" s="1311"/>
      <c r="LZE225" s="1311"/>
      <c r="LZF225" s="1311"/>
      <c r="LZG225" s="1311"/>
      <c r="LZH225" s="1311"/>
      <c r="LZI225" s="1311"/>
      <c r="LZJ225" s="1311"/>
      <c r="LZK225" s="1311"/>
      <c r="LZL225" s="1311"/>
      <c r="LZM225" s="1311"/>
      <c r="LZN225" s="1311"/>
      <c r="LZO225" s="1311"/>
      <c r="LZP225" s="1311"/>
      <c r="LZQ225" s="1311"/>
      <c r="LZR225" s="1311"/>
      <c r="LZS225" s="1311"/>
      <c r="LZT225" s="1311"/>
      <c r="LZU225" s="1311"/>
      <c r="LZV225" s="1311"/>
      <c r="LZW225" s="1311"/>
      <c r="LZX225" s="1311"/>
      <c r="LZY225" s="1311"/>
      <c r="LZZ225" s="1311"/>
      <c r="MAA225" s="1311"/>
      <c r="MAB225" s="1311"/>
      <c r="MAC225" s="1311"/>
      <c r="MAD225" s="1311"/>
      <c r="MAE225" s="1311"/>
      <c r="MAF225" s="1311"/>
      <c r="MAG225" s="1311"/>
      <c r="MAH225" s="1311"/>
      <c r="MAI225" s="1311"/>
      <c r="MAJ225" s="1311"/>
      <c r="MAK225" s="1311"/>
      <c r="MAL225" s="1311"/>
      <c r="MAM225" s="1311"/>
      <c r="MAN225" s="1311"/>
      <c r="MAO225" s="1311"/>
      <c r="MAP225" s="1311"/>
      <c r="MAQ225" s="1311"/>
      <c r="MAR225" s="1311"/>
      <c r="MAS225" s="1311"/>
      <c r="MAT225" s="1311"/>
      <c r="MAU225" s="1311"/>
      <c r="MAV225" s="1311"/>
      <c r="MAW225" s="1311"/>
      <c r="MAX225" s="1311"/>
      <c r="MAY225" s="1311"/>
      <c r="MAZ225" s="1311"/>
      <c r="MBA225" s="1311"/>
      <c r="MBB225" s="1311"/>
      <c r="MBC225" s="1311"/>
      <c r="MBD225" s="1311"/>
      <c r="MBE225" s="1311"/>
      <c r="MBF225" s="1311"/>
      <c r="MBG225" s="1311"/>
      <c r="MBH225" s="1311"/>
      <c r="MBI225" s="1311"/>
      <c r="MBJ225" s="1311"/>
      <c r="MBK225" s="1311"/>
      <c r="MBL225" s="1311"/>
      <c r="MBM225" s="1311"/>
      <c r="MBN225" s="1311"/>
      <c r="MBO225" s="1311"/>
      <c r="MBP225" s="1311"/>
      <c r="MBQ225" s="1311"/>
      <c r="MBR225" s="1311"/>
      <c r="MBS225" s="1311"/>
      <c r="MBT225" s="1311"/>
      <c r="MBU225" s="1311"/>
      <c r="MBV225" s="1311"/>
      <c r="MBW225" s="1311"/>
      <c r="MBX225" s="1311"/>
      <c r="MBY225" s="1311"/>
      <c r="MBZ225" s="1311"/>
      <c r="MCA225" s="1311"/>
      <c r="MCB225" s="1311"/>
      <c r="MCC225" s="1311"/>
      <c r="MCD225" s="1311"/>
      <c r="MCE225" s="1311"/>
      <c r="MCF225" s="1311"/>
      <c r="MCG225" s="1311"/>
      <c r="MCH225" s="1311"/>
      <c r="MCI225" s="1311"/>
      <c r="MCJ225" s="1311"/>
      <c r="MCK225" s="1311"/>
      <c r="MCL225" s="1311"/>
      <c r="MCM225" s="1311"/>
      <c r="MCN225" s="1311"/>
      <c r="MCO225" s="1311"/>
      <c r="MCP225" s="1311"/>
      <c r="MCQ225" s="1311"/>
      <c r="MCR225" s="1311"/>
      <c r="MCS225" s="1311"/>
      <c r="MCT225" s="1311"/>
      <c r="MCU225" s="1311"/>
      <c r="MCV225" s="1311"/>
      <c r="MCW225" s="1311"/>
      <c r="MCX225" s="1311"/>
      <c r="MCY225" s="1311"/>
      <c r="MCZ225" s="1311"/>
      <c r="MDA225" s="1311"/>
      <c r="MDB225" s="1311"/>
      <c r="MDC225" s="1311"/>
      <c r="MDD225" s="1311"/>
      <c r="MDE225" s="1311"/>
      <c r="MDF225" s="1311"/>
      <c r="MDG225" s="1311"/>
      <c r="MDH225" s="1311"/>
      <c r="MDI225" s="1311"/>
      <c r="MDJ225" s="1311"/>
      <c r="MDK225" s="1311"/>
      <c r="MDL225" s="1311"/>
      <c r="MDM225" s="1311"/>
      <c r="MDN225" s="1311"/>
      <c r="MDO225" s="1311"/>
      <c r="MDP225" s="1311"/>
      <c r="MDQ225" s="1311"/>
      <c r="MDR225" s="1311"/>
      <c r="MDS225" s="1311"/>
      <c r="MDT225" s="1311"/>
      <c r="MDU225" s="1311"/>
      <c r="MDV225" s="1311"/>
      <c r="MDW225" s="1311"/>
      <c r="MDX225" s="1311"/>
      <c r="MDY225" s="1311"/>
      <c r="MDZ225" s="1311"/>
      <c r="MEA225" s="1311"/>
      <c r="MEB225" s="1311"/>
      <c r="MEC225" s="1311"/>
      <c r="MED225" s="1311"/>
      <c r="MEE225" s="1311"/>
      <c r="MEF225" s="1311"/>
      <c r="MEG225" s="1311"/>
      <c r="MEH225" s="1311"/>
      <c r="MEI225" s="1311"/>
      <c r="MEJ225" s="1311"/>
      <c r="MEK225" s="1311"/>
      <c r="MEL225" s="1311"/>
      <c r="MEM225" s="1311"/>
      <c r="MEN225" s="1311"/>
      <c r="MEO225" s="1311"/>
      <c r="MEP225" s="1311"/>
      <c r="MEQ225" s="1311"/>
      <c r="MER225" s="1311"/>
      <c r="MES225" s="1311"/>
      <c r="MET225" s="1311"/>
      <c r="MEU225" s="1311"/>
      <c r="MEV225" s="1311"/>
      <c r="MEW225" s="1311"/>
      <c r="MEX225" s="1311"/>
      <c r="MEY225" s="1311"/>
      <c r="MEZ225" s="1311"/>
      <c r="MFA225" s="1311"/>
      <c r="MFB225" s="1311"/>
      <c r="MFC225" s="1311"/>
      <c r="MFD225" s="1311"/>
      <c r="MFE225" s="1311"/>
      <c r="MFF225" s="1311"/>
      <c r="MFG225" s="1311"/>
      <c r="MFH225" s="1311"/>
      <c r="MFI225" s="1311"/>
      <c r="MFJ225" s="1311"/>
      <c r="MFK225" s="1311"/>
      <c r="MFL225" s="1311"/>
      <c r="MFM225" s="1311"/>
      <c r="MFN225" s="1311"/>
      <c r="MFO225" s="1311"/>
      <c r="MFP225" s="1311"/>
      <c r="MFQ225" s="1311"/>
      <c r="MFR225" s="1311"/>
      <c r="MFS225" s="1311"/>
      <c r="MFT225" s="1311"/>
      <c r="MFU225" s="1311"/>
      <c r="MFV225" s="1311"/>
      <c r="MFW225" s="1311"/>
      <c r="MFX225" s="1311"/>
      <c r="MFY225" s="1311"/>
      <c r="MFZ225" s="1311"/>
      <c r="MGA225" s="1311"/>
      <c r="MGB225" s="1311"/>
      <c r="MGC225" s="1311"/>
      <c r="MGD225" s="1311"/>
      <c r="MGE225" s="1311"/>
      <c r="MGF225" s="1311"/>
      <c r="MGG225" s="1311"/>
      <c r="MGH225" s="1311"/>
      <c r="MGI225" s="1311"/>
      <c r="MGJ225" s="1311"/>
      <c r="MGK225" s="1311"/>
      <c r="MGL225" s="1311"/>
      <c r="MGM225" s="1311"/>
      <c r="MGN225" s="1311"/>
      <c r="MGO225" s="1311"/>
      <c r="MGP225" s="1311"/>
      <c r="MGQ225" s="1311"/>
      <c r="MGR225" s="1311"/>
      <c r="MGS225" s="1311"/>
      <c r="MGT225" s="1311"/>
      <c r="MGU225" s="1311"/>
      <c r="MGV225" s="1311"/>
      <c r="MGW225" s="1311"/>
      <c r="MGX225" s="1311"/>
      <c r="MGY225" s="1311"/>
      <c r="MGZ225" s="1311"/>
      <c r="MHA225" s="1311"/>
      <c r="MHB225" s="1311"/>
      <c r="MHC225" s="1311"/>
      <c r="MHD225" s="1311"/>
      <c r="MHE225" s="1311"/>
      <c r="MHF225" s="1311"/>
      <c r="MHG225" s="1311"/>
      <c r="MHH225" s="1311"/>
      <c r="MHI225" s="1311"/>
      <c r="MHJ225" s="1311"/>
      <c r="MHK225" s="1311"/>
      <c r="MHL225" s="1311"/>
      <c r="MHM225" s="1311"/>
      <c r="MHN225" s="1311"/>
      <c r="MHO225" s="1311"/>
      <c r="MHP225" s="1311"/>
      <c r="MHQ225" s="1311"/>
      <c r="MHR225" s="1311"/>
      <c r="MHS225" s="1311"/>
      <c r="MHT225" s="1311"/>
      <c r="MHU225" s="1311"/>
      <c r="MHV225" s="1311"/>
      <c r="MHW225" s="1311"/>
      <c r="MHX225" s="1311"/>
      <c r="MHY225" s="1311"/>
      <c r="MHZ225" s="1311"/>
      <c r="MIA225" s="1311"/>
      <c r="MIB225" s="1311"/>
      <c r="MIC225" s="1311"/>
      <c r="MID225" s="1311"/>
      <c r="MIE225" s="1311"/>
      <c r="MIF225" s="1311"/>
      <c r="MIG225" s="1311"/>
      <c r="MIH225" s="1311"/>
      <c r="MII225" s="1311"/>
      <c r="MIJ225" s="1311"/>
      <c r="MIK225" s="1311"/>
      <c r="MIL225" s="1311"/>
      <c r="MIM225" s="1311"/>
      <c r="MIN225" s="1311"/>
      <c r="MIO225" s="1311"/>
      <c r="MIP225" s="1311"/>
      <c r="MIQ225" s="1311"/>
      <c r="MIR225" s="1311"/>
      <c r="MIS225" s="1311"/>
      <c r="MIT225" s="1311"/>
      <c r="MIU225" s="1311"/>
      <c r="MIV225" s="1311"/>
      <c r="MIW225" s="1311"/>
      <c r="MIX225" s="1311"/>
      <c r="MIY225" s="1311"/>
      <c r="MIZ225" s="1311"/>
      <c r="MJA225" s="1311"/>
      <c r="MJB225" s="1311"/>
      <c r="MJC225" s="1311"/>
      <c r="MJD225" s="1311"/>
      <c r="MJE225" s="1311"/>
      <c r="MJF225" s="1311"/>
      <c r="MJG225" s="1311"/>
      <c r="MJH225" s="1311"/>
      <c r="MJI225" s="1311"/>
      <c r="MJJ225" s="1311"/>
      <c r="MJK225" s="1311"/>
      <c r="MJL225" s="1311"/>
      <c r="MJM225" s="1311"/>
      <c r="MJN225" s="1311"/>
      <c r="MJO225" s="1311"/>
      <c r="MJP225" s="1311"/>
      <c r="MJQ225" s="1311"/>
      <c r="MJR225" s="1311"/>
      <c r="MJS225" s="1311"/>
      <c r="MJT225" s="1311"/>
      <c r="MJU225" s="1311"/>
      <c r="MJV225" s="1311"/>
      <c r="MJW225" s="1311"/>
      <c r="MJX225" s="1311"/>
      <c r="MJY225" s="1311"/>
      <c r="MJZ225" s="1311"/>
      <c r="MKA225" s="1311"/>
      <c r="MKB225" s="1311"/>
      <c r="MKC225" s="1311"/>
      <c r="MKD225" s="1311"/>
      <c r="MKE225" s="1311"/>
      <c r="MKF225" s="1311"/>
      <c r="MKG225" s="1311"/>
      <c r="MKH225" s="1311"/>
      <c r="MKI225" s="1311"/>
      <c r="MKJ225" s="1311"/>
      <c r="MKK225" s="1311"/>
      <c r="MKL225" s="1311"/>
      <c r="MKM225" s="1311"/>
      <c r="MKN225" s="1311"/>
      <c r="MKO225" s="1311"/>
      <c r="MKP225" s="1311"/>
      <c r="MKQ225" s="1311"/>
      <c r="MKR225" s="1311"/>
      <c r="MKS225" s="1311"/>
      <c r="MKT225" s="1311"/>
      <c r="MKU225" s="1311"/>
      <c r="MKV225" s="1311"/>
      <c r="MKW225" s="1311"/>
      <c r="MKX225" s="1311"/>
      <c r="MKY225" s="1311"/>
      <c r="MKZ225" s="1311"/>
      <c r="MLA225" s="1311"/>
      <c r="MLB225" s="1311"/>
      <c r="MLC225" s="1311"/>
      <c r="MLD225" s="1311"/>
      <c r="MLE225" s="1311"/>
      <c r="MLF225" s="1311"/>
      <c r="MLG225" s="1311"/>
      <c r="MLH225" s="1311"/>
      <c r="MLI225" s="1311"/>
      <c r="MLJ225" s="1311"/>
      <c r="MLK225" s="1311"/>
      <c r="MLL225" s="1311"/>
      <c r="MLM225" s="1311"/>
      <c r="MLN225" s="1311"/>
      <c r="MLO225" s="1311"/>
      <c r="MLP225" s="1311"/>
      <c r="MLQ225" s="1311"/>
      <c r="MLR225" s="1311"/>
      <c r="MLS225" s="1311"/>
      <c r="MLT225" s="1311"/>
      <c r="MLU225" s="1311"/>
      <c r="MLV225" s="1311"/>
      <c r="MLW225" s="1311"/>
      <c r="MLX225" s="1311"/>
      <c r="MLY225" s="1311"/>
      <c r="MLZ225" s="1311"/>
      <c r="MMA225" s="1311"/>
      <c r="MMB225" s="1311"/>
      <c r="MMC225" s="1311"/>
      <c r="MMD225" s="1311"/>
      <c r="MME225" s="1311"/>
      <c r="MMF225" s="1311"/>
      <c r="MMG225" s="1311"/>
      <c r="MMH225" s="1311"/>
      <c r="MMI225" s="1311"/>
      <c r="MMJ225" s="1311"/>
      <c r="MMK225" s="1311"/>
      <c r="MML225" s="1311"/>
      <c r="MMM225" s="1311"/>
      <c r="MMN225" s="1311"/>
      <c r="MMO225" s="1311"/>
      <c r="MMP225" s="1311"/>
      <c r="MMQ225" s="1311"/>
      <c r="MMR225" s="1311"/>
      <c r="MMS225" s="1311"/>
      <c r="MMT225" s="1311"/>
      <c r="MMU225" s="1311"/>
      <c r="MMV225" s="1311"/>
      <c r="MMW225" s="1311"/>
      <c r="MMX225" s="1311"/>
      <c r="MMY225" s="1311"/>
      <c r="MMZ225" s="1311"/>
      <c r="MNA225" s="1311"/>
      <c r="MNB225" s="1311"/>
      <c r="MNC225" s="1311"/>
      <c r="MND225" s="1311"/>
      <c r="MNE225" s="1311"/>
      <c r="MNF225" s="1311"/>
      <c r="MNG225" s="1311"/>
      <c r="MNH225" s="1311"/>
      <c r="MNI225" s="1311"/>
      <c r="MNJ225" s="1311"/>
      <c r="MNK225" s="1311"/>
      <c r="MNL225" s="1311"/>
      <c r="MNM225" s="1311"/>
      <c r="MNN225" s="1311"/>
      <c r="MNO225" s="1311"/>
      <c r="MNP225" s="1311"/>
      <c r="MNQ225" s="1311"/>
      <c r="MNR225" s="1311"/>
      <c r="MNS225" s="1311"/>
      <c r="MNT225" s="1311"/>
      <c r="MNU225" s="1311"/>
      <c r="MNV225" s="1311"/>
      <c r="MNW225" s="1311"/>
      <c r="MNX225" s="1311"/>
      <c r="MNY225" s="1311"/>
      <c r="MNZ225" s="1311"/>
      <c r="MOA225" s="1311"/>
      <c r="MOB225" s="1311"/>
      <c r="MOC225" s="1311"/>
      <c r="MOD225" s="1311"/>
      <c r="MOE225" s="1311"/>
      <c r="MOF225" s="1311"/>
      <c r="MOG225" s="1311"/>
      <c r="MOH225" s="1311"/>
      <c r="MOI225" s="1311"/>
      <c r="MOJ225" s="1311"/>
      <c r="MOK225" s="1311"/>
      <c r="MOL225" s="1311"/>
      <c r="MOM225" s="1311"/>
      <c r="MON225" s="1311"/>
      <c r="MOO225" s="1311"/>
      <c r="MOP225" s="1311"/>
      <c r="MOQ225" s="1311"/>
      <c r="MOR225" s="1311"/>
      <c r="MOS225" s="1311"/>
      <c r="MOT225" s="1311"/>
      <c r="MOU225" s="1311"/>
      <c r="MOV225" s="1311"/>
      <c r="MOW225" s="1311"/>
      <c r="MOX225" s="1311"/>
      <c r="MOY225" s="1311"/>
      <c r="MOZ225" s="1311"/>
      <c r="MPA225" s="1311"/>
      <c r="MPB225" s="1311"/>
      <c r="MPC225" s="1311"/>
      <c r="MPD225" s="1311"/>
      <c r="MPE225" s="1311"/>
      <c r="MPF225" s="1311"/>
      <c r="MPG225" s="1311"/>
      <c r="MPH225" s="1311"/>
      <c r="MPI225" s="1311"/>
      <c r="MPJ225" s="1311"/>
      <c r="MPK225" s="1311"/>
      <c r="MPL225" s="1311"/>
      <c r="MPM225" s="1311"/>
      <c r="MPN225" s="1311"/>
      <c r="MPO225" s="1311"/>
      <c r="MPP225" s="1311"/>
      <c r="MPQ225" s="1311"/>
      <c r="MPR225" s="1311"/>
      <c r="MPS225" s="1311"/>
      <c r="MPT225" s="1311"/>
      <c r="MPU225" s="1311"/>
      <c r="MPV225" s="1311"/>
      <c r="MPW225" s="1311"/>
      <c r="MPX225" s="1311"/>
      <c r="MPY225" s="1311"/>
      <c r="MPZ225" s="1311"/>
      <c r="MQA225" s="1311"/>
      <c r="MQB225" s="1311"/>
      <c r="MQC225" s="1311"/>
      <c r="MQD225" s="1311"/>
      <c r="MQE225" s="1311"/>
      <c r="MQF225" s="1311"/>
      <c r="MQG225" s="1311"/>
      <c r="MQH225" s="1311"/>
      <c r="MQI225" s="1311"/>
      <c r="MQJ225" s="1311"/>
      <c r="MQK225" s="1311"/>
      <c r="MQL225" s="1311"/>
      <c r="MQM225" s="1311"/>
      <c r="MQN225" s="1311"/>
      <c r="MQO225" s="1311"/>
      <c r="MQP225" s="1311"/>
      <c r="MQQ225" s="1311"/>
      <c r="MQR225" s="1311"/>
      <c r="MQS225" s="1311"/>
      <c r="MQT225" s="1311"/>
      <c r="MQU225" s="1311"/>
      <c r="MQV225" s="1311"/>
      <c r="MQW225" s="1311"/>
      <c r="MQX225" s="1311"/>
      <c r="MQY225" s="1311"/>
      <c r="MQZ225" s="1311"/>
      <c r="MRA225" s="1311"/>
      <c r="MRB225" s="1311"/>
      <c r="MRC225" s="1311"/>
      <c r="MRD225" s="1311"/>
      <c r="MRE225" s="1311"/>
      <c r="MRF225" s="1311"/>
      <c r="MRG225" s="1311"/>
      <c r="MRH225" s="1311"/>
      <c r="MRI225" s="1311"/>
      <c r="MRJ225" s="1311"/>
      <c r="MRK225" s="1311"/>
      <c r="MRL225" s="1311"/>
      <c r="MRM225" s="1311"/>
      <c r="MRN225" s="1311"/>
      <c r="MRO225" s="1311"/>
      <c r="MRP225" s="1311"/>
      <c r="MRQ225" s="1311"/>
      <c r="MRR225" s="1311"/>
      <c r="MRS225" s="1311"/>
      <c r="MRT225" s="1311"/>
      <c r="MRU225" s="1311"/>
      <c r="MRV225" s="1311"/>
      <c r="MRW225" s="1311"/>
      <c r="MRX225" s="1311"/>
      <c r="MRY225" s="1311"/>
      <c r="MRZ225" s="1311"/>
      <c r="MSA225" s="1311"/>
      <c r="MSB225" s="1311"/>
      <c r="MSC225" s="1311"/>
      <c r="MSD225" s="1311"/>
      <c r="MSE225" s="1311"/>
      <c r="MSF225" s="1311"/>
      <c r="MSG225" s="1311"/>
      <c r="MSH225" s="1311"/>
      <c r="MSI225" s="1311"/>
      <c r="MSJ225" s="1311"/>
      <c r="MSK225" s="1311"/>
      <c r="MSL225" s="1311"/>
      <c r="MSM225" s="1311"/>
      <c r="MSN225" s="1311"/>
      <c r="MSO225" s="1311"/>
      <c r="MSP225" s="1311"/>
      <c r="MSQ225" s="1311"/>
      <c r="MSR225" s="1311"/>
      <c r="MSS225" s="1311"/>
      <c r="MST225" s="1311"/>
      <c r="MSU225" s="1311"/>
      <c r="MSV225" s="1311"/>
      <c r="MSW225" s="1311"/>
      <c r="MSX225" s="1311"/>
      <c r="MSY225" s="1311"/>
      <c r="MSZ225" s="1311"/>
      <c r="MTA225" s="1311"/>
      <c r="MTB225" s="1311"/>
      <c r="MTC225" s="1311"/>
      <c r="MTD225" s="1311"/>
      <c r="MTE225" s="1311"/>
      <c r="MTF225" s="1311"/>
      <c r="MTG225" s="1311"/>
      <c r="MTH225" s="1311"/>
      <c r="MTI225" s="1311"/>
      <c r="MTJ225" s="1311"/>
      <c r="MTK225" s="1311"/>
      <c r="MTL225" s="1311"/>
      <c r="MTM225" s="1311"/>
      <c r="MTN225" s="1311"/>
      <c r="MTO225" s="1311"/>
      <c r="MTP225" s="1311"/>
      <c r="MTQ225" s="1311"/>
      <c r="MTR225" s="1311"/>
      <c r="MTS225" s="1311"/>
      <c r="MTT225" s="1311"/>
      <c r="MTU225" s="1311"/>
      <c r="MTV225" s="1311"/>
      <c r="MTW225" s="1311"/>
      <c r="MTX225" s="1311"/>
      <c r="MTY225" s="1311"/>
      <c r="MTZ225" s="1311"/>
      <c r="MUA225" s="1311"/>
      <c r="MUB225" s="1311"/>
      <c r="MUC225" s="1311"/>
      <c r="MUD225" s="1311"/>
      <c r="MUE225" s="1311"/>
      <c r="MUF225" s="1311"/>
      <c r="MUG225" s="1311"/>
      <c r="MUH225" s="1311"/>
      <c r="MUI225" s="1311"/>
      <c r="MUJ225" s="1311"/>
      <c r="MUK225" s="1311"/>
      <c r="MUL225" s="1311"/>
      <c r="MUM225" s="1311"/>
      <c r="MUN225" s="1311"/>
      <c r="MUO225" s="1311"/>
      <c r="MUP225" s="1311"/>
      <c r="MUQ225" s="1311"/>
      <c r="MUR225" s="1311"/>
      <c r="MUS225" s="1311"/>
      <c r="MUT225" s="1311"/>
      <c r="MUU225" s="1311"/>
      <c r="MUV225" s="1311"/>
      <c r="MUW225" s="1311"/>
      <c r="MUX225" s="1311"/>
      <c r="MUY225" s="1311"/>
      <c r="MUZ225" s="1311"/>
      <c r="MVA225" s="1311"/>
      <c r="MVB225" s="1311"/>
      <c r="MVC225" s="1311"/>
      <c r="MVD225" s="1311"/>
      <c r="MVE225" s="1311"/>
      <c r="MVF225" s="1311"/>
      <c r="MVG225" s="1311"/>
      <c r="MVH225" s="1311"/>
      <c r="MVI225" s="1311"/>
      <c r="MVJ225" s="1311"/>
      <c r="MVK225" s="1311"/>
      <c r="MVL225" s="1311"/>
      <c r="MVM225" s="1311"/>
      <c r="MVN225" s="1311"/>
      <c r="MVO225" s="1311"/>
      <c r="MVP225" s="1311"/>
      <c r="MVQ225" s="1311"/>
      <c r="MVR225" s="1311"/>
      <c r="MVS225" s="1311"/>
      <c r="MVT225" s="1311"/>
      <c r="MVU225" s="1311"/>
      <c r="MVV225" s="1311"/>
      <c r="MVW225" s="1311"/>
      <c r="MVX225" s="1311"/>
      <c r="MVY225" s="1311"/>
      <c r="MVZ225" s="1311"/>
      <c r="MWA225" s="1311"/>
      <c r="MWB225" s="1311"/>
      <c r="MWC225" s="1311"/>
      <c r="MWD225" s="1311"/>
      <c r="MWE225" s="1311"/>
      <c r="MWF225" s="1311"/>
      <c r="MWG225" s="1311"/>
      <c r="MWH225" s="1311"/>
      <c r="MWI225" s="1311"/>
      <c r="MWJ225" s="1311"/>
      <c r="MWK225" s="1311"/>
      <c r="MWL225" s="1311"/>
      <c r="MWM225" s="1311"/>
      <c r="MWN225" s="1311"/>
      <c r="MWO225" s="1311"/>
      <c r="MWP225" s="1311"/>
      <c r="MWQ225" s="1311"/>
      <c r="MWR225" s="1311"/>
      <c r="MWS225" s="1311"/>
      <c r="MWT225" s="1311"/>
      <c r="MWU225" s="1311"/>
      <c r="MWV225" s="1311"/>
      <c r="MWW225" s="1311"/>
      <c r="MWX225" s="1311"/>
      <c r="MWY225" s="1311"/>
      <c r="MWZ225" s="1311"/>
      <c r="MXA225" s="1311"/>
      <c r="MXB225" s="1311"/>
      <c r="MXC225" s="1311"/>
      <c r="MXD225" s="1311"/>
      <c r="MXE225" s="1311"/>
      <c r="MXF225" s="1311"/>
      <c r="MXG225" s="1311"/>
      <c r="MXH225" s="1311"/>
      <c r="MXI225" s="1311"/>
      <c r="MXJ225" s="1311"/>
      <c r="MXK225" s="1311"/>
      <c r="MXL225" s="1311"/>
      <c r="MXM225" s="1311"/>
      <c r="MXN225" s="1311"/>
      <c r="MXO225" s="1311"/>
      <c r="MXP225" s="1311"/>
      <c r="MXQ225" s="1311"/>
      <c r="MXR225" s="1311"/>
      <c r="MXS225" s="1311"/>
      <c r="MXT225" s="1311"/>
      <c r="MXU225" s="1311"/>
      <c r="MXV225" s="1311"/>
      <c r="MXW225" s="1311"/>
      <c r="MXX225" s="1311"/>
      <c r="MXY225" s="1311"/>
      <c r="MXZ225" s="1311"/>
      <c r="MYA225" s="1311"/>
      <c r="MYB225" s="1311"/>
      <c r="MYC225" s="1311"/>
      <c r="MYD225" s="1311"/>
      <c r="MYE225" s="1311"/>
      <c r="MYF225" s="1311"/>
      <c r="MYG225" s="1311"/>
      <c r="MYH225" s="1311"/>
      <c r="MYI225" s="1311"/>
      <c r="MYJ225" s="1311"/>
      <c r="MYK225" s="1311"/>
      <c r="MYL225" s="1311"/>
      <c r="MYM225" s="1311"/>
      <c r="MYN225" s="1311"/>
      <c r="MYO225" s="1311"/>
      <c r="MYP225" s="1311"/>
      <c r="MYQ225" s="1311"/>
      <c r="MYR225" s="1311"/>
      <c r="MYS225" s="1311"/>
      <c r="MYT225" s="1311"/>
      <c r="MYU225" s="1311"/>
      <c r="MYV225" s="1311"/>
      <c r="MYW225" s="1311"/>
      <c r="MYX225" s="1311"/>
      <c r="MYY225" s="1311"/>
      <c r="MYZ225" s="1311"/>
      <c r="MZA225" s="1311"/>
      <c r="MZB225" s="1311"/>
      <c r="MZC225" s="1311"/>
      <c r="MZD225" s="1311"/>
      <c r="MZE225" s="1311"/>
      <c r="MZF225" s="1311"/>
      <c r="MZG225" s="1311"/>
      <c r="MZH225" s="1311"/>
      <c r="MZI225" s="1311"/>
      <c r="MZJ225" s="1311"/>
      <c r="MZK225" s="1311"/>
      <c r="MZL225" s="1311"/>
      <c r="MZM225" s="1311"/>
      <c r="MZN225" s="1311"/>
      <c r="MZO225" s="1311"/>
      <c r="MZP225" s="1311"/>
      <c r="MZQ225" s="1311"/>
      <c r="MZR225" s="1311"/>
      <c r="MZS225" s="1311"/>
      <c r="MZT225" s="1311"/>
      <c r="MZU225" s="1311"/>
      <c r="MZV225" s="1311"/>
      <c r="MZW225" s="1311"/>
      <c r="MZX225" s="1311"/>
      <c r="MZY225" s="1311"/>
      <c r="MZZ225" s="1311"/>
      <c r="NAA225" s="1311"/>
      <c r="NAB225" s="1311"/>
      <c r="NAC225" s="1311"/>
      <c r="NAD225" s="1311"/>
      <c r="NAE225" s="1311"/>
      <c r="NAF225" s="1311"/>
      <c r="NAG225" s="1311"/>
      <c r="NAH225" s="1311"/>
      <c r="NAI225" s="1311"/>
      <c r="NAJ225" s="1311"/>
      <c r="NAK225" s="1311"/>
      <c r="NAL225" s="1311"/>
      <c r="NAM225" s="1311"/>
      <c r="NAN225" s="1311"/>
      <c r="NAO225" s="1311"/>
      <c r="NAP225" s="1311"/>
      <c r="NAQ225" s="1311"/>
      <c r="NAR225" s="1311"/>
      <c r="NAS225" s="1311"/>
      <c r="NAT225" s="1311"/>
      <c r="NAU225" s="1311"/>
      <c r="NAV225" s="1311"/>
      <c r="NAW225" s="1311"/>
      <c r="NAX225" s="1311"/>
      <c r="NAY225" s="1311"/>
      <c r="NAZ225" s="1311"/>
      <c r="NBA225" s="1311"/>
      <c r="NBB225" s="1311"/>
      <c r="NBC225" s="1311"/>
      <c r="NBD225" s="1311"/>
      <c r="NBE225" s="1311"/>
      <c r="NBF225" s="1311"/>
      <c r="NBG225" s="1311"/>
      <c r="NBH225" s="1311"/>
      <c r="NBI225" s="1311"/>
      <c r="NBJ225" s="1311"/>
      <c r="NBK225" s="1311"/>
      <c r="NBL225" s="1311"/>
      <c r="NBM225" s="1311"/>
      <c r="NBN225" s="1311"/>
      <c r="NBO225" s="1311"/>
      <c r="NBP225" s="1311"/>
      <c r="NBQ225" s="1311"/>
      <c r="NBR225" s="1311"/>
      <c r="NBS225" s="1311"/>
      <c r="NBT225" s="1311"/>
      <c r="NBU225" s="1311"/>
      <c r="NBV225" s="1311"/>
      <c r="NBW225" s="1311"/>
      <c r="NBX225" s="1311"/>
      <c r="NBY225" s="1311"/>
      <c r="NBZ225" s="1311"/>
      <c r="NCA225" s="1311"/>
      <c r="NCB225" s="1311"/>
      <c r="NCC225" s="1311"/>
      <c r="NCD225" s="1311"/>
      <c r="NCE225" s="1311"/>
      <c r="NCF225" s="1311"/>
      <c r="NCG225" s="1311"/>
      <c r="NCH225" s="1311"/>
      <c r="NCI225" s="1311"/>
      <c r="NCJ225" s="1311"/>
      <c r="NCK225" s="1311"/>
      <c r="NCL225" s="1311"/>
      <c r="NCM225" s="1311"/>
      <c r="NCN225" s="1311"/>
      <c r="NCO225" s="1311"/>
      <c r="NCP225" s="1311"/>
      <c r="NCQ225" s="1311"/>
      <c r="NCR225" s="1311"/>
      <c r="NCS225" s="1311"/>
      <c r="NCT225" s="1311"/>
      <c r="NCU225" s="1311"/>
      <c r="NCV225" s="1311"/>
      <c r="NCW225" s="1311"/>
      <c r="NCX225" s="1311"/>
      <c r="NCY225" s="1311"/>
      <c r="NCZ225" s="1311"/>
      <c r="NDA225" s="1311"/>
      <c r="NDB225" s="1311"/>
      <c r="NDC225" s="1311"/>
      <c r="NDD225" s="1311"/>
      <c r="NDE225" s="1311"/>
      <c r="NDF225" s="1311"/>
      <c r="NDG225" s="1311"/>
      <c r="NDH225" s="1311"/>
      <c r="NDI225" s="1311"/>
      <c r="NDJ225" s="1311"/>
      <c r="NDK225" s="1311"/>
      <c r="NDL225" s="1311"/>
      <c r="NDM225" s="1311"/>
      <c r="NDN225" s="1311"/>
      <c r="NDO225" s="1311"/>
      <c r="NDP225" s="1311"/>
      <c r="NDQ225" s="1311"/>
      <c r="NDR225" s="1311"/>
      <c r="NDS225" s="1311"/>
      <c r="NDT225" s="1311"/>
      <c r="NDU225" s="1311"/>
      <c r="NDV225" s="1311"/>
      <c r="NDW225" s="1311"/>
      <c r="NDX225" s="1311"/>
      <c r="NDY225" s="1311"/>
      <c r="NDZ225" s="1311"/>
      <c r="NEA225" s="1311"/>
      <c r="NEB225" s="1311"/>
      <c r="NEC225" s="1311"/>
      <c r="NED225" s="1311"/>
      <c r="NEE225" s="1311"/>
      <c r="NEF225" s="1311"/>
      <c r="NEG225" s="1311"/>
      <c r="NEH225" s="1311"/>
      <c r="NEI225" s="1311"/>
      <c r="NEJ225" s="1311"/>
      <c r="NEK225" s="1311"/>
      <c r="NEL225" s="1311"/>
      <c r="NEM225" s="1311"/>
      <c r="NEN225" s="1311"/>
      <c r="NEO225" s="1311"/>
      <c r="NEP225" s="1311"/>
      <c r="NEQ225" s="1311"/>
      <c r="NER225" s="1311"/>
      <c r="NES225" s="1311"/>
      <c r="NET225" s="1311"/>
      <c r="NEU225" s="1311"/>
      <c r="NEV225" s="1311"/>
      <c r="NEW225" s="1311"/>
      <c r="NEX225" s="1311"/>
      <c r="NEY225" s="1311"/>
      <c r="NEZ225" s="1311"/>
      <c r="NFA225" s="1311"/>
      <c r="NFB225" s="1311"/>
      <c r="NFC225" s="1311"/>
      <c r="NFD225" s="1311"/>
      <c r="NFE225" s="1311"/>
      <c r="NFF225" s="1311"/>
      <c r="NFG225" s="1311"/>
      <c r="NFH225" s="1311"/>
      <c r="NFI225" s="1311"/>
      <c r="NFJ225" s="1311"/>
      <c r="NFK225" s="1311"/>
      <c r="NFL225" s="1311"/>
      <c r="NFM225" s="1311"/>
      <c r="NFN225" s="1311"/>
      <c r="NFO225" s="1311"/>
      <c r="NFP225" s="1311"/>
      <c r="NFQ225" s="1311"/>
      <c r="NFR225" s="1311"/>
      <c r="NFS225" s="1311"/>
      <c r="NFT225" s="1311"/>
      <c r="NFU225" s="1311"/>
      <c r="NFV225" s="1311"/>
      <c r="NFW225" s="1311"/>
      <c r="NFX225" s="1311"/>
      <c r="NFY225" s="1311"/>
      <c r="NFZ225" s="1311"/>
      <c r="NGA225" s="1311"/>
      <c r="NGB225" s="1311"/>
      <c r="NGC225" s="1311"/>
      <c r="NGD225" s="1311"/>
      <c r="NGE225" s="1311"/>
      <c r="NGF225" s="1311"/>
      <c r="NGG225" s="1311"/>
      <c r="NGH225" s="1311"/>
      <c r="NGI225" s="1311"/>
      <c r="NGJ225" s="1311"/>
      <c r="NGK225" s="1311"/>
      <c r="NGL225" s="1311"/>
      <c r="NGM225" s="1311"/>
      <c r="NGN225" s="1311"/>
      <c r="NGO225" s="1311"/>
      <c r="NGP225" s="1311"/>
      <c r="NGQ225" s="1311"/>
      <c r="NGR225" s="1311"/>
      <c r="NGS225" s="1311"/>
      <c r="NGT225" s="1311"/>
      <c r="NGU225" s="1311"/>
      <c r="NGV225" s="1311"/>
      <c r="NGW225" s="1311"/>
      <c r="NGX225" s="1311"/>
      <c r="NGY225" s="1311"/>
      <c r="NGZ225" s="1311"/>
      <c r="NHA225" s="1311"/>
      <c r="NHB225" s="1311"/>
      <c r="NHC225" s="1311"/>
      <c r="NHD225" s="1311"/>
      <c r="NHE225" s="1311"/>
      <c r="NHF225" s="1311"/>
      <c r="NHG225" s="1311"/>
      <c r="NHH225" s="1311"/>
      <c r="NHI225" s="1311"/>
      <c r="NHJ225" s="1311"/>
      <c r="NHK225" s="1311"/>
      <c r="NHL225" s="1311"/>
      <c r="NHM225" s="1311"/>
      <c r="NHN225" s="1311"/>
      <c r="NHO225" s="1311"/>
      <c r="NHP225" s="1311"/>
      <c r="NHQ225" s="1311"/>
      <c r="NHR225" s="1311"/>
      <c r="NHS225" s="1311"/>
      <c r="NHT225" s="1311"/>
      <c r="NHU225" s="1311"/>
      <c r="NHV225" s="1311"/>
      <c r="NHW225" s="1311"/>
      <c r="NHX225" s="1311"/>
      <c r="NHY225" s="1311"/>
      <c r="NHZ225" s="1311"/>
      <c r="NIA225" s="1311"/>
      <c r="NIB225" s="1311"/>
      <c r="NIC225" s="1311"/>
      <c r="NID225" s="1311"/>
      <c r="NIE225" s="1311"/>
      <c r="NIF225" s="1311"/>
      <c r="NIG225" s="1311"/>
      <c r="NIH225" s="1311"/>
      <c r="NII225" s="1311"/>
      <c r="NIJ225" s="1311"/>
      <c r="NIK225" s="1311"/>
      <c r="NIL225" s="1311"/>
      <c r="NIM225" s="1311"/>
      <c r="NIN225" s="1311"/>
      <c r="NIO225" s="1311"/>
      <c r="NIP225" s="1311"/>
      <c r="NIQ225" s="1311"/>
      <c r="NIR225" s="1311"/>
      <c r="NIS225" s="1311"/>
      <c r="NIT225" s="1311"/>
      <c r="NIU225" s="1311"/>
      <c r="NIV225" s="1311"/>
      <c r="NIW225" s="1311"/>
      <c r="NIX225" s="1311"/>
      <c r="NIY225" s="1311"/>
      <c r="NIZ225" s="1311"/>
      <c r="NJA225" s="1311"/>
      <c r="NJB225" s="1311"/>
      <c r="NJC225" s="1311"/>
      <c r="NJD225" s="1311"/>
      <c r="NJE225" s="1311"/>
      <c r="NJF225" s="1311"/>
      <c r="NJG225" s="1311"/>
      <c r="NJH225" s="1311"/>
      <c r="NJI225" s="1311"/>
      <c r="NJJ225" s="1311"/>
      <c r="NJK225" s="1311"/>
      <c r="NJL225" s="1311"/>
      <c r="NJM225" s="1311"/>
      <c r="NJN225" s="1311"/>
      <c r="NJO225" s="1311"/>
      <c r="NJP225" s="1311"/>
      <c r="NJQ225" s="1311"/>
      <c r="NJR225" s="1311"/>
      <c r="NJS225" s="1311"/>
      <c r="NJT225" s="1311"/>
      <c r="NJU225" s="1311"/>
      <c r="NJV225" s="1311"/>
      <c r="NJW225" s="1311"/>
      <c r="NJX225" s="1311"/>
      <c r="NJY225" s="1311"/>
      <c r="NJZ225" s="1311"/>
      <c r="NKA225" s="1311"/>
      <c r="NKB225" s="1311"/>
      <c r="NKC225" s="1311"/>
      <c r="NKD225" s="1311"/>
      <c r="NKE225" s="1311"/>
      <c r="NKF225" s="1311"/>
      <c r="NKG225" s="1311"/>
      <c r="NKH225" s="1311"/>
      <c r="NKI225" s="1311"/>
      <c r="NKJ225" s="1311"/>
      <c r="NKK225" s="1311"/>
      <c r="NKL225" s="1311"/>
      <c r="NKM225" s="1311"/>
      <c r="NKN225" s="1311"/>
      <c r="NKO225" s="1311"/>
      <c r="NKP225" s="1311"/>
      <c r="NKQ225" s="1311"/>
      <c r="NKR225" s="1311"/>
      <c r="NKS225" s="1311"/>
      <c r="NKT225" s="1311"/>
      <c r="NKU225" s="1311"/>
      <c r="NKV225" s="1311"/>
      <c r="NKW225" s="1311"/>
      <c r="NKX225" s="1311"/>
      <c r="NKY225" s="1311"/>
      <c r="NKZ225" s="1311"/>
      <c r="NLA225" s="1311"/>
      <c r="NLB225" s="1311"/>
      <c r="NLC225" s="1311"/>
      <c r="NLD225" s="1311"/>
      <c r="NLE225" s="1311"/>
      <c r="NLF225" s="1311"/>
      <c r="NLG225" s="1311"/>
      <c r="NLH225" s="1311"/>
      <c r="NLI225" s="1311"/>
      <c r="NLJ225" s="1311"/>
      <c r="NLK225" s="1311"/>
      <c r="NLL225" s="1311"/>
      <c r="NLM225" s="1311"/>
      <c r="NLN225" s="1311"/>
      <c r="NLO225" s="1311"/>
      <c r="NLP225" s="1311"/>
      <c r="NLQ225" s="1311"/>
      <c r="NLR225" s="1311"/>
      <c r="NLS225" s="1311"/>
      <c r="NLT225" s="1311"/>
      <c r="NLU225" s="1311"/>
      <c r="NLV225" s="1311"/>
      <c r="NLW225" s="1311"/>
      <c r="NLX225" s="1311"/>
      <c r="NLY225" s="1311"/>
      <c r="NLZ225" s="1311"/>
      <c r="NMA225" s="1311"/>
      <c r="NMB225" s="1311"/>
      <c r="NMC225" s="1311"/>
      <c r="NMD225" s="1311"/>
      <c r="NME225" s="1311"/>
      <c r="NMF225" s="1311"/>
      <c r="NMG225" s="1311"/>
      <c r="NMH225" s="1311"/>
      <c r="NMI225" s="1311"/>
      <c r="NMJ225" s="1311"/>
      <c r="NMK225" s="1311"/>
      <c r="NML225" s="1311"/>
      <c r="NMM225" s="1311"/>
      <c r="NMN225" s="1311"/>
      <c r="NMO225" s="1311"/>
      <c r="NMP225" s="1311"/>
      <c r="NMQ225" s="1311"/>
      <c r="NMR225" s="1311"/>
      <c r="NMS225" s="1311"/>
      <c r="NMT225" s="1311"/>
      <c r="NMU225" s="1311"/>
      <c r="NMV225" s="1311"/>
      <c r="NMW225" s="1311"/>
      <c r="NMX225" s="1311"/>
      <c r="NMY225" s="1311"/>
      <c r="NMZ225" s="1311"/>
      <c r="NNA225" s="1311"/>
      <c r="NNB225" s="1311"/>
      <c r="NNC225" s="1311"/>
      <c r="NND225" s="1311"/>
      <c r="NNE225" s="1311"/>
      <c r="NNF225" s="1311"/>
      <c r="NNG225" s="1311"/>
      <c r="NNH225" s="1311"/>
      <c r="NNI225" s="1311"/>
      <c r="NNJ225" s="1311"/>
      <c r="NNK225" s="1311"/>
      <c r="NNL225" s="1311"/>
      <c r="NNM225" s="1311"/>
      <c r="NNN225" s="1311"/>
      <c r="NNO225" s="1311"/>
      <c r="NNP225" s="1311"/>
      <c r="NNQ225" s="1311"/>
      <c r="NNR225" s="1311"/>
      <c r="NNS225" s="1311"/>
      <c r="NNT225" s="1311"/>
      <c r="NNU225" s="1311"/>
      <c r="NNV225" s="1311"/>
      <c r="NNW225" s="1311"/>
      <c r="NNX225" s="1311"/>
      <c r="NNY225" s="1311"/>
      <c r="NNZ225" s="1311"/>
      <c r="NOA225" s="1311"/>
      <c r="NOB225" s="1311"/>
      <c r="NOC225" s="1311"/>
      <c r="NOD225" s="1311"/>
      <c r="NOE225" s="1311"/>
      <c r="NOF225" s="1311"/>
      <c r="NOG225" s="1311"/>
      <c r="NOH225" s="1311"/>
      <c r="NOI225" s="1311"/>
      <c r="NOJ225" s="1311"/>
      <c r="NOK225" s="1311"/>
      <c r="NOL225" s="1311"/>
      <c r="NOM225" s="1311"/>
      <c r="NON225" s="1311"/>
      <c r="NOO225" s="1311"/>
      <c r="NOP225" s="1311"/>
      <c r="NOQ225" s="1311"/>
      <c r="NOR225" s="1311"/>
      <c r="NOS225" s="1311"/>
      <c r="NOT225" s="1311"/>
      <c r="NOU225" s="1311"/>
      <c r="NOV225" s="1311"/>
      <c r="NOW225" s="1311"/>
      <c r="NOX225" s="1311"/>
      <c r="NOY225" s="1311"/>
      <c r="NOZ225" s="1311"/>
      <c r="NPA225" s="1311"/>
      <c r="NPB225" s="1311"/>
      <c r="NPC225" s="1311"/>
      <c r="NPD225" s="1311"/>
      <c r="NPE225" s="1311"/>
      <c r="NPF225" s="1311"/>
      <c r="NPG225" s="1311"/>
      <c r="NPH225" s="1311"/>
      <c r="NPI225" s="1311"/>
      <c r="NPJ225" s="1311"/>
      <c r="NPK225" s="1311"/>
      <c r="NPL225" s="1311"/>
      <c r="NPM225" s="1311"/>
      <c r="NPN225" s="1311"/>
      <c r="NPO225" s="1311"/>
      <c r="NPP225" s="1311"/>
      <c r="NPQ225" s="1311"/>
      <c r="NPR225" s="1311"/>
      <c r="NPS225" s="1311"/>
      <c r="NPT225" s="1311"/>
      <c r="NPU225" s="1311"/>
      <c r="NPV225" s="1311"/>
      <c r="NPW225" s="1311"/>
      <c r="NPX225" s="1311"/>
      <c r="NPY225" s="1311"/>
      <c r="NPZ225" s="1311"/>
      <c r="NQA225" s="1311"/>
      <c r="NQB225" s="1311"/>
      <c r="NQC225" s="1311"/>
      <c r="NQD225" s="1311"/>
      <c r="NQE225" s="1311"/>
      <c r="NQF225" s="1311"/>
      <c r="NQG225" s="1311"/>
      <c r="NQH225" s="1311"/>
      <c r="NQI225" s="1311"/>
      <c r="NQJ225" s="1311"/>
      <c r="NQK225" s="1311"/>
      <c r="NQL225" s="1311"/>
      <c r="NQM225" s="1311"/>
      <c r="NQN225" s="1311"/>
      <c r="NQO225" s="1311"/>
      <c r="NQP225" s="1311"/>
      <c r="NQQ225" s="1311"/>
      <c r="NQR225" s="1311"/>
      <c r="NQS225" s="1311"/>
      <c r="NQT225" s="1311"/>
      <c r="NQU225" s="1311"/>
      <c r="NQV225" s="1311"/>
      <c r="NQW225" s="1311"/>
      <c r="NQX225" s="1311"/>
      <c r="NQY225" s="1311"/>
      <c r="NQZ225" s="1311"/>
      <c r="NRA225" s="1311"/>
      <c r="NRB225" s="1311"/>
      <c r="NRC225" s="1311"/>
      <c r="NRD225" s="1311"/>
      <c r="NRE225" s="1311"/>
      <c r="NRF225" s="1311"/>
      <c r="NRG225" s="1311"/>
      <c r="NRH225" s="1311"/>
      <c r="NRI225" s="1311"/>
      <c r="NRJ225" s="1311"/>
      <c r="NRK225" s="1311"/>
      <c r="NRL225" s="1311"/>
      <c r="NRM225" s="1311"/>
      <c r="NRN225" s="1311"/>
      <c r="NRO225" s="1311"/>
      <c r="NRP225" s="1311"/>
      <c r="NRQ225" s="1311"/>
      <c r="NRR225" s="1311"/>
      <c r="NRS225" s="1311"/>
      <c r="NRT225" s="1311"/>
      <c r="NRU225" s="1311"/>
      <c r="NRV225" s="1311"/>
      <c r="NRW225" s="1311"/>
      <c r="NRX225" s="1311"/>
      <c r="NRY225" s="1311"/>
      <c r="NRZ225" s="1311"/>
      <c r="NSA225" s="1311"/>
      <c r="NSB225" s="1311"/>
      <c r="NSC225" s="1311"/>
      <c r="NSD225" s="1311"/>
      <c r="NSE225" s="1311"/>
      <c r="NSF225" s="1311"/>
      <c r="NSG225" s="1311"/>
      <c r="NSH225" s="1311"/>
      <c r="NSI225" s="1311"/>
      <c r="NSJ225" s="1311"/>
      <c r="NSK225" s="1311"/>
      <c r="NSL225" s="1311"/>
      <c r="NSM225" s="1311"/>
      <c r="NSN225" s="1311"/>
      <c r="NSO225" s="1311"/>
      <c r="NSP225" s="1311"/>
      <c r="NSQ225" s="1311"/>
      <c r="NSR225" s="1311"/>
      <c r="NSS225" s="1311"/>
      <c r="NST225" s="1311"/>
      <c r="NSU225" s="1311"/>
      <c r="NSV225" s="1311"/>
      <c r="NSW225" s="1311"/>
      <c r="NSX225" s="1311"/>
      <c r="NSY225" s="1311"/>
      <c r="NSZ225" s="1311"/>
      <c r="NTA225" s="1311"/>
      <c r="NTB225" s="1311"/>
      <c r="NTC225" s="1311"/>
      <c r="NTD225" s="1311"/>
      <c r="NTE225" s="1311"/>
      <c r="NTF225" s="1311"/>
      <c r="NTG225" s="1311"/>
      <c r="NTH225" s="1311"/>
      <c r="NTI225" s="1311"/>
      <c r="NTJ225" s="1311"/>
      <c r="NTK225" s="1311"/>
      <c r="NTL225" s="1311"/>
      <c r="NTM225" s="1311"/>
      <c r="NTN225" s="1311"/>
      <c r="NTO225" s="1311"/>
      <c r="NTP225" s="1311"/>
      <c r="NTQ225" s="1311"/>
      <c r="NTR225" s="1311"/>
      <c r="NTS225" s="1311"/>
      <c r="NTT225" s="1311"/>
      <c r="NTU225" s="1311"/>
      <c r="NTV225" s="1311"/>
      <c r="NTW225" s="1311"/>
      <c r="NTX225" s="1311"/>
      <c r="NTY225" s="1311"/>
      <c r="NTZ225" s="1311"/>
      <c r="NUA225" s="1311"/>
      <c r="NUB225" s="1311"/>
      <c r="NUC225" s="1311"/>
      <c r="NUD225" s="1311"/>
      <c r="NUE225" s="1311"/>
      <c r="NUF225" s="1311"/>
      <c r="NUG225" s="1311"/>
      <c r="NUH225" s="1311"/>
      <c r="NUI225" s="1311"/>
      <c r="NUJ225" s="1311"/>
      <c r="NUK225" s="1311"/>
      <c r="NUL225" s="1311"/>
      <c r="NUM225" s="1311"/>
      <c r="NUN225" s="1311"/>
      <c r="NUO225" s="1311"/>
      <c r="NUP225" s="1311"/>
      <c r="NUQ225" s="1311"/>
      <c r="NUR225" s="1311"/>
      <c r="NUS225" s="1311"/>
      <c r="NUT225" s="1311"/>
      <c r="NUU225" s="1311"/>
      <c r="NUV225" s="1311"/>
      <c r="NUW225" s="1311"/>
      <c r="NUX225" s="1311"/>
      <c r="NUY225" s="1311"/>
      <c r="NUZ225" s="1311"/>
      <c r="NVA225" s="1311"/>
      <c r="NVB225" s="1311"/>
      <c r="NVC225" s="1311"/>
      <c r="NVD225" s="1311"/>
      <c r="NVE225" s="1311"/>
      <c r="NVF225" s="1311"/>
      <c r="NVG225" s="1311"/>
      <c r="NVH225" s="1311"/>
      <c r="NVI225" s="1311"/>
      <c r="NVJ225" s="1311"/>
      <c r="NVK225" s="1311"/>
      <c r="NVL225" s="1311"/>
      <c r="NVM225" s="1311"/>
      <c r="NVN225" s="1311"/>
      <c r="NVO225" s="1311"/>
      <c r="NVP225" s="1311"/>
      <c r="NVQ225" s="1311"/>
      <c r="NVR225" s="1311"/>
      <c r="NVS225" s="1311"/>
      <c r="NVT225" s="1311"/>
      <c r="NVU225" s="1311"/>
      <c r="NVV225" s="1311"/>
      <c r="NVW225" s="1311"/>
      <c r="NVX225" s="1311"/>
      <c r="NVY225" s="1311"/>
      <c r="NVZ225" s="1311"/>
      <c r="NWA225" s="1311"/>
      <c r="NWB225" s="1311"/>
      <c r="NWC225" s="1311"/>
      <c r="NWD225" s="1311"/>
      <c r="NWE225" s="1311"/>
      <c r="NWF225" s="1311"/>
      <c r="NWG225" s="1311"/>
      <c r="NWH225" s="1311"/>
      <c r="NWI225" s="1311"/>
      <c r="NWJ225" s="1311"/>
      <c r="NWK225" s="1311"/>
      <c r="NWL225" s="1311"/>
      <c r="NWM225" s="1311"/>
      <c r="NWN225" s="1311"/>
      <c r="NWO225" s="1311"/>
      <c r="NWP225" s="1311"/>
      <c r="NWQ225" s="1311"/>
      <c r="NWR225" s="1311"/>
      <c r="NWS225" s="1311"/>
      <c r="NWT225" s="1311"/>
      <c r="NWU225" s="1311"/>
      <c r="NWV225" s="1311"/>
      <c r="NWW225" s="1311"/>
      <c r="NWX225" s="1311"/>
      <c r="NWY225" s="1311"/>
      <c r="NWZ225" s="1311"/>
      <c r="NXA225" s="1311"/>
      <c r="NXB225" s="1311"/>
      <c r="NXC225" s="1311"/>
      <c r="NXD225" s="1311"/>
      <c r="NXE225" s="1311"/>
      <c r="NXF225" s="1311"/>
      <c r="NXG225" s="1311"/>
      <c r="NXH225" s="1311"/>
      <c r="NXI225" s="1311"/>
      <c r="NXJ225" s="1311"/>
      <c r="NXK225" s="1311"/>
      <c r="NXL225" s="1311"/>
      <c r="NXM225" s="1311"/>
      <c r="NXN225" s="1311"/>
      <c r="NXO225" s="1311"/>
      <c r="NXP225" s="1311"/>
      <c r="NXQ225" s="1311"/>
      <c r="NXR225" s="1311"/>
      <c r="NXS225" s="1311"/>
      <c r="NXT225" s="1311"/>
      <c r="NXU225" s="1311"/>
      <c r="NXV225" s="1311"/>
      <c r="NXW225" s="1311"/>
      <c r="NXX225" s="1311"/>
      <c r="NXY225" s="1311"/>
      <c r="NXZ225" s="1311"/>
      <c r="NYA225" s="1311"/>
      <c r="NYB225" s="1311"/>
      <c r="NYC225" s="1311"/>
      <c r="NYD225" s="1311"/>
      <c r="NYE225" s="1311"/>
      <c r="NYF225" s="1311"/>
      <c r="NYG225" s="1311"/>
      <c r="NYH225" s="1311"/>
      <c r="NYI225" s="1311"/>
      <c r="NYJ225" s="1311"/>
      <c r="NYK225" s="1311"/>
      <c r="NYL225" s="1311"/>
      <c r="NYM225" s="1311"/>
      <c r="NYN225" s="1311"/>
      <c r="NYO225" s="1311"/>
      <c r="NYP225" s="1311"/>
      <c r="NYQ225" s="1311"/>
      <c r="NYR225" s="1311"/>
      <c r="NYS225" s="1311"/>
      <c r="NYT225" s="1311"/>
      <c r="NYU225" s="1311"/>
      <c r="NYV225" s="1311"/>
      <c r="NYW225" s="1311"/>
      <c r="NYX225" s="1311"/>
      <c r="NYY225" s="1311"/>
      <c r="NYZ225" s="1311"/>
      <c r="NZA225" s="1311"/>
      <c r="NZB225" s="1311"/>
      <c r="NZC225" s="1311"/>
      <c r="NZD225" s="1311"/>
      <c r="NZE225" s="1311"/>
      <c r="NZF225" s="1311"/>
      <c r="NZG225" s="1311"/>
      <c r="NZH225" s="1311"/>
      <c r="NZI225" s="1311"/>
      <c r="NZJ225" s="1311"/>
      <c r="NZK225" s="1311"/>
      <c r="NZL225" s="1311"/>
      <c r="NZM225" s="1311"/>
      <c r="NZN225" s="1311"/>
      <c r="NZO225" s="1311"/>
      <c r="NZP225" s="1311"/>
      <c r="NZQ225" s="1311"/>
      <c r="NZR225" s="1311"/>
      <c r="NZS225" s="1311"/>
      <c r="NZT225" s="1311"/>
      <c r="NZU225" s="1311"/>
      <c r="NZV225" s="1311"/>
      <c r="NZW225" s="1311"/>
      <c r="NZX225" s="1311"/>
      <c r="NZY225" s="1311"/>
      <c r="NZZ225" s="1311"/>
      <c r="OAA225" s="1311"/>
      <c r="OAB225" s="1311"/>
      <c r="OAC225" s="1311"/>
      <c r="OAD225" s="1311"/>
      <c r="OAE225" s="1311"/>
      <c r="OAF225" s="1311"/>
      <c r="OAG225" s="1311"/>
      <c r="OAH225" s="1311"/>
      <c r="OAI225" s="1311"/>
      <c r="OAJ225" s="1311"/>
      <c r="OAK225" s="1311"/>
      <c r="OAL225" s="1311"/>
      <c r="OAM225" s="1311"/>
      <c r="OAN225" s="1311"/>
      <c r="OAO225" s="1311"/>
      <c r="OAP225" s="1311"/>
      <c r="OAQ225" s="1311"/>
      <c r="OAR225" s="1311"/>
      <c r="OAS225" s="1311"/>
      <c r="OAT225" s="1311"/>
      <c r="OAU225" s="1311"/>
      <c r="OAV225" s="1311"/>
      <c r="OAW225" s="1311"/>
      <c r="OAX225" s="1311"/>
      <c r="OAY225" s="1311"/>
      <c r="OAZ225" s="1311"/>
      <c r="OBA225" s="1311"/>
      <c r="OBB225" s="1311"/>
      <c r="OBC225" s="1311"/>
      <c r="OBD225" s="1311"/>
      <c r="OBE225" s="1311"/>
      <c r="OBF225" s="1311"/>
      <c r="OBG225" s="1311"/>
      <c r="OBH225" s="1311"/>
      <c r="OBI225" s="1311"/>
      <c r="OBJ225" s="1311"/>
      <c r="OBK225" s="1311"/>
      <c r="OBL225" s="1311"/>
      <c r="OBM225" s="1311"/>
      <c r="OBN225" s="1311"/>
      <c r="OBO225" s="1311"/>
      <c r="OBP225" s="1311"/>
      <c r="OBQ225" s="1311"/>
      <c r="OBR225" s="1311"/>
      <c r="OBS225" s="1311"/>
      <c r="OBT225" s="1311"/>
      <c r="OBU225" s="1311"/>
      <c r="OBV225" s="1311"/>
      <c r="OBW225" s="1311"/>
      <c r="OBX225" s="1311"/>
      <c r="OBY225" s="1311"/>
      <c r="OBZ225" s="1311"/>
      <c r="OCA225" s="1311"/>
      <c r="OCB225" s="1311"/>
      <c r="OCC225" s="1311"/>
      <c r="OCD225" s="1311"/>
      <c r="OCE225" s="1311"/>
      <c r="OCF225" s="1311"/>
      <c r="OCG225" s="1311"/>
      <c r="OCH225" s="1311"/>
      <c r="OCI225" s="1311"/>
      <c r="OCJ225" s="1311"/>
      <c r="OCK225" s="1311"/>
      <c r="OCL225" s="1311"/>
      <c r="OCM225" s="1311"/>
      <c r="OCN225" s="1311"/>
      <c r="OCO225" s="1311"/>
      <c r="OCP225" s="1311"/>
      <c r="OCQ225" s="1311"/>
      <c r="OCR225" s="1311"/>
      <c r="OCS225" s="1311"/>
      <c r="OCT225" s="1311"/>
      <c r="OCU225" s="1311"/>
      <c r="OCV225" s="1311"/>
      <c r="OCW225" s="1311"/>
      <c r="OCX225" s="1311"/>
      <c r="OCY225" s="1311"/>
      <c r="OCZ225" s="1311"/>
      <c r="ODA225" s="1311"/>
      <c r="ODB225" s="1311"/>
      <c r="ODC225" s="1311"/>
      <c r="ODD225" s="1311"/>
      <c r="ODE225" s="1311"/>
      <c r="ODF225" s="1311"/>
      <c r="ODG225" s="1311"/>
      <c r="ODH225" s="1311"/>
      <c r="ODI225" s="1311"/>
      <c r="ODJ225" s="1311"/>
      <c r="ODK225" s="1311"/>
      <c r="ODL225" s="1311"/>
      <c r="ODM225" s="1311"/>
      <c r="ODN225" s="1311"/>
      <c r="ODO225" s="1311"/>
      <c r="ODP225" s="1311"/>
      <c r="ODQ225" s="1311"/>
      <c r="ODR225" s="1311"/>
      <c r="ODS225" s="1311"/>
      <c r="ODT225" s="1311"/>
      <c r="ODU225" s="1311"/>
      <c r="ODV225" s="1311"/>
      <c r="ODW225" s="1311"/>
      <c r="ODX225" s="1311"/>
      <c r="ODY225" s="1311"/>
      <c r="ODZ225" s="1311"/>
      <c r="OEA225" s="1311"/>
      <c r="OEB225" s="1311"/>
      <c r="OEC225" s="1311"/>
      <c r="OED225" s="1311"/>
      <c r="OEE225" s="1311"/>
      <c r="OEF225" s="1311"/>
      <c r="OEG225" s="1311"/>
      <c r="OEH225" s="1311"/>
      <c r="OEI225" s="1311"/>
      <c r="OEJ225" s="1311"/>
      <c r="OEK225" s="1311"/>
      <c r="OEL225" s="1311"/>
      <c r="OEM225" s="1311"/>
      <c r="OEN225" s="1311"/>
      <c r="OEO225" s="1311"/>
      <c r="OEP225" s="1311"/>
      <c r="OEQ225" s="1311"/>
      <c r="OER225" s="1311"/>
      <c r="OES225" s="1311"/>
      <c r="OET225" s="1311"/>
      <c r="OEU225" s="1311"/>
      <c r="OEV225" s="1311"/>
      <c r="OEW225" s="1311"/>
      <c r="OEX225" s="1311"/>
      <c r="OEY225" s="1311"/>
      <c r="OEZ225" s="1311"/>
      <c r="OFA225" s="1311"/>
      <c r="OFB225" s="1311"/>
      <c r="OFC225" s="1311"/>
      <c r="OFD225" s="1311"/>
      <c r="OFE225" s="1311"/>
      <c r="OFF225" s="1311"/>
      <c r="OFG225" s="1311"/>
      <c r="OFH225" s="1311"/>
      <c r="OFI225" s="1311"/>
      <c r="OFJ225" s="1311"/>
      <c r="OFK225" s="1311"/>
      <c r="OFL225" s="1311"/>
      <c r="OFM225" s="1311"/>
      <c r="OFN225" s="1311"/>
      <c r="OFO225" s="1311"/>
      <c r="OFP225" s="1311"/>
      <c r="OFQ225" s="1311"/>
      <c r="OFR225" s="1311"/>
      <c r="OFS225" s="1311"/>
      <c r="OFT225" s="1311"/>
      <c r="OFU225" s="1311"/>
      <c r="OFV225" s="1311"/>
      <c r="OFW225" s="1311"/>
      <c r="OFX225" s="1311"/>
      <c r="OFY225" s="1311"/>
      <c r="OFZ225" s="1311"/>
      <c r="OGA225" s="1311"/>
      <c r="OGB225" s="1311"/>
      <c r="OGC225" s="1311"/>
      <c r="OGD225" s="1311"/>
      <c r="OGE225" s="1311"/>
      <c r="OGF225" s="1311"/>
      <c r="OGG225" s="1311"/>
      <c r="OGH225" s="1311"/>
      <c r="OGI225" s="1311"/>
      <c r="OGJ225" s="1311"/>
      <c r="OGK225" s="1311"/>
      <c r="OGL225" s="1311"/>
      <c r="OGM225" s="1311"/>
      <c r="OGN225" s="1311"/>
      <c r="OGO225" s="1311"/>
      <c r="OGP225" s="1311"/>
      <c r="OGQ225" s="1311"/>
      <c r="OGR225" s="1311"/>
      <c r="OGS225" s="1311"/>
      <c r="OGT225" s="1311"/>
      <c r="OGU225" s="1311"/>
      <c r="OGV225" s="1311"/>
      <c r="OGW225" s="1311"/>
      <c r="OGX225" s="1311"/>
      <c r="OGY225" s="1311"/>
      <c r="OGZ225" s="1311"/>
      <c r="OHA225" s="1311"/>
      <c r="OHB225" s="1311"/>
      <c r="OHC225" s="1311"/>
      <c r="OHD225" s="1311"/>
      <c r="OHE225" s="1311"/>
      <c r="OHF225" s="1311"/>
      <c r="OHG225" s="1311"/>
      <c r="OHH225" s="1311"/>
      <c r="OHI225" s="1311"/>
      <c r="OHJ225" s="1311"/>
      <c r="OHK225" s="1311"/>
      <c r="OHL225" s="1311"/>
      <c r="OHM225" s="1311"/>
      <c r="OHN225" s="1311"/>
      <c r="OHO225" s="1311"/>
      <c r="OHP225" s="1311"/>
      <c r="OHQ225" s="1311"/>
      <c r="OHR225" s="1311"/>
      <c r="OHS225" s="1311"/>
      <c r="OHT225" s="1311"/>
      <c r="OHU225" s="1311"/>
      <c r="OHV225" s="1311"/>
      <c r="OHW225" s="1311"/>
      <c r="OHX225" s="1311"/>
      <c r="OHY225" s="1311"/>
      <c r="OHZ225" s="1311"/>
      <c r="OIA225" s="1311"/>
      <c r="OIB225" s="1311"/>
      <c r="OIC225" s="1311"/>
      <c r="OID225" s="1311"/>
      <c r="OIE225" s="1311"/>
      <c r="OIF225" s="1311"/>
      <c r="OIG225" s="1311"/>
      <c r="OIH225" s="1311"/>
      <c r="OII225" s="1311"/>
      <c r="OIJ225" s="1311"/>
      <c r="OIK225" s="1311"/>
      <c r="OIL225" s="1311"/>
      <c r="OIM225" s="1311"/>
      <c r="OIN225" s="1311"/>
      <c r="OIO225" s="1311"/>
      <c r="OIP225" s="1311"/>
      <c r="OIQ225" s="1311"/>
      <c r="OIR225" s="1311"/>
      <c r="OIS225" s="1311"/>
      <c r="OIT225" s="1311"/>
      <c r="OIU225" s="1311"/>
      <c r="OIV225" s="1311"/>
      <c r="OIW225" s="1311"/>
      <c r="OIX225" s="1311"/>
      <c r="OIY225" s="1311"/>
      <c r="OIZ225" s="1311"/>
      <c r="OJA225" s="1311"/>
      <c r="OJB225" s="1311"/>
      <c r="OJC225" s="1311"/>
      <c r="OJD225" s="1311"/>
      <c r="OJE225" s="1311"/>
      <c r="OJF225" s="1311"/>
      <c r="OJG225" s="1311"/>
      <c r="OJH225" s="1311"/>
      <c r="OJI225" s="1311"/>
      <c r="OJJ225" s="1311"/>
      <c r="OJK225" s="1311"/>
      <c r="OJL225" s="1311"/>
      <c r="OJM225" s="1311"/>
      <c r="OJN225" s="1311"/>
      <c r="OJO225" s="1311"/>
      <c r="OJP225" s="1311"/>
      <c r="OJQ225" s="1311"/>
      <c r="OJR225" s="1311"/>
      <c r="OJS225" s="1311"/>
      <c r="OJT225" s="1311"/>
      <c r="OJU225" s="1311"/>
      <c r="OJV225" s="1311"/>
      <c r="OJW225" s="1311"/>
      <c r="OJX225" s="1311"/>
      <c r="OJY225" s="1311"/>
      <c r="OJZ225" s="1311"/>
      <c r="OKA225" s="1311"/>
      <c r="OKB225" s="1311"/>
      <c r="OKC225" s="1311"/>
      <c r="OKD225" s="1311"/>
      <c r="OKE225" s="1311"/>
      <c r="OKF225" s="1311"/>
      <c r="OKG225" s="1311"/>
      <c r="OKH225" s="1311"/>
      <c r="OKI225" s="1311"/>
      <c r="OKJ225" s="1311"/>
      <c r="OKK225" s="1311"/>
      <c r="OKL225" s="1311"/>
      <c r="OKM225" s="1311"/>
      <c r="OKN225" s="1311"/>
      <c r="OKO225" s="1311"/>
      <c r="OKP225" s="1311"/>
      <c r="OKQ225" s="1311"/>
      <c r="OKR225" s="1311"/>
      <c r="OKS225" s="1311"/>
      <c r="OKT225" s="1311"/>
      <c r="OKU225" s="1311"/>
      <c r="OKV225" s="1311"/>
      <c r="OKW225" s="1311"/>
      <c r="OKX225" s="1311"/>
      <c r="OKY225" s="1311"/>
      <c r="OKZ225" s="1311"/>
      <c r="OLA225" s="1311"/>
      <c r="OLB225" s="1311"/>
      <c r="OLC225" s="1311"/>
      <c r="OLD225" s="1311"/>
      <c r="OLE225" s="1311"/>
      <c r="OLF225" s="1311"/>
      <c r="OLG225" s="1311"/>
      <c r="OLH225" s="1311"/>
      <c r="OLI225" s="1311"/>
      <c r="OLJ225" s="1311"/>
      <c r="OLK225" s="1311"/>
      <c r="OLL225" s="1311"/>
      <c r="OLM225" s="1311"/>
      <c r="OLN225" s="1311"/>
      <c r="OLO225" s="1311"/>
      <c r="OLP225" s="1311"/>
      <c r="OLQ225" s="1311"/>
      <c r="OLR225" s="1311"/>
      <c r="OLS225" s="1311"/>
      <c r="OLT225" s="1311"/>
      <c r="OLU225" s="1311"/>
      <c r="OLV225" s="1311"/>
      <c r="OLW225" s="1311"/>
      <c r="OLX225" s="1311"/>
      <c r="OLY225" s="1311"/>
      <c r="OLZ225" s="1311"/>
      <c r="OMA225" s="1311"/>
      <c r="OMB225" s="1311"/>
      <c r="OMC225" s="1311"/>
      <c r="OMD225" s="1311"/>
      <c r="OME225" s="1311"/>
      <c r="OMF225" s="1311"/>
      <c r="OMG225" s="1311"/>
      <c r="OMH225" s="1311"/>
      <c r="OMI225" s="1311"/>
      <c r="OMJ225" s="1311"/>
      <c r="OMK225" s="1311"/>
      <c r="OML225" s="1311"/>
      <c r="OMM225" s="1311"/>
      <c r="OMN225" s="1311"/>
      <c r="OMO225" s="1311"/>
      <c r="OMP225" s="1311"/>
      <c r="OMQ225" s="1311"/>
      <c r="OMR225" s="1311"/>
      <c r="OMS225" s="1311"/>
      <c r="OMT225" s="1311"/>
      <c r="OMU225" s="1311"/>
      <c r="OMV225" s="1311"/>
      <c r="OMW225" s="1311"/>
      <c r="OMX225" s="1311"/>
      <c r="OMY225" s="1311"/>
      <c r="OMZ225" s="1311"/>
      <c r="ONA225" s="1311"/>
      <c r="ONB225" s="1311"/>
      <c r="ONC225" s="1311"/>
      <c r="OND225" s="1311"/>
      <c r="ONE225" s="1311"/>
      <c r="ONF225" s="1311"/>
      <c r="ONG225" s="1311"/>
      <c r="ONH225" s="1311"/>
      <c r="ONI225" s="1311"/>
      <c r="ONJ225" s="1311"/>
      <c r="ONK225" s="1311"/>
      <c r="ONL225" s="1311"/>
      <c r="ONM225" s="1311"/>
      <c r="ONN225" s="1311"/>
      <c r="ONO225" s="1311"/>
      <c r="ONP225" s="1311"/>
      <c r="ONQ225" s="1311"/>
      <c r="ONR225" s="1311"/>
      <c r="ONS225" s="1311"/>
      <c r="ONT225" s="1311"/>
      <c r="ONU225" s="1311"/>
      <c r="ONV225" s="1311"/>
      <c r="ONW225" s="1311"/>
      <c r="ONX225" s="1311"/>
      <c r="ONY225" s="1311"/>
      <c r="ONZ225" s="1311"/>
      <c r="OOA225" s="1311"/>
      <c r="OOB225" s="1311"/>
      <c r="OOC225" s="1311"/>
      <c r="OOD225" s="1311"/>
      <c r="OOE225" s="1311"/>
      <c r="OOF225" s="1311"/>
      <c r="OOG225" s="1311"/>
      <c r="OOH225" s="1311"/>
      <c r="OOI225" s="1311"/>
      <c r="OOJ225" s="1311"/>
      <c r="OOK225" s="1311"/>
      <c r="OOL225" s="1311"/>
      <c r="OOM225" s="1311"/>
      <c r="OON225" s="1311"/>
      <c r="OOO225" s="1311"/>
      <c r="OOP225" s="1311"/>
      <c r="OOQ225" s="1311"/>
      <c r="OOR225" s="1311"/>
      <c r="OOS225" s="1311"/>
      <c r="OOT225" s="1311"/>
      <c r="OOU225" s="1311"/>
      <c r="OOV225" s="1311"/>
      <c r="OOW225" s="1311"/>
      <c r="OOX225" s="1311"/>
      <c r="OOY225" s="1311"/>
      <c r="OOZ225" s="1311"/>
      <c r="OPA225" s="1311"/>
      <c r="OPB225" s="1311"/>
      <c r="OPC225" s="1311"/>
      <c r="OPD225" s="1311"/>
      <c r="OPE225" s="1311"/>
      <c r="OPF225" s="1311"/>
      <c r="OPG225" s="1311"/>
      <c r="OPH225" s="1311"/>
      <c r="OPI225" s="1311"/>
      <c r="OPJ225" s="1311"/>
      <c r="OPK225" s="1311"/>
      <c r="OPL225" s="1311"/>
      <c r="OPM225" s="1311"/>
      <c r="OPN225" s="1311"/>
      <c r="OPO225" s="1311"/>
      <c r="OPP225" s="1311"/>
      <c r="OPQ225" s="1311"/>
      <c r="OPR225" s="1311"/>
      <c r="OPS225" s="1311"/>
      <c r="OPT225" s="1311"/>
      <c r="OPU225" s="1311"/>
      <c r="OPV225" s="1311"/>
      <c r="OPW225" s="1311"/>
      <c r="OPX225" s="1311"/>
      <c r="OPY225" s="1311"/>
      <c r="OPZ225" s="1311"/>
      <c r="OQA225" s="1311"/>
      <c r="OQB225" s="1311"/>
      <c r="OQC225" s="1311"/>
      <c r="OQD225" s="1311"/>
      <c r="OQE225" s="1311"/>
      <c r="OQF225" s="1311"/>
      <c r="OQG225" s="1311"/>
      <c r="OQH225" s="1311"/>
      <c r="OQI225" s="1311"/>
      <c r="OQJ225" s="1311"/>
      <c r="OQK225" s="1311"/>
      <c r="OQL225" s="1311"/>
      <c r="OQM225" s="1311"/>
      <c r="OQN225" s="1311"/>
      <c r="OQO225" s="1311"/>
      <c r="OQP225" s="1311"/>
      <c r="OQQ225" s="1311"/>
      <c r="OQR225" s="1311"/>
      <c r="OQS225" s="1311"/>
      <c r="OQT225" s="1311"/>
      <c r="OQU225" s="1311"/>
      <c r="OQV225" s="1311"/>
      <c r="OQW225" s="1311"/>
      <c r="OQX225" s="1311"/>
      <c r="OQY225" s="1311"/>
      <c r="OQZ225" s="1311"/>
      <c r="ORA225" s="1311"/>
      <c r="ORB225" s="1311"/>
      <c r="ORC225" s="1311"/>
      <c r="ORD225" s="1311"/>
      <c r="ORE225" s="1311"/>
      <c r="ORF225" s="1311"/>
      <c r="ORG225" s="1311"/>
      <c r="ORH225" s="1311"/>
      <c r="ORI225" s="1311"/>
      <c r="ORJ225" s="1311"/>
      <c r="ORK225" s="1311"/>
      <c r="ORL225" s="1311"/>
      <c r="ORM225" s="1311"/>
      <c r="ORN225" s="1311"/>
      <c r="ORO225" s="1311"/>
      <c r="ORP225" s="1311"/>
      <c r="ORQ225" s="1311"/>
      <c r="ORR225" s="1311"/>
      <c r="ORS225" s="1311"/>
      <c r="ORT225" s="1311"/>
      <c r="ORU225" s="1311"/>
      <c r="ORV225" s="1311"/>
      <c r="ORW225" s="1311"/>
      <c r="ORX225" s="1311"/>
      <c r="ORY225" s="1311"/>
      <c r="ORZ225" s="1311"/>
      <c r="OSA225" s="1311"/>
      <c r="OSB225" s="1311"/>
      <c r="OSC225" s="1311"/>
      <c r="OSD225" s="1311"/>
      <c r="OSE225" s="1311"/>
      <c r="OSF225" s="1311"/>
      <c r="OSG225" s="1311"/>
      <c r="OSH225" s="1311"/>
      <c r="OSI225" s="1311"/>
      <c r="OSJ225" s="1311"/>
      <c r="OSK225" s="1311"/>
      <c r="OSL225" s="1311"/>
      <c r="OSM225" s="1311"/>
      <c r="OSN225" s="1311"/>
      <c r="OSO225" s="1311"/>
      <c r="OSP225" s="1311"/>
      <c r="OSQ225" s="1311"/>
      <c r="OSR225" s="1311"/>
      <c r="OSS225" s="1311"/>
      <c r="OST225" s="1311"/>
      <c r="OSU225" s="1311"/>
      <c r="OSV225" s="1311"/>
      <c r="OSW225" s="1311"/>
      <c r="OSX225" s="1311"/>
      <c r="OSY225" s="1311"/>
      <c r="OSZ225" s="1311"/>
      <c r="OTA225" s="1311"/>
      <c r="OTB225" s="1311"/>
      <c r="OTC225" s="1311"/>
      <c r="OTD225" s="1311"/>
      <c r="OTE225" s="1311"/>
      <c r="OTF225" s="1311"/>
      <c r="OTG225" s="1311"/>
      <c r="OTH225" s="1311"/>
      <c r="OTI225" s="1311"/>
      <c r="OTJ225" s="1311"/>
      <c r="OTK225" s="1311"/>
      <c r="OTL225" s="1311"/>
      <c r="OTM225" s="1311"/>
      <c r="OTN225" s="1311"/>
      <c r="OTO225" s="1311"/>
      <c r="OTP225" s="1311"/>
      <c r="OTQ225" s="1311"/>
      <c r="OTR225" s="1311"/>
      <c r="OTS225" s="1311"/>
      <c r="OTT225" s="1311"/>
      <c r="OTU225" s="1311"/>
      <c r="OTV225" s="1311"/>
      <c r="OTW225" s="1311"/>
      <c r="OTX225" s="1311"/>
      <c r="OTY225" s="1311"/>
      <c r="OTZ225" s="1311"/>
      <c r="OUA225" s="1311"/>
      <c r="OUB225" s="1311"/>
      <c r="OUC225" s="1311"/>
      <c r="OUD225" s="1311"/>
      <c r="OUE225" s="1311"/>
      <c r="OUF225" s="1311"/>
      <c r="OUG225" s="1311"/>
      <c r="OUH225" s="1311"/>
      <c r="OUI225" s="1311"/>
      <c r="OUJ225" s="1311"/>
      <c r="OUK225" s="1311"/>
      <c r="OUL225" s="1311"/>
      <c r="OUM225" s="1311"/>
      <c r="OUN225" s="1311"/>
      <c r="OUO225" s="1311"/>
      <c r="OUP225" s="1311"/>
      <c r="OUQ225" s="1311"/>
      <c r="OUR225" s="1311"/>
      <c r="OUS225" s="1311"/>
      <c r="OUT225" s="1311"/>
      <c r="OUU225" s="1311"/>
      <c r="OUV225" s="1311"/>
      <c r="OUW225" s="1311"/>
      <c r="OUX225" s="1311"/>
      <c r="OUY225" s="1311"/>
      <c r="OUZ225" s="1311"/>
      <c r="OVA225" s="1311"/>
      <c r="OVB225" s="1311"/>
      <c r="OVC225" s="1311"/>
      <c r="OVD225" s="1311"/>
      <c r="OVE225" s="1311"/>
      <c r="OVF225" s="1311"/>
      <c r="OVG225" s="1311"/>
      <c r="OVH225" s="1311"/>
      <c r="OVI225" s="1311"/>
      <c r="OVJ225" s="1311"/>
      <c r="OVK225" s="1311"/>
      <c r="OVL225" s="1311"/>
      <c r="OVM225" s="1311"/>
      <c r="OVN225" s="1311"/>
      <c r="OVO225" s="1311"/>
      <c r="OVP225" s="1311"/>
      <c r="OVQ225" s="1311"/>
      <c r="OVR225" s="1311"/>
      <c r="OVS225" s="1311"/>
      <c r="OVT225" s="1311"/>
      <c r="OVU225" s="1311"/>
      <c r="OVV225" s="1311"/>
      <c r="OVW225" s="1311"/>
      <c r="OVX225" s="1311"/>
      <c r="OVY225" s="1311"/>
      <c r="OVZ225" s="1311"/>
      <c r="OWA225" s="1311"/>
      <c r="OWB225" s="1311"/>
      <c r="OWC225" s="1311"/>
      <c r="OWD225" s="1311"/>
      <c r="OWE225" s="1311"/>
      <c r="OWF225" s="1311"/>
      <c r="OWG225" s="1311"/>
      <c r="OWH225" s="1311"/>
      <c r="OWI225" s="1311"/>
      <c r="OWJ225" s="1311"/>
      <c r="OWK225" s="1311"/>
      <c r="OWL225" s="1311"/>
      <c r="OWM225" s="1311"/>
      <c r="OWN225" s="1311"/>
      <c r="OWO225" s="1311"/>
      <c r="OWP225" s="1311"/>
      <c r="OWQ225" s="1311"/>
      <c r="OWR225" s="1311"/>
      <c r="OWS225" s="1311"/>
      <c r="OWT225" s="1311"/>
      <c r="OWU225" s="1311"/>
      <c r="OWV225" s="1311"/>
      <c r="OWW225" s="1311"/>
      <c r="OWX225" s="1311"/>
      <c r="OWY225" s="1311"/>
      <c r="OWZ225" s="1311"/>
      <c r="OXA225" s="1311"/>
      <c r="OXB225" s="1311"/>
      <c r="OXC225" s="1311"/>
      <c r="OXD225" s="1311"/>
      <c r="OXE225" s="1311"/>
      <c r="OXF225" s="1311"/>
      <c r="OXG225" s="1311"/>
      <c r="OXH225" s="1311"/>
      <c r="OXI225" s="1311"/>
      <c r="OXJ225" s="1311"/>
      <c r="OXK225" s="1311"/>
      <c r="OXL225" s="1311"/>
      <c r="OXM225" s="1311"/>
      <c r="OXN225" s="1311"/>
      <c r="OXO225" s="1311"/>
      <c r="OXP225" s="1311"/>
      <c r="OXQ225" s="1311"/>
      <c r="OXR225" s="1311"/>
      <c r="OXS225" s="1311"/>
      <c r="OXT225" s="1311"/>
      <c r="OXU225" s="1311"/>
      <c r="OXV225" s="1311"/>
      <c r="OXW225" s="1311"/>
      <c r="OXX225" s="1311"/>
      <c r="OXY225" s="1311"/>
      <c r="OXZ225" s="1311"/>
      <c r="OYA225" s="1311"/>
      <c r="OYB225" s="1311"/>
      <c r="OYC225" s="1311"/>
      <c r="OYD225" s="1311"/>
      <c r="OYE225" s="1311"/>
      <c r="OYF225" s="1311"/>
      <c r="OYG225" s="1311"/>
      <c r="OYH225" s="1311"/>
      <c r="OYI225" s="1311"/>
      <c r="OYJ225" s="1311"/>
      <c r="OYK225" s="1311"/>
      <c r="OYL225" s="1311"/>
      <c r="OYM225" s="1311"/>
      <c r="OYN225" s="1311"/>
      <c r="OYO225" s="1311"/>
      <c r="OYP225" s="1311"/>
      <c r="OYQ225" s="1311"/>
      <c r="OYR225" s="1311"/>
      <c r="OYS225" s="1311"/>
      <c r="OYT225" s="1311"/>
      <c r="OYU225" s="1311"/>
      <c r="OYV225" s="1311"/>
      <c r="OYW225" s="1311"/>
      <c r="OYX225" s="1311"/>
      <c r="OYY225" s="1311"/>
      <c r="OYZ225" s="1311"/>
      <c r="OZA225" s="1311"/>
      <c r="OZB225" s="1311"/>
      <c r="OZC225" s="1311"/>
      <c r="OZD225" s="1311"/>
      <c r="OZE225" s="1311"/>
      <c r="OZF225" s="1311"/>
      <c r="OZG225" s="1311"/>
      <c r="OZH225" s="1311"/>
      <c r="OZI225" s="1311"/>
      <c r="OZJ225" s="1311"/>
      <c r="OZK225" s="1311"/>
      <c r="OZL225" s="1311"/>
      <c r="OZM225" s="1311"/>
      <c r="OZN225" s="1311"/>
      <c r="OZO225" s="1311"/>
      <c r="OZP225" s="1311"/>
      <c r="OZQ225" s="1311"/>
      <c r="OZR225" s="1311"/>
      <c r="OZS225" s="1311"/>
      <c r="OZT225" s="1311"/>
      <c r="OZU225" s="1311"/>
      <c r="OZV225" s="1311"/>
      <c r="OZW225" s="1311"/>
      <c r="OZX225" s="1311"/>
      <c r="OZY225" s="1311"/>
      <c r="OZZ225" s="1311"/>
      <c r="PAA225" s="1311"/>
      <c r="PAB225" s="1311"/>
      <c r="PAC225" s="1311"/>
      <c r="PAD225" s="1311"/>
      <c r="PAE225" s="1311"/>
      <c r="PAF225" s="1311"/>
      <c r="PAG225" s="1311"/>
      <c r="PAH225" s="1311"/>
      <c r="PAI225" s="1311"/>
      <c r="PAJ225" s="1311"/>
      <c r="PAK225" s="1311"/>
      <c r="PAL225" s="1311"/>
      <c r="PAM225" s="1311"/>
      <c r="PAN225" s="1311"/>
      <c r="PAO225" s="1311"/>
      <c r="PAP225" s="1311"/>
      <c r="PAQ225" s="1311"/>
      <c r="PAR225" s="1311"/>
      <c r="PAS225" s="1311"/>
      <c r="PAT225" s="1311"/>
      <c r="PAU225" s="1311"/>
      <c r="PAV225" s="1311"/>
      <c r="PAW225" s="1311"/>
      <c r="PAX225" s="1311"/>
      <c r="PAY225" s="1311"/>
      <c r="PAZ225" s="1311"/>
      <c r="PBA225" s="1311"/>
      <c r="PBB225" s="1311"/>
      <c r="PBC225" s="1311"/>
      <c r="PBD225" s="1311"/>
      <c r="PBE225" s="1311"/>
      <c r="PBF225" s="1311"/>
      <c r="PBG225" s="1311"/>
      <c r="PBH225" s="1311"/>
      <c r="PBI225" s="1311"/>
      <c r="PBJ225" s="1311"/>
      <c r="PBK225" s="1311"/>
      <c r="PBL225" s="1311"/>
      <c r="PBM225" s="1311"/>
      <c r="PBN225" s="1311"/>
      <c r="PBO225" s="1311"/>
      <c r="PBP225" s="1311"/>
      <c r="PBQ225" s="1311"/>
      <c r="PBR225" s="1311"/>
      <c r="PBS225" s="1311"/>
      <c r="PBT225" s="1311"/>
      <c r="PBU225" s="1311"/>
      <c r="PBV225" s="1311"/>
      <c r="PBW225" s="1311"/>
      <c r="PBX225" s="1311"/>
      <c r="PBY225" s="1311"/>
      <c r="PBZ225" s="1311"/>
      <c r="PCA225" s="1311"/>
      <c r="PCB225" s="1311"/>
      <c r="PCC225" s="1311"/>
      <c r="PCD225" s="1311"/>
      <c r="PCE225" s="1311"/>
      <c r="PCF225" s="1311"/>
      <c r="PCG225" s="1311"/>
      <c r="PCH225" s="1311"/>
      <c r="PCI225" s="1311"/>
      <c r="PCJ225" s="1311"/>
      <c r="PCK225" s="1311"/>
      <c r="PCL225" s="1311"/>
      <c r="PCM225" s="1311"/>
      <c r="PCN225" s="1311"/>
      <c r="PCO225" s="1311"/>
      <c r="PCP225" s="1311"/>
      <c r="PCQ225" s="1311"/>
      <c r="PCR225" s="1311"/>
      <c r="PCS225" s="1311"/>
      <c r="PCT225" s="1311"/>
      <c r="PCU225" s="1311"/>
      <c r="PCV225" s="1311"/>
      <c r="PCW225" s="1311"/>
      <c r="PCX225" s="1311"/>
      <c r="PCY225" s="1311"/>
      <c r="PCZ225" s="1311"/>
      <c r="PDA225" s="1311"/>
      <c r="PDB225" s="1311"/>
      <c r="PDC225" s="1311"/>
      <c r="PDD225" s="1311"/>
      <c r="PDE225" s="1311"/>
      <c r="PDF225" s="1311"/>
      <c r="PDG225" s="1311"/>
      <c r="PDH225" s="1311"/>
      <c r="PDI225" s="1311"/>
      <c r="PDJ225" s="1311"/>
      <c r="PDK225" s="1311"/>
      <c r="PDL225" s="1311"/>
      <c r="PDM225" s="1311"/>
      <c r="PDN225" s="1311"/>
      <c r="PDO225" s="1311"/>
      <c r="PDP225" s="1311"/>
      <c r="PDQ225" s="1311"/>
      <c r="PDR225" s="1311"/>
      <c r="PDS225" s="1311"/>
      <c r="PDT225" s="1311"/>
      <c r="PDU225" s="1311"/>
      <c r="PDV225" s="1311"/>
      <c r="PDW225" s="1311"/>
      <c r="PDX225" s="1311"/>
      <c r="PDY225" s="1311"/>
      <c r="PDZ225" s="1311"/>
      <c r="PEA225" s="1311"/>
      <c r="PEB225" s="1311"/>
      <c r="PEC225" s="1311"/>
      <c r="PED225" s="1311"/>
      <c r="PEE225" s="1311"/>
      <c r="PEF225" s="1311"/>
      <c r="PEG225" s="1311"/>
      <c r="PEH225" s="1311"/>
      <c r="PEI225" s="1311"/>
      <c r="PEJ225" s="1311"/>
      <c r="PEK225" s="1311"/>
      <c r="PEL225" s="1311"/>
      <c r="PEM225" s="1311"/>
      <c r="PEN225" s="1311"/>
      <c r="PEO225" s="1311"/>
      <c r="PEP225" s="1311"/>
      <c r="PEQ225" s="1311"/>
      <c r="PER225" s="1311"/>
      <c r="PES225" s="1311"/>
      <c r="PET225" s="1311"/>
      <c r="PEU225" s="1311"/>
      <c r="PEV225" s="1311"/>
      <c r="PEW225" s="1311"/>
      <c r="PEX225" s="1311"/>
      <c r="PEY225" s="1311"/>
      <c r="PEZ225" s="1311"/>
      <c r="PFA225" s="1311"/>
      <c r="PFB225" s="1311"/>
      <c r="PFC225" s="1311"/>
      <c r="PFD225" s="1311"/>
      <c r="PFE225" s="1311"/>
      <c r="PFF225" s="1311"/>
      <c r="PFG225" s="1311"/>
      <c r="PFH225" s="1311"/>
      <c r="PFI225" s="1311"/>
      <c r="PFJ225" s="1311"/>
      <c r="PFK225" s="1311"/>
      <c r="PFL225" s="1311"/>
      <c r="PFM225" s="1311"/>
      <c r="PFN225" s="1311"/>
      <c r="PFO225" s="1311"/>
      <c r="PFP225" s="1311"/>
      <c r="PFQ225" s="1311"/>
      <c r="PFR225" s="1311"/>
      <c r="PFS225" s="1311"/>
      <c r="PFT225" s="1311"/>
      <c r="PFU225" s="1311"/>
      <c r="PFV225" s="1311"/>
      <c r="PFW225" s="1311"/>
      <c r="PFX225" s="1311"/>
      <c r="PFY225" s="1311"/>
      <c r="PFZ225" s="1311"/>
      <c r="PGA225" s="1311"/>
      <c r="PGB225" s="1311"/>
      <c r="PGC225" s="1311"/>
      <c r="PGD225" s="1311"/>
      <c r="PGE225" s="1311"/>
      <c r="PGF225" s="1311"/>
      <c r="PGG225" s="1311"/>
      <c r="PGH225" s="1311"/>
      <c r="PGI225" s="1311"/>
      <c r="PGJ225" s="1311"/>
      <c r="PGK225" s="1311"/>
      <c r="PGL225" s="1311"/>
      <c r="PGM225" s="1311"/>
      <c r="PGN225" s="1311"/>
      <c r="PGO225" s="1311"/>
      <c r="PGP225" s="1311"/>
      <c r="PGQ225" s="1311"/>
      <c r="PGR225" s="1311"/>
      <c r="PGS225" s="1311"/>
      <c r="PGT225" s="1311"/>
      <c r="PGU225" s="1311"/>
      <c r="PGV225" s="1311"/>
      <c r="PGW225" s="1311"/>
      <c r="PGX225" s="1311"/>
      <c r="PGY225" s="1311"/>
      <c r="PGZ225" s="1311"/>
      <c r="PHA225" s="1311"/>
      <c r="PHB225" s="1311"/>
      <c r="PHC225" s="1311"/>
      <c r="PHD225" s="1311"/>
      <c r="PHE225" s="1311"/>
      <c r="PHF225" s="1311"/>
      <c r="PHG225" s="1311"/>
      <c r="PHH225" s="1311"/>
      <c r="PHI225" s="1311"/>
      <c r="PHJ225" s="1311"/>
      <c r="PHK225" s="1311"/>
      <c r="PHL225" s="1311"/>
      <c r="PHM225" s="1311"/>
      <c r="PHN225" s="1311"/>
      <c r="PHO225" s="1311"/>
      <c r="PHP225" s="1311"/>
      <c r="PHQ225" s="1311"/>
      <c r="PHR225" s="1311"/>
      <c r="PHS225" s="1311"/>
      <c r="PHT225" s="1311"/>
      <c r="PHU225" s="1311"/>
      <c r="PHV225" s="1311"/>
      <c r="PHW225" s="1311"/>
      <c r="PHX225" s="1311"/>
      <c r="PHY225" s="1311"/>
      <c r="PHZ225" s="1311"/>
      <c r="PIA225" s="1311"/>
      <c r="PIB225" s="1311"/>
      <c r="PIC225" s="1311"/>
      <c r="PID225" s="1311"/>
      <c r="PIE225" s="1311"/>
      <c r="PIF225" s="1311"/>
      <c r="PIG225" s="1311"/>
      <c r="PIH225" s="1311"/>
      <c r="PII225" s="1311"/>
      <c r="PIJ225" s="1311"/>
      <c r="PIK225" s="1311"/>
      <c r="PIL225" s="1311"/>
      <c r="PIM225" s="1311"/>
      <c r="PIN225" s="1311"/>
      <c r="PIO225" s="1311"/>
      <c r="PIP225" s="1311"/>
      <c r="PIQ225" s="1311"/>
      <c r="PIR225" s="1311"/>
      <c r="PIS225" s="1311"/>
      <c r="PIT225" s="1311"/>
      <c r="PIU225" s="1311"/>
      <c r="PIV225" s="1311"/>
      <c r="PIW225" s="1311"/>
      <c r="PIX225" s="1311"/>
      <c r="PIY225" s="1311"/>
      <c r="PIZ225" s="1311"/>
      <c r="PJA225" s="1311"/>
      <c r="PJB225" s="1311"/>
      <c r="PJC225" s="1311"/>
      <c r="PJD225" s="1311"/>
      <c r="PJE225" s="1311"/>
      <c r="PJF225" s="1311"/>
      <c r="PJG225" s="1311"/>
      <c r="PJH225" s="1311"/>
      <c r="PJI225" s="1311"/>
      <c r="PJJ225" s="1311"/>
      <c r="PJK225" s="1311"/>
      <c r="PJL225" s="1311"/>
      <c r="PJM225" s="1311"/>
      <c r="PJN225" s="1311"/>
      <c r="PJO225" s="1311"/>
      <c r="PJP225" s="1311"/>
      <c r="PJQ225" s="1311"/>
      <c r="PJR225" s="1311"/>
      <c r="PJS225" s="1311"/>
      <c r="PJT225" s="1311"/>
      <c r="PJU225" s="1311"/>
      <c r="PJV225" s="1311"/>
      <c r="PJW225" s="1311"/>
      <c r="PJX225" s="1311"/>
      <c r="PJY225" s="1311"/>
      <c r="PJZ225" s="1311"/>
      <c r="PKA225" s="1311"/>
      <c r="PKB225" s="1311"/>
      <c r="PKC225" s="1311"/>
      <c r="PKD225" s="1311"/>
      <c r="PKE225" s="1311"/>
      <c r="PKF225" s="1311"/>
      <c r="PKG225" s="1311"/>
      <c r="PKH225" s="1311"/>
      <c r="PKI225" s="1311"/>
      <c r="PKJ225" s="1311"/>
      <c r="PKK225" s="1311"/>
      <c r="PKL225" s="1311"/>
      <c r="PKM225" s="1311"/>
      <c r="PKN225" s="1311"/>
      <c r="PKO225" s="1311"/>
      <c r="PKP225" s="1311"/>
      <c r="PKQ225" s="1311"/>
      <c r="PKR225" s="1311"/>
      <c r="PKS225" s="1311"/>
      <c r="PKT225" s="1311"/>
      <c r="PKU225" s="1311"/>
      <c r="PKV225" s="1311"/>
      <c r="PKW225" s="1311"/>
      <c r="PKX225" s="1311"/>
      <c r="PKY225" s="1311"/>
      <c r="PKZ225" s="1311"/>
      <c r="PLA225" s="1311"/>
      <c r="PLB225" s="1311"/>
      <c r="PLC225" s="1311"/>
      <c r="PLD225" s="1311"/>
      <c r="PLE225" s="1311"/>
      <c r="PLF225" s="1311"/>
      <c r="PLG225" s="1311"/>
      <c r="PLH225" s="1311"/>
      <c r="PLI225" s="1311"/>
      <c r="PLJ225" s="1311"/>
      <c r="PLK225" s="1311"/>
      <c r="PLL225" s="1311"/>
      <c r="PLM225" s="1311"/>
      <c r="PLN225" s="1311"/>
      <c r="PLO225" s="1311"/>
      <c r="PLP225" s="1311"/>
      <c r="PLQ225" s="1311"/>
      <c r="PLR225" s="1311"/>
      <c r="PLS225" s="1311"/>
      <c r="PLT225" s="1311"/>
      <c r="PLU225" s="1311"/>
      <c r="PLV225" s="1311"/>
      <c r="PLW225" s="1311"/>
      <c r="PLX225" s="1311"/>
      <c r="PLY225" s="1311"/>
      <c r="PLZ225" s="1311"/>
      <c r="PMA225" s="1311"/>
      <c r="PMB225" s="1311"/>
      <c r="PMC225" s="1311"/>
      <c r="PMD225" s="1311"/>
      <c r="PME225" s="1311"/>
      <c r="PMF225" s="1311"/>
      <c r="PMG225" s="1311"/>
      <c r="PMH225" s="1311"/>
      <c r="PMI225" s="1311"/>
      <c r="PMJ225" s="1311"/>
      <c r="PMK225" s="1311"/>
      <c r="PML225" s="1311"/>
      <c r="PMM225" s="1311"/>
      <c r="PMN225" s="1311"/>
      <c r="PMO225" s="1311"/>
      <c r="PMP225" s="1311"/>
      <c r="PMQ225" s="1311"/>
      <c r="PMR225" s="1311"/>
      <c r="PMS225" s="1311"/>
      <c r="PMT225" s="1311"/>
      <c r="PMU225" s="1311"/>
      <c r="PMV225" s="1311"/>
      <c r="PMW225" s="1311"/>
      <c r="PMX225" s="1311"/>
      <c r="PMY225" s="1311"/>
      <c r="PMZ225" s="1311"/>
      <c r="PNA225" s="1311"/>
      <c r="PNB225" s="1311"/>
      <c r="PNC225" s="1311"/>
      <c r="PND225" s="1311"/>
      <c r="PNE225" s="1311"/>
      <c r="PNF225" s="1311"/>
      <c r="PNG225" s="1311"/>
      <c r="PNH225" s="1311"/>
      <c r="PNI225" s="1311"/>
      <c r="PNJ225" s="1311"/>
      <c r="PNK225" s="1311"/>
      <c r="PNL225" s="1311"/>
      <c r="PNM225" s="1311"/>
      <c r="PNN225" s="1311"/>
      <c r="PNO225" s="1311"/>
      <c r="PNP225" s="1311"/>
      <c r="PNQ225" s="1311"/>
      <c r="PNR225" s="1311"/>
      <c r="PNS225" s="1311"/>
      <c r="PNT225" s="1311"/>
      <c r="PNU225" s="1311"/>
      <c r="PNV225" s="1311"/>
      <c r="PNW225" s="1311"/>
      <c r="PNX225" s="1311"/>
      <c r="PNY225" s="1311"/>
      <c r="PNZ225" s="1311"/>
      <c r="POA225" s="1311"/>
      <c r="POB225" s="1311"/>
      <c r="POC225" s="1311"/>
      <c r="POD225" s="1311"/>
      <c r="POE225" s="1311"/>
      <c r="POF225" s="1311"/>
      <c r="POG225" s="1311"/>
      <c r="POH225" s="1311"/>
      <c r="POI225" s="1311"/>
      <c r="POJ225" s="1311"/>
      <c r="POK225" s="1311"/>
      <c r="POL225" s="1311"/>
      <c r="POM225" s="1311"/>
      <c r="PON225" s="1311"/>
      <c r="POO225" s="1311"/>
      <c r="POP225" s="1311"/>
      <c r="POQ225" s="1311"/>
      <c r="POR225" s="1311"/>
      <c r="POS225" s="1311"/>
      <c r="POT225" s="1311"/>
      <c r="POU225" s="1311"/>
      <c r="POV225" s="1311"/>
      <c r="POW225" s="1311"/>
      <c r="POX225" s="1311"/>
      <c r="POY225" s="1311"/>
      <c r="POZ225" s="1311"/>
      <c r="PPA225" s="1311"/>
      <c r="PPB225" s="1311"/>
      <c r="PPC225" s="1311"/>
      <c r="PPD225" s="1311"/>
      <c r="PPE225" s="1311"/>
      <c r="PPF225" s="1311"/>
      <c r="PPG225" s="1311"/>
      <c r="PPH225" s="1311"/>
      <c r="PPI225" s="1311"/>
      <c r="PPJ225" s="1311"/>
      <c r="PPK225" s="1311"/>
      <c r="PPL225" s="1311"/>
      <c r="PPM225" s="1311"/>
      <c r="PPN225" s="1311"/>
      <c r="PPO225" s="1311"/>
      <c r="PPP225" s="1311"/>
      <c r="PPQ225" s="1311"/>
      <c r="PPR225" s="1311"/>
      <c r="PPS225" s="1311"/>
      <c r="PPT225" s="1311"/>
      <c r="PPU225" s="1311"/>
      <c r="PPV225" s="1311"/>
      <c r="PPW225" s="1311"/>
      <c r="PPX225" s="1311"/>
      <c r="PPY225" s="1311"/>
      <c r="PPZ225" s="1311"/>
      <c r="PQA225" s="1311"/>
      <c r="PQB225" s="1311"/>
      <c r="PQC225" s="1311"/>
      <c r="PQD225" s="1311"/>
      <c r="PQE225" s="1311"/>
      <c r="PQF225" s="1311"/>
      <c r="PQG225" s="1311"/>
      <c r="PQH225" s="1311"/>
      <c r="PQI225" s="1311"/>
      <c r="PQJ225" s="1311"/>
      <c r="PQK225" s="1311"/>
      <c r="PQL225" s="1311"/>
      <c r="PQM225" s="1311"/>
      <c r="PQN225" s="1311"/>
      <c r="PQO225" s="1311"/>
      <c r="PQP225" s="1311"/>
      <c r="PQQ225" s="1311"/>
      <c r="PQR225" s="1311"/>
      <c r="PQS225" s="1311"/>
      <c r="PQT225" s="1311"/>
      <c r="PQU225" s="1311"/>
      <c r="PQV225" s="1311"/>
      <c r="PQW225" s="1311"/>
      <c r="PQX225" s="1311"/>
      <c r="PQY225" s="1311"/>
      <c r="PQZ225" s="1311"/>
      <c r="PRA225" s="1311"/>
      <c r="PRB225" s="1311"/>
      <c r="PRC225" s="1311"/>
      <c r="PRD225" s="1311"/>
      <c r="PRE225" s="1311"/>
      <c r="PRF225" s="1311"/>
      <c r="PRG225" s="1311"/>
      <c r="PRH225" s="1311"/>
      <c r="PRI225" s="1311"/>
      <c r="PRJ225" s="1311"/>
      <c r="PRK225" s="1311"/>
      <c r="PRL225" s="1311"/>
      <c r="PRM225" s="1311"/>
      <c r="PRN225" s="1311"/>
      <c r="PRO225" s="1311"/>
      <c r="PRP225" s="1311"/>
      <c r="PRQ225" s="1311"/>
      <c r="PRR225" s="1311"/>
      <c r="PRS225" s="1311"/>
      <c r="PRT225" s="1311"/>
      <c r="PRU225" s="1311"/>
      <c r="PRV225" s="1311"/>
      <c r="PRW225" s="1311"/>
      <c r="PRX225" s="1311"/>
      <c r="PRY225" s="1311"/>
      <c r="PRZ225" s="1311"/>
      <c r="PSA225" s="1311"/>
      <c r="PSB225" s="1311"/>
      <c r="PSC225" s="1311"/>
      <c r="PSD225" s="1311"/>
      <c r="PSE225" s="1311"/>
      <c r="PSF225" s="1311"/>
      <c r="PSG225" s="1311"/>
      <c r="PSH225" s="1311"/>
      <c r="PSI225" s="1311"/>
      <c r="PSJ225" s="1311"/>
      <c r="PSK225" s="1311"/>
      <c r="PSL225" s="1311"/>
      <c r="PSM225" s="1311"/>
      <c r="PSN225" s="1311"/>
      <c r="PSO225" s="1311"/>
      <c r="PSP225" s="1311"/>
      <c r="PSQ225" s="1311"/>
      <c r="PSR225" s="1311"/>
      <c r="PSS225" s="1311"/>
      <c r="PST225" s="1311"/>
      <c r="PSU225" s="1311"/>
      <c r="PSV225" s="1311"/>
      <c r="PSW225" s="1311"/>
      <c r="PSX225" s="1311"/>
      <c r="PSY225" s="1311"/>
      <c r="PSZ225" s="1311"/>
      <c r="PTA225" s="1311"/>
      <c r="PTB225" s="1311"/>
      <c r="PTC225" s="1311"/>
      <c r="PTD225" s="1311"/>
      <c r="PTE225" s="1311"/>
      <c r="PTF225" s="1311"/>
      <c r="PTG225" s="1311"/>
      <c r="PTH225" s="1311"/>
      <c r="PTI225" s="1311"/>
      <c r="PTJ225" s="1311"/>
      <c r="PTK225" s="1311"/>
      <c r="PTL225" s="1311"/>
      <c r="PTM225" s="1311"/>
      <c r="PTN225" s="1311"/>
      <c r="PTO225" s="1311"/>
      <c r="PTP225" s="1311"/>
      <c r="PTQ225" s="1311"/>
      <c r="PTR225" s="1311"/>
      <c r="PTS225" s="1311"/>
      <c r="PTT225" s="1311"/>
      <c r="PTU225" s="1311"/>
      <c r="PTV225" s="1311"/>
      <c r="PTW225" s="1311"/>
      <c r="PTX225" s="1311"/>
      <c r="PTY225" s="1311"/>
      <c r="PTZ225" s="1311"/>
      <c r="PUA225" s="1311"/>
      <c r="PUB225" s="1311"/>
      <c r="PUC225" s="1311"/>
      <c r="PUD225" s="1311"/>
      <c r="PUE225" s="1311"/>
      <c r="PUF225" s="1311"/>
      <c r="PUG225" s="1311"/>
      <c r="PUH225" s="1311"/>
      <c r="PUI225" s="1311"/>
      <c r="PUJ225" s="1311"/>
      <c r="PUK225" s="1311"/>
      <c r="PUL225" s="1311"/>
      <c r="PUM225" s="1311"/>
      <c r="PUN225" s="1311"/>
      <c r="PUO225" s="1311"/>
      <c r="PUP225" s="1311"/>
      <c r="PUQ225" s="1311"/>
      <c r="PUR225" s="1311"/>
      <c r="PUS225" s="1311"/>
      <c r="PUT225" s="1311"/>
      <c r="PUU225" s="1311"/>
      <c r="PUV225" s="1311"/>
      <c r="PUW225" s="1311"/>
      <c r="PUX225" s="1311"/>
      <c r="PUY225" s="1311"/>
      <c r="PUZ225" s="1311"/>
      <c r="PVA225" s="1311"/>
      <c r="PVB225" s="1311"/>
      <c r="PVC225" s="1311"/>
      <c r="PVD225" s="1311"/>
      <c r="PVE225" s="1311"/>
      <c r="PVF225" s="1311"/>
      <c r="PVG225" s="1311"/>
      <c r="PVH225" s="1311"/>
      <c r="PVI225" s="1311"/>
      <c r="PVJ225" s="1311"/>
      <c r="PVK225" s="1311"/>
      <c r="PVL225" s="1311"/>
      <c r="PVM225" s="1311"/>
      <c r="PVN225" s="1311"/>
      <c r="PVO225" s="1311"/>
      <c r="PVP225" s="1311"/>
      <c r="PVQ225" s="1311"/>
      <c r="PVR225" s="1311"/>
      <c r="PVS225" s="1311"/>
      <c r="PVT225" s="1311"/>
      <c r="PVU225" s="1311"/>
      <c r="PVV225" s="1311"/>
      <c r="PVW225" s="1311"/>
      <c r="PVX225" s="1311"/>
      <c r="PVY225" s="1311"/>
      <c r="PVZ225" s="1311"/>
      <c r="PWA225" s="1311"/>
      <c r="PWB225" s="1311"/>
      <c r="PWC225" s="1311"/>
      <c r="PWD225" s="1311"/>
      <c r="PWE225" s="1311"/>
      <c r="PWF225" s="1311"/>
      <c r="PWG225" s="1311"/>
      <c r="PWH225" s="1311"/>
      <c r="PWI225" s="1311"/>
      <c r="PWJ225" s="1311"/>
      <c r="PWK225" s="1311"/>
      <c r="PWL225" s="1311"/>
      <c r="PWM225" s="1311"/>
      <c r="PWN225" s="1311"/>
      <c r="PWO225" s="1311"/>
      <c r="PWP225" s="1311"/>
      <c r="PWQ225" s="1311"/>
      <c r="PWR225" s="1311"/>
      <c r="PWS225" s="1311"/>
      <c r="PWT225" s="1311"/>
      <c r="PWU225" s="1311"/>
      <c r="PWV225" s="1311"/>
      <c r="PWW225" s="1311"/>
      <c r="PWX225" s="1311"/>
      <c r="PWY225" s="1311"/>
      <c r="PWZ225" s="1311"/>
      <c r="PXA225" s="1311"/>
      <c r="PXB225" s="1311"/>
      <c r="PXC225" s="1311"/>
      <c r="PXD225" s="1311"/>
      <c r="PXE225" s="1311"/>
      <c r="PXF225" s="1311"/>
      <c r="PXG225" s="1311"/>
      <c r="PXH225" s="1311"/>
      <c r="PXI225" s="1311"/>
      <c r="PXJ225" s="1311"/>
      <c r="PXK225" s="1311"/>
      <c r="PXL225" s="1311"/>
      <c r="PXM225" s="1311"/>
      <c r="PXN225" s="1311"/>
      <c r="PXO225" s="1311"/>
      <c r="PXP225" s="1311"/>
      <c r="PXQ225" s="1311"/>
      <c r="PXR225" s="1311"/>
      <c r="PXS225" s="1311"/>
      <c r="PXT225" s="1311"/>
      <c r="PXU225" s="1311"/>
      <c r="PXV225" s="1311"/>
      <c r="PXW225" s="1311"/>
      <c r="PXX225" s="1311"/>
      <c r="PXY225" s="1311"/>
      <c r="PXZ225" s="1311"/>
      <c r="PYA225" s="1311"/>
      <c r="PYB225" s="1311"/>
      <c r="PYC225" s="1311"/>
      <c r="PYD225" s="1311"/>
      <c r="PYE225" s="1311"/>
      <c r="PYF225" s="1311"/>
      <c r="PYG225" s="1311"/>
      <c r="PYH225" s="1311"/>
      <c r="PYI225" s="1311"/>
      <c r="PYJ225" s="1311"/>
      <c r="PYK225" s="1311"/>
      <c r="PYL225" s="1311"/>
      <c r="PYM225" s="1311"/>
      <c r="PYN225" s="1311"/>
      <c r="PYO225" s="1311"/>
      <c r="PYP225" s="1311"/>
      <c r="PYQ225" s="1311"/>
      <c r="PYR225" s="1311"/>
      <c r="PYS225" s="1311"/>
      <c r="PYT225" s="1311"/>
      <c r="PYU225" s="1311"/>
      <c r="PYV225" s="1311"/>
      <c r="PYW225" s="1311"/>
      <c r="PYX225" s="1311"/>
      <c r="PYY225" s="1311"/>
      <c r="PYZ225" s="1311"/>
      <c r="PZA225" s="1311"/>
      <c r="PZB225" s="1311"/>
      <c r="PZC225" s="1311"/>
      <c r="PZD225" s="1311"/>
      <c r="PZE225" s="1311"/>
      <c r="PZF225" s="1311"/>
      <c r="PZG225" s="1311"/>
      <c r="PZH225" s="1311"/>
      <c r="PZI225" s="1311"/>
      <c r="PZJ225" s="1311"/>
      <c r="PZK225" s="1311"/>
      <c r="PZL225" s="1311"/>
      <c r="PZM225" s="1311"/>
      <c r="PZN225" s="1311"/>
      <c r="PZO225" s="1311"/>
      <c r="PZP225" s="1311"/>
      <c r="PZQ225" s="1311"/>
      <c r="PZR225" s="1311"/>
      <c r="PZS225" s="1311"/>
      <c r="PZT225" s="1311"/>
      <c r="PZU225" s="1311"/>
      <c r="PZV225" s="1311"/>
      <c r="PZW225" s="1311"/>
      <c r="PZX225" s="1311"/>
      <c r="PZY225" s="1311"/>
      <c r="PZZ225" s="1311"/>
      <c r="QAA225" s="1311"/>
      <c r="QAB225" s="1311"/>
      <c r="QAC225" s="1311"/>
      <c r="QAD225" s="1311"/>
      <c r="QAE225" s="1311"/>
      <c r="QAF225" s="1311"/>
      <c r="QAG225" s="1311"/>
      <c r="QAH225" s="1311"/>
      <c r="QAI225" s="1311"/>
      <c r="QAJ225" s="1311"/>
      <c r="QAK225" s="1311"/>
      <c r="QAL225" s="1311"/>
      <c r="QAM225" s="1311"/>
      <c r="QAN225" s="1311"/>
      <c r="QAO225" s="1311"/>
      <c r="QAP225" s="1311"/>
      <c r="QAQ225" s="1311"/>
      <c r="QAR225" s="1311"/>
      <c r="QAS225" s="1311"/>
      <c r="QAT225" s="1311"/>
      <c r="QAU225" s="1311"/>
      <c r="QAV225" s="1311"/>
      <c r="QAW225" s="1311"/>
      <c r="QAX225" s="1311"/>
      <c r="QAY225" s="1311"/>
      <c r="QAZ225" s="1311"/>
      <c r="QBA225" s="1311"/>
      <c r="QBB225" s="1311"/>
      <c r="QBC225" s="1311"/>
      <c r="QBD225" s="1311"/>
      <c r="QBE225" s="1311"/>
      <c r="QBF225" s="1311"/>
      <c r="QBG225" s="1311"/>
      <c r="QBH225" s="1311"/>
      <c r="QBI225" s="1311"/>
      <c r="QBJ225" s="1311"/>
      <c r="QBK225" s="1311"/>
      <c r="QBL225" s="1311"/>
      <c r="QBM225" s="1311"/>
      <c r="QBN225" s="1311"/>
      <c r="QBO225" s="1311"/>
      <c r="QBP225" s="1311"/>
      <c r="QBQ225" s="1311"/>
      <c r="QBR225" s="1311"/>
      <c r="QBS225" s="1311"/>
      <c r="QBT225" s="1311"/>
      <c r="QBU225" s="1311"/>
      <c r="QBV225" s="1311"/>
      <c r="QBW225" s="1311"/>
      <c r="QBX225" s="1311"/>
      <c r="QBY225" s="1311"/>
      <c r="QBZ225" s="1311"/>
      <c r="QCA225" s="1311"/>
      <c r="QCB225" s="1311"/>
      <c r="QCC225" s="1311"/>
      <c r="QCD225" s="1311"/>
      <c r="QCE225" s="1311"/>
      <c r="QCF225" s="1311"/>
      <c r="QCG225" s="1311"/>
      <c r="QCH225" s="1311"/>
      <c r="QCI225" s="1311"/>
      <c r="QCJ225" s="1311"/>
      <c r="QCK225" s="1311"/>
      <c r="QCL225" s="1311"/>
      <c r="QCM225" s="1311"/>
      <c r="QCN225" s="1311"/>
      <c r="QCO225" s="1311"/>
      <c r="QCP225" s="1311"/>
      <c r="QCQ225" s="1311"/>
      <c r="QCR225" s="1311"/>
      <c r="QCS225" s="1311"/>
      <c r="QCT225" s="1311"/>
      <c r="QCU225" s="1311"/>
      <c r="QCV225" s="1311"/>
      <c r="QCW225" s="1311"/>
      <c r="QCX225" s="1311"/>
      <c r="QCY225" s="1311"/>
      <c r="QCZ225" s="1311"/>
      <c r="QDA225" s="1311"/>
      <c r="QDB225" s="1311"/>
      <c r="QDC225" s="1311"/>
      <c r="QDD225" s="1311"/>
      <c r="QDE225" s="1311"/>
      <c r="QDF225" s="1311"/>
      <c r="QDG225" s="1311"/>
      <c r="QDH225" s="1311"/>
      <c r="QDI225" s="1311"/>
      <c r="QDJ225" s="1311"/>
      <c r="QDK225" s="1311"/>
      <c r="QDL225" s="1311"/>
      <c r="QDM225" s="1311"/>
      <c r="QDN225" s="1311"/>
      <c r="QDO225" s="1311"/>
      <c r="QDP225" s="1311"/>
      <c r="QDQ225" s="1311"/>
      <c r="QDR225" s="1311"/>
      <c r="QDS225" s="1311"/>
      <c r="QDT225" s="1311"/>
      <c r="QDU225" s="1311"/>
      <c r="QDV225" s="1311"/>
      <c r="QDW225" s="1311"/>
      <c r="QDX225" s="1311"/>
      <c r="QDY225" s="1311"/>
      <c r="QDZ225" s="1311"/>
      <c r="QEA225" s="1311"/>
      <c r="QEB225" s="1311"/>
      <c r="QEC225" s="1311"/>
      <c r="QED225" s="1311"/>
      <c r="QEE225" s="1311"/>
      <c r="QEF225" s="1311"/>
      <c r="QEG225" s="1311"/>
      <c r="QEH225" s="1311"/>
      <c r="QEI225" s="1311"/>
      <c r="QEJ225" s="1311"/>
      <c r="QEK225" s="1311"/>
      <c r="QEL225" s="1311"/>
      <c r="QEM225" s="1311"/>
      <c r="QEN225" s="1311"/>
      <c r="QEO225" s="1311"/>
      <c r="QEP225" s="1311"/>
      <c r="QEQ225" s="1311"/>
      <c r="QER225" s="1311"/>
      <c r="QES225" s="1311"/>
      <c r="QET225" s="1311"/>
      <c r="QEU225" s="1311"/>
      <c r="QEV225" s="1311"/>
      <c r="QEW225" s="1311"/>
      <c r="QEX225" s="1311"/>
      <c r="QEY225" s="1311"/>
      <c r="QEZ225" s="1311"/>
      <c r="QFA225" s="1311"/>
      <c r="QFB225" s="1311"/>
      <c r="QFC225" s="1311"/>
      <c r="QFD225" s="1311"/>
      <c r="QFE225" s="1311"/>
      <c r="QFF225" s="1311"/>
      <c r="QFG225" s="1311"/>
      <c r="QFH225" s="1311"/>
      <c r="QFI225" s="1311"/>
      <c r="QFJ225" s="1311"/>
      <c r="QFK225" s="1311"/>
      <c r="QFL225" s="1311"/>
      <c r="QFM225" s="1311"/>
      <c r="QFN225" s="1311"/>
      <c r="QFO225" s="1311"/>
      <c r="QFP225" s="1311"/>
      <c r="QFQ225" s="1311"/>
      <c r="QFR225" s="1311"/>
      <c r="QFS225" s="1311"/>
      <c r="QFT225" s="1311"/>
      <c r="QFU225" s="1311"/>
      <c r="QFV225" s="1311"/>
      <c r="QFW225" s="1311"/>
      <c r="QFX225" s="1311"/>
      <c r="QFY225" s="1311"/>
      <c r="QFZ225" s="1311"/>
      <c r="QGA225" s="1311"/>
      <c r="QGB225" s="1311"/>
      <c r="QGC225" s="1311"/>
      <c r="QGD225" s="1311"/>
      <c r="QGE225" s="1311"/>
      <c r="QGF225" s="1311"/>
      <c r="QGG225" s="1311"/>
      <c r="QGH225" s="1311"/>
      <c r="QGI225" s="1311"/>
      <c r="QGJ225" s="1311"/>
      <c r="QGK225" s="1311"/>
      <c r="QGL225" s="1311"/>
      <c r="QGM225" s="1311"/>
      <c r="QGN225" s="1311"/>
      <c r="QGO225" s="1311"/>
      <c r="QGP225" s="1311"/>
      <c r="QGQ225" s="1311"/>
      <c r="QGR225" s="1311"/>
      <c r="QGS225" s="1311"/>
      <c r="QGT225" s="1311"/>
      <c r="QGU225" s="1311"/>
      <c r="QGV225" s="1311"/>
      <c r="QGW225" s="1311"/>
      <c r="QGX225" s="1311"/>
      <c r="QGY225" s="1311"/>
      <c r="QGZ225" s="1311"/>
      <c r="QHA225" s="1311"/>
      <c r="QHB225" s="1311"/>
      <c r="QHC225" s="1311"/>
      <c r="QHD225" s="1311"/>
      <c r="QHE225" s="1311"/>
      <c r="QHF225" s="1311"/>
      <c r="QHG225" s="1311"/>
      <c r="QHH225" s="1311"/>
      <c r="QHI225" s="1311"/>
      <c r="QHJ225" s="1311"/>
      <c r="QHK225" s="1311"/>
      <c r="QHL225" s="1311"/>
      <c r="QHM225" s="1311"/>
      <c r="QHN225" s="1311"/>
      <c r="QHO225" s="1311"/>
      <c r="QHP225" s="1311"/>
      <c r="QHQ225" s="1311"/>
      <c r="QHR225" s="1311"/>
      <c r="QHS225" s="1311"/>
      <c r="QHT225" s="1311"/>
      <c r="QHU225" s="1311"/>
      <c r="QHV225" s="1311"/>
      <c r="QHW225" s="1311"/>
      <c r="QHX225" s="1311"/>
      <c r="QHY225" s="1311"/>
      <c r="QHZ225" s="1311"/>
      <c r="QIA225" s="1311"/>
      <c r="QIB225" s="1311"/>
      <c r="QIC225" s="1311"/>
      <c r="QID225" s="1311"/>
      <c r="QIE225" s="1311"/>
      <c r="QIF225" s="1311"/>
      <c r="QIG225" s="1311"/>
      <c r="QIH225" s="1311"/>
      <c r="QII225" s="1311"/>
      <c r="QIJ225" s="1311"/>
      <c r="QIK225" s="1311"/>
      <c r="QIL225" s="1311"/>
      <c r="QIM225" s="1311"/>
      <c r="QIN225" s="1311"/>
      <c r="QIO225" s="1311"/>
      <c r="QIP225" s="1311"/>
      <c r="QIQ225" s="1311"/>
      <c r="QIR225" s="1311"/>
      <c r="QIS225" s="1311"/>
      <c r="QIT225" s="1311"/>
      <c r="QIU225" s="1311"/>
      <c r="QIV225" s="1311"/>
      <c r="QIW225" s="1311"/>
      <c r="QIX225" s="1311"/>
      <c r="QIY225" s="1311"/>
      <c r="QIZ225" s="1311"/>
      <c r="QJA225" s="1311"/>
      <c r="QJB225" s="1311"/>
      <c r="QJC225" s="1311"/>
      <c r="QJD225" s="1311"/>
      <c r="QJE225" s="1311"/>
      <c r="QJF225" s="1311"/>
      <c r="QJG225" s="1311"/>
      <c r="QJH225" s="1311"/>
      <c r="QJI225" s="1311"/>
      <c r="QJJ225" s="1311"/>
      <c r="QJK225" s="1311"/>
      <c r="QJL225" s="1311"/>
      <c r="QJM225" s="1311"/>
      <c r="QJN225" s="1311"/>
      <c r="QJO225" s="1311"/>
      <c r="QJP225" s="1311"/>
      <c r="QJQ225" s="1311"/>
      <c r="QJR225" s="1311"/>
      <c r="QJS225" s="1311"/>
      <c r="QJT225" s="1311"/>
      <c r="QJU225" s="1311"/>
      <c r="QJV225" s="1311"/>
      <c r="QJW225" s="1311"/>
      <c r="QJX225" s="1311"/>
      <c r="QJY225" s="1311"/>
      <c r="QJZ225" s="1311"/>
      <c r="QKA225" s="1311"/>
      <c r="QKB225" s="1311"/>
      <c r="QKC225" s="1311"/>
      <c r="QKD225" s="1311"/>
      <c r="QKE225" s="1311"/>
      <c r="QKF225" s="1311"/>
      <c r="QKG225" s="1311"/>
      <c r="QKH225" s="1311"/>
      <c r="QKI225" s="1311"/>
      <c r="QKJ225" s="1311"/>
      <c r="QKK225" s="1311"/>
      <c r="QKL225" s="1311"/>
      <c r="QKM225" s="1311"/>
      <c r="QKN225" s="1311"/>
      <c r="QKO225" s="1311"/>
      <c r="QKP225" s="1311"/>
      <c r="QKQ225" s="1311"/>
      <c r="QKR225" s="1311"/>
      <c r="QKS225" s="1311"/>
      <c r="QKT225" s="1311"/>
      <c r="QKU225" s="1311"/>
      <c r="QKV225" s="1311"/>
      <c r="QKW225" s="1311"/>
      <c r="QKX225" s="1311"/>
      <c r="QKY225" s="1311"/>
      <c r="QKZ225" s="1311"/>
      <c r="QLA225" s="1311"/>
      <c r="QLB225" s="1311"/>
      <c r="QLC225" s="1311"/>
      <c r="QLD225" s="1311"/>
      <c r="QLE225" s="1311"/>
      <c r="QLF225" s="1311"/>
      <c r="QLG225" s="1311"/>
      <c r="QLH225" s="1311"/>
      <c r="QLI225" s="1311"/>
      <c r="QLJ225" s="1311"/>
      <c r="QLK225" s="1311"/>
      <c r="QLL225" s="1311"/>
      <c r="QLM225" s="1311"/>
      <c r="QLN225" s="1311"/>
      <c r="QLO225" s="1311"/>
      <c r="QLP225" s="1311"/>
      <c r="QLQ225" s="1311"/>
      <c r="QLR225" s="1311"/>
      <c r="QLS225" s="1311"/>
      <c r="QLT225" s="1311"/>
      <c r="QLU225" s="1311"/>
      <c r="QLV225" s="1311"/>
      <c r="QLW225" s="1311"/>
      <c r="QLX225" s="1311"/>
      <c r="QLY225" s="1311"/>
      <c r="QLZ225" s="1311"/>
      <c r="QMA225" s="1311"/>
      <c r="QMB225" s="1311"/>
      <c r="QMC225" s="1311"/>
      <c r="QMD225" s="1311"/>
      <c r="QME225" s="1311"/>
      <c r="QMF225" s="1311"/>
      <c r="QMG225" s="1311"/>
      <c r="QMH225" s="1311"/>
      <c r="QMI225" s="1311"/>
      <c r="QMJ225" s="1311"/>
      <c r="QMK225" s="1311"/>
      <c r="QML225" s="1311"/>
      <c r="QMM225" s="1311"/>
      <c r="QMN225" s="1311"/>
      <c r="QMO225" s="1311"/>
      <c r="QMP225" s="1311"/>
      <c r="QMQ225" s="1311"/>
      <c r="QMR225" s="1311"/>
      <c r="QMS225" s="1311"/>
      <c r="QMT225" s="1311"/>
      <c r="QMU225" s="1311"/>
      <c r="QMV225" s="1311"/>
      <c r="QMW225" s="1311"/>
      <c r="QMX225" s="1311"/>
      <c r="QMY225" s="1311"/>
      <c r="QMZ225" s="1311"/>
      <c r="QNA225" s="1311"/>
      <c r="QNB225" s="1311"/>
      <c r="QNC225" s="1311"/>
      <c r="QND225" s="1311"/>
      <c r="QNE225" s="1311"/>
      <c r="QNF225" s="1311"/>
      <c r="QNG225" s="1311"/>
      <c r="QNH225" s="1311"/>
      <c r="QNI225" s="1311"/>
      <c r="QNJ225" s="1311"/>
      <c r="QNK225" s="1311"/>
      <c r="QNL225" s="1311"/>
      <c r="QNM225" s="1311"/>
      <c r="QNN225" s="1311"/>
      <c r="QNO225" s="1311"/>
      <c r="QNP225" s="1311"/>
      <c r="QNQ225" s="1311"/>
      <c r="QNR225" s="1311"/>
      <c r="QNS225" s="1311"/>
      <c r="QNT225" s="1311"/>
      <c r="QNU225" s="1311"/>
      <c r="QNV225" s="1311"/>
      <c r="QNW225" s="1311"/>
      <c r="QNX225" s="1311"/>
      <c r="QNY225" s="1311"/>
      <c r="QNZ225" s="1311"/>
      <c r="QOA225" s="1311"/>
      <c r="QOB225" s="1311"/>
      <c r="QOC225" s="1311"/>
      <c r="QOD225" s="1311"/>
      <c r="QOE225" s="1311"/>
      <c r="QOF225" s="1311"/>
      <c r="QOG225" s="1311"/>
      <c r="QOH225" s="1311"/>
      <c r="QOI225" s="1311"/>
      <c r="QOJ225" s="1311"/>
      <c r="QOK225" s="1311"/>
      <c r="QOL225" s="1311"/>
      <c r="QOM225" s="1311"/>
      <c r="QON225" s="1311"/>
      <c r="QOO225" s="1311"/>
      <c r="QOP225" s="1311"/>
      <c r="QOQ225" s="1311"/>
      <c r="QOR225" s="1311"/>
      <c r="QOS225" s="1311"/>
      <c r="QOT225" s="1311"/>
      <c r="QOU225" s="1311"/>
      <c r="QOV225" s="1311"/>
      <c r="QOW225" s="1311"/>
      <c r="QOX225" s="1311"/>
      <c r="QOY225" s="1311"/>
      <c r="QOZ225" s="1311"/>
      <c r="QPA225" s="1311"/>
      <c r="QPB225" s="1311"/>
      <c r="QPC225" s="1311"/>
      <c r="QPD225" s="1311"/>
      <c r="QPE225" s="1311"/>
      <c r="QPF225" s="1311"/>
      <c r="QPG225" s="1311"/>
      <c r="QPH225" s="1311"/>
      <c r="QPI225" s="1311"/>
      <c r="QPJ225" s="1311"/>
      <c r="QPK225" s="1311"/>
      <c r="QPL225" s="1311"/>
      <c r="QPM225" s="1311"/>
      <c r="QPN225" s="1311"/>
      <c r="QPO225" s="1311"/>
      <c r="QPP225" s="1311"/>
      <c r="QPQ225" s="1311"/>
      <c r="QPR225" s="1311"/>
      <c r="QPS225" s="1311"/>
      <c r="QPT225" s="1311"/>
      <c r="QPU225" s="1311"/>
      <c r="QPV225" s="1311"/>
      <c r="QPW225" s="1311"/>
      <c r="QPX225" s="1311"/>
      <c r="QPY225" s="1311"/>
      <c r="QPZ225" s="1311"/>
      <c r="QQA225" s="1311"/>
      <c r="QQB225" s="1311"/>
      <c r="QQC225" s="1311"/>
      <c r="QQD225" s="1311"/>
      <c r="QQE225" s="1311"/>
      <c r="QQF225" s="1311"/>
      <c r="QQG225" s="1311"/>
      <c r="QQH225" s="1311"/>
      <c r="QQI225" s="1311"/>
      <c r="QQJ225" s="1311"/>
      <c r="QQK225" s="1311"/>
      <c r="QQL225" s="1311"/>
      <c r="QQM225" s="1311"/>
      <c r="QQN225" s="1311"/>
      <c r="QQO225" s="1311"/>
      <c r="QQP225" s="1311"/>
      <c r="QQQ225" s="1311"/>
      <c r="QQR225" s="1311"/>
      <c r="QQS225" s="1311"/>
      <c r="QQT225" s="1311"/>
      <c r="QQU225" s="1311"/>
      <c r="QQV225" s="1311"/>
      <c r="QQW225" s="1311"/>
      <c r="QQX225" s="1311"/>
      <c r="QQY225" s="1311"/>
      <c r="QQZ225" s="1311"/>
      <c r="QRA225" s="1311"/>
      <c r="QRB225" s="1311"/>
      <c r="QRC225" s="1311"/>
      <c r="QRD225" s="1311"/>
      <c r="QRE225" s="1311"/>
      <c r="QRF225" s="1311"/>
      <c r="QRG225" s="1311"/>
      <c r="QRH225" s="1311"/>
      <c r="QRI225" s="1311"/>
      <c r="QRJ225" s="1311"/>
      <c r="QRK225" s="1311"/>
      <c r="QRL225" s="1311"/>
      <c r="QRM225" s="1311"/>
      <c r="QRN225" s="1311"/>
      <c r="QRO225" s="1311"/>
      <c r="QRP225" s="1311"/>
      <c r="QRQ225" s="1311"/>
      <c r="QRR225" s="1311"/>
      <c r="QRS225" s="1311"/>
      <c r="QRT225" s="1311"/>
      <c r="QRU225" s="1311"/>
      <c r="QRV225" s="1311"/>
      <c r="QRW225" s="1311"/>
      <c r="QRX225" s="1311"/>
      <c r="QRY225" s="1311"/>
      <c r="QRZ225" s="1311"/>
      <c r="QSA225" s="1311"/>
      <c r="QSB225" s="1311"/>
      <c r="QSC225" s="1311"/>
      <c r="QSD225" s="1311"/>
      <c r="QSE225" s="1311"/>
      <c r="QSF225" s="1311"/>
      <c r="QSG225" s="1311"/>
      <c r="QSH225" s="1311"/>
      <c r="QSI225" s="1311"/>
      <c r="QSJ225" s="1311"/>
      <c r="QSK225" s="1311"/>
      <c r="QSL225" s="1311"/>
      <c r="QSM225" s="1311"/>
      <c r="QSN225" s="1311"/>
      <c r="QSO225" s="1311"/>
      <c r="QSP225" s="1311"/>
      <c r="QSQ225" s="1311"/>
      <c r="QSR225" s="1311"/>
      <c r="QSS225" s="1311"/>
      <c r="QST225" s="1311"/>
      <c r="QSU225" s="1311"/>
      <c r="QSV225" s="1311"/>
      <c r="QSW225" s="1311"/>
      <c r="QSX225" s="1311"/>
      <c r="QSY225" s="1311"/>
      <c r="QSZ225" s="1311"/>
      <c r="QTA225" s="1311"/>
      <c r="QTB225" s="1311"/>
      <c r="QTC225" s="1311"/>
      <c r="QTD225" s="1311"/>
      <c r="QTE225" s="1311"/>
      <c r="QTF225" s="1311"/>
      <c r="QTG225" s="1311"/>
      <c r="QTH225" s="1311"/>
      <c r="QTI225" s="1311"/>
      <c r="QTJ225" s="1311"/>
      <c r="QTK225" s="1311"/>
      <c r="QTL225" s="1311"/>
      <c r="QTM225" s="1311"/>
      <c r="QTN225" s="1311"/>
      <c r="QTO225" s="1311"/>
      <c r="QTP225" s="1311"/>
      <c r="QTQ225" s="1311"/>
      <c r="QTR225" s="1311"/>
      <c r="QTS225" s="1311"/>
      <c r="QTT225" s="1311"/>
      <c r="QTU225" s="1311"/>
      <c r="QTV225" s="1311"/>
      <c r="QTW225" s="1311"/>
      <c r="QTX225" s="1311"/>
      <c r="QTY225" s="1311"/>
      <c r="QTZ225" s="1311"/>
      <c r="QUA225" s="1311"/>
      <c r="QUB225" s="1311"/>
      <c r="QUC225" s="1311"/>
      <c r="QUD225" s="1311"/>
      <c r="QUE225" s="1311"/>
      <c r="QUF225" s="1311"/>
      <c r="QUG225" s="1311"/>
      <c r="QUH225" s="1311"/>
      <c r="QUI225" s="1311"/>
      <c r="QUJ225" s="1311"/>
      <c r="QUK225" s="1311"/>
      <c r="QUL225" s="1311"/>
      <c r="QUM225" s="1311"/>
      <c r="QUN225" s="1311"/>
      <c r="QUO225" s="1311"/>
      <c r="QUP225" s="1311"/>
      <c r="QUQ225" s="1311"/>
      <c r="QUR225" s="1311"/>
      <c r="QUS225" s="1311"/>
      <c r="QUT225" s="1311"/>
      <c r="QUU225" s="1311"/>
      <c r="QUV225" s="1311"/>
      <c r="QUW225" s="1311"/>
      <c r="QUX225" s="1311"/>
      <c r="QUY225" s="1311"/>
      <c r="QUZ225" s="1311"/>
      <c r="QVA225" s="1311"/>
      <c r="QVB225" s="1311"/>
      <c r="QVC225" s="1311"/>
      <c r="QVD225" s="1311"/>
      <c r="QVE225" s="1311"/>
      <c r="QVF225" s="1311"/>
      <c r="QVG225" s="1311"/>
      <c r="QVH225" s="1311"/>
      <c r="QVI225" s="1311"/>
      <c r="QVJ225" s="1311"/>
      <c r="QVK225" s="1311"/>
      <c r="QVL225" s="1311"/>
      <c r="QVM225" s="1311"/>
      <c r="QVN225" s="1311"/>
      <c r="QVO225" s="1311"/>
      <c r="QVP225" s="1311"/>
      <c r="QVQ225" s="1311"/>
      <c r="QVR225" s="1311"/>
      <c r="QVS225" s="1311"/>
      <c r="QVT225" s="1311"/>
      <c r="QVU225" s="1311"/>
      <c r="QVV225" s="1311"/>
      <c r="QVW225" s="1311"/>
      <c r="QVX225" s="1311"/>
      <c r="QVY225" s="1311"/>
      <c r="QVZ225" s="1311"/>
      <c r="QWA225" s="1311"/>
      <c r="QWB225" s="1311"/>
      <c r="QWC225" s="1311"/>
      <c r="QWD225" s="1311"/>
      <c r="QWE225" s="1311"/>
      <c r="QWF225" s="1311"/>
      <c r="QWG225" s="1311"/>
      <c r="QWH225" s="1311"/>
      <c r="QWI225" s="1311"/>
      <c r="QWJ225" s="1311"/>
      <c r="QWK225" s="1311"/>
      <c r="QWL225" s="1311"/>
      <c r="QWM225" s="1311"/>
      <c r="QWN225" s="1311"/>
      <c r="QWO225" s="1311"/>
      <c r="QWP225" s="1311"/>
      <c r="QWQ225" s="1311"/>
      <c r="QWR225" s="1311"/>
      <c r="QWS225" s="1311"/>
      <c r="QWT225" s="1311"/>
      <c r="QWU225" s="1311"/>
      <c r="QWV225" s="1311"/>
      <c r="QWW225" s="1311"/>
      <c r="QWX225" s="1311"/>
      <c r="QWY225" s="1311"/>
      <c r="QWZ225" s="1311"/>
      <c r="QXA225" s="1311"/>
      <c r="QXB225" s="1311"/>
      <c r="QXC225" s="1311"/>
      <c r="QXD225" s="1311"/>
      <c r="QXE225" s="1311"/>
      <c r="QXF225" s="1311"/>
      <c r="QXG225" s="1311"/>
      <c r="QXH225" s="1311"/>
      <c r="QXI225" s="1311"/>
      <c r="QXJ225" s="1311"/>
      <c r="QXK225" s="1311"/>
      <c r="QXL225" s="1311"/>
      <c r="QXM225" s="1311"/>
      <c r="QXN225" s="1311"/>
      <c r="QXO225" s="1311"/>
      <c r="QXP225" s="1311"/>
      <c r="QXQ225" s="1311"/>
      <c r="QXR225" s="1311"/>
      <c r="QXS225" s="1311"/>
      <c r="QXT225" s="1311"/>
      <c r="QXU225" s="1311"/>
      <c r="QXV225" s="1311"/>
      <c r="QXW225" s="1311"/>
      <c r="QXX225" s="1311"/>
      <c r="QXY225" s="1311"/>
      <c r="QXZ225" s="1311"/>
      <c r="QYA225" s="1311"/>
      <c r="QYB225" s="1311"/>
      <c r="QYC225" s="1311"/>
      <c r="QYD225" s="1311"/>
      <c r="QYE225" s="1311"/>
      <c r="QYF225" s="1311"/>
      <c r="QYG225" s="1311"/>
      <c r="QYH225" s="1311"/>
      <c r="QYI225" s="1311"/>
      <c r="QYJ225" s="1311"/>
      <c r="QYK225" s="1311"/>
      <c r="QYL225" s="1311"/>
      <c r="QYM225" s="1311"/>
      <c r="QYN225" s="1311"/>
      <c r="QYO225" s="1311"/>
      <c r="QYP225" s="1311"/>
      <c r="QYQ225" s="1311"/>
      <c r="QYR225" s="1311"/>
      <c r="QYS225" s="1311"/>
      <c r="QYT225" s="1311"/>
      <c r="QYU225" s="1311"/>
      <c r="QYV225" s="1311"/>
      <c r="QYW225" s="1311"/>
      <c r="QYX225" s="1311"/>
      <c r="QYY225" s="1311"/>
      <c r="QYZ225" s="1311"/>
      <c r="QZA225" s="1311"/>
      <c r="QZB225" s="1311"/>
      <c r="QZC225" s="1311"/>
      <c r="QZD225" s="1311"/>
      <c r="QZE225" s="1311"/>
      <c r="QZF225" s="1311"/>
      <c r="QZG225" s="1311"/>
      <c r="QZH225" s="1311"/>
      <c r="QZI225" s="1311"/>
      <c r="QZJ225" s="1311"/>
      <c r="QZK225" s="1311"/>
      <c r="QZL225" s="1311"/>
      <c r="QZM225" s="1311"/>
      <c r="QZN225" s="1311"/>
      <c r="QZO225" s="1311"/>
      <c r="QZP225" s="1311"/>
      <c r="QZQ225" s="1311"/>
      <c r="QZR225" s="1311"/>
      <c r="QZS225" s="1311"/>
      <c r="QZT225" s="1311"/>
      <c r="QZU225" s="1311"/>
      <c r="QZV225" s="1311"/>
      <c r="QZW225" s="1311"/>
      <c r="QZX225" s="1311"/>
      <c r="QZY225" s="1311"/>
      <c r="QZZ225" s="1311"/>
      <c r="RAA225" s="1311"/>
      <c r="RAB225" s="1311"/>
      <c r="RAC225" s="1311"/>
      <c r="RAD225" s="1311"/>
      <c r="RAE225" s="1311"/>
      <c r="RAF225" s="1311"/>
      <c r="RAG225" s="1311"/>
      <c r="RAH225" s="1311"/>
      <c r="RAI225" s="1311"/>
      <c r="RAJ225" s="1311"/>
      <c r="RAK225" s="1311"/>
      <c r="RAL225" s="1311"/>
      <c r="RAM225" s="1311"/>
      <c r="RAN225" s="1311"/>
      <c r="RAO225" s="1311"/>
      <c r="RAP225" s="1311"/>
      <c r="RAQ225" s="1311"/>
      <c r="RAR225" s="1311"/>
      <c r="RAS225" s="1311"/>
      <c r="RAT225" s="1311"/>
      <c r="RAU225" s="1311"/>
      <c r="RAV225" s="1311"/>
      <c r="RAW225" s="1311"/>
      <c r="RAX225" s="1311"/>
      <c r="RAY225" s="1311"/>
      <c r="RAZ225" s="1311"/>
      <c r="RBA225" s="1311"/>
      <c r="RBB225" s="1311"/>
      <c r="RBC225" s="1311"/>
      <c r="RBD225" s="1311"/>
      <c r="RBE225" s="1311"/>
      <c r="RBF225" s="1311"/>
      <c r="RBG225" s="1311"/>
      <c r="RBH225" s="1311"/>
      <c r="RBI225" s="1311"/>
      <c r="RBJ225" s="1311"/>
      <c r="RBK225" s="1311"/>
      <c r="RBL225" s="1311"/>
      <c r="RBM225" s="1311"/>
      <c r="RBN225" s="1311"/>
      <c r="RBO225" s="1311"/>
      <c r="RBP225" s="1311"/>
      <c r="RBQ225" s="1311"/>
      <c r="RBR225" s="1311"/>
      <c r="RBS225" s="1311"/>
      <c r="RBT225" s="1311"/>
      <c r="RBU225" s="1311"/>
      <c r="RBV225" s="1311"/>
      <c r="RBW225" s="1311"/>
      <c r="RBX225" s="1311"/>
      <c r="RBY225" s="1311"/>
      <c r="RBZ225" s="1311"/>
      <c r="RCA225" s="1311"/>
      <c r="RCB225" s="1311"/>
      <c r="RCC225" s="1311"/>
      <c r="RCD225" s="1311"/>
      <c r="RCE225" s="1311"/>
      <c r="RCF225" s="1311"/>
      <c r="RCG225" s="1311"/>
      <c r="RCH225" s="1311"/>
      <c r="RCI225" s="1311"/>
      <c r="RCJ225" s="1311"/>
      <c r="RCK225" s="1311"/>
      <c r="RCL225" s="1311"/>
      <c r="RCM225" s="1311"/>
      <c r="RCN225" s="1311"/>
      <c r="RCO225" s="1311"/>
      <c r="RCP225" s="1311"/>
      <c r="RCQ225" s="1311"/>
      <c r="RCR225" s="1311"/>
      <c r="RCS225" s="1311"/>
      <c r="RCT225" s="1311"/>
      <c r="RCU225" s="1311"/>
      <c r="RCV225" s="1311"/>
      <c r="RCW225" s="1311"/>
      <c r="RCX225" s="1311"/>
      <c r="RCY225" s="1311"/>
      <c r="RCZ225" s="1311"/>
      <c r="RDA225" s="1311"/>
      <c r="RDB225" s="1311"/>
      <c r="RDC225" s="1311"/>
      <c r="RDD225" s="1311"/>
      <c r="RDE225" s="1311"/>
      <c r="RDF225" s="1311"/>
      <c r="RDG225" s="1311"/>
      <c r="RDH225" s="1311"/>
      <c r="RDI225" s="1311"/>
      <c r="RDJ225" s="1311"/>
      <c r="RDK225" s="1311"/>
      <c r="RDL225" s="1311"/>
      <c r="RDM225" s="1311"/>
      <c r="RDN225" s="1311"/>
      <c r="RDO225" s="1311"/>
      <c r="RDP225" s="1311"/>
      <c r="RDQ225" s="1311"/>
      <c r="RDR225" s="1311"/>
      <c r="RDS225" s="1311"/>
      <c r="RDT225" s="1311"/>
      <c r="RDU225" s="1311"/>
      <c r="RDV225" s="1311"/>
      <c r="RDW225" s="1311"/>
      <c r="RDX225" s="1311"/>
      <c r="RDY225" s="1311"/>
      <c r="RDZ225" s="1311"/>
      <c r="REA225" s="1311"/>
      <c r="REB225" s="1311"/>
      <c r="REC225" s="1311"/>
      <c r="RED225" s="1311"/>
      <c r="REE225" s="1311"/>
      <c r="REF225" s="1311"/>
      <c r="REG225" s="1311"/>
      <c r="REH225" s="1311"/>
      <c r="REI225" s="1311"/>
      <c r="REJ225" s="1311"/>
      <c r="REK225" s="1311"/>
      <c r="REL225" s="1311"/>
      <c r="REM225" s="1311"/>
      <c r="REN225" s="1311"/>
      <c r="REO225" s="1311"/>
      <c r="REP225" s="1311"/>
      <c r="REQ225" s="1311"/>
      <c r="RER225" s="1311"/>
      <c r="RES225" s="1311"/>
      <c r="RET225" s="1311"/>
      <c r="REU225" s="1311"/>
      <c r="REV225" s="1311"/>
      <c r="REW225" s="1311"/>
      <c r="REX225" s="1311"/>
      <c r="REY225" s="1311"/>
      <c r="REZ225" s="1311"/>
      <c r="RFA225" s="1311"/>
      <c r="RFB225" s="1311"/>
      <c r="RFC225" s="1311"/>
      <c r="RFD225" s="1311"/>
      <c r="RFE225" s="1311"/>
      <c r="RFF225" s="1311"/>
      <c r="RFG225" s="1311"/>
      <c r="RFH225" s="1311"/>
      <c r="RFI225" s="1311"/>
      <c r="RFJ225" s="1311"/>
      <c r="RFK225" s="1311"/>
      <c r="RFL225" s="1311"/>
      <c r="RFM225" s="1311"/>
      <c r="RFN225" s="1311"/>
      <c r="RFO225" s="1311"/>
      <c r="RFP225" s="1311"/>
      <c r="RFQ225" s="1311"/>
      <c r="RFR225" s="1311"/>
      <c r="RFS225" s="1311"/>
      <c r="RFT225" s="1311"/>
      <c r="RFU225" s="1311"/>
      <c r="RFV225" s="1311"/>
      <c r="RFW225" s="1311"/>
      <c r="RFX225" s="1311"/>
      <c r="RFY225" s="1311"/>
      <c r="RFZ225" s="1311"/>
      <c r="RGA225" s="1311"/>
      <c r="RGB225" s="1311"/>
      <c r="RGC225" s="1311"/>
      <c r="RGD225" s="1311"/>
      <c r="RGE225" s="1311"/>
      <c r="RGF225" s="1311"/>
      <c r="RGG225" s="1311"/>
      <c r="RGH225" s="1311"/>
      <c r="RGI225" s="1311"/>
      <c r="RGJ225" s="1311"/>
      <c r="RGK225" s="1311"/>
      <c r="RGL225" s="1311"/>
      <c r="RGM225" s="1311"/>
      <c r="RGN225" s="1311"/>
      <c r="RGO225" s="1311"/>
      <c r="RGP225" s="1311"/>
      <c r="RGQ225" s="1311"/>
      <c r="RGR225" s="1311"/>
      <c r="RGS225" s="1311"/>
      <c r="RGT225" s="1311"/>
      <c r="RGU225" s="1311"/>
      <c r="RGV225" s="1311"/>
      <c r="RGW225" s="1311"/>
      <c r="RGX225" s="1311"/>
      <c r="RGY225" s="1311"/>
      <c r="RGZ225" s="1311"/>
      <c r="RHA225" s="1311"/>
      <c r="RHB225" s="1311"/>
      <c r="RHC225" s="1311"/>
      <c r="RHD225" s="1311"/>
      <c r="RHE225" s="1311"/>
      <c r="RHF225" s="1311"/>
      <c r="RHG225" s="1311"/>
      <c r="RHH225" s="1311"/>
      <c r="RHI225" s="1311"/>
      <c r="RHJ225" s="1311"/>
      <c r="RHK225" s="1311"/>
      <c r="RHL225" s="1311"/>
      <c r="RHM225" s="1311"/>
      <c r="RHN225" s="1311"/>
      <c r="RHO225" s="1311"/>
      <c r="RHP225" s="1311"/>
      <c r="RHQ225" s="1311"/>
      <c r="RHR225" s="1311"/>
      <c r="RHS225" s="1311"/>
      <c r="RHT225" s="1311"/>
      <c r="RHU225" s="1311"/>
      <c r="RHV225" s="1311"/>
      <c r="RHW225" s="1311"/>
      <c r="RHX225" s="1311"/>
      <c r="RHY225" s="1311"/>
      <c r="RHZ225" s="1311"/>
      <c r="RIA225" s="1311"/>
      <c r="RIB225" s="1311"/>
      <c r="RIC225" s="1311"/>
      <c r="RID225" s="1311"/>
      <c r="RIE225" s="1311"/>
      <c r="RIF225" s="1311"/>
      <c r="RIG225" s="1311"/>
      <c r="RIH225" s="1311"/>
      <c r="RII225" s="1311"/>
      <c r="RIJ225" s="1311"/>
      <c r="RIK225" s="1311"/>
      <c r="RIL225" s="1311"/>
      <c r="RIM225" s="1311"/>
      <c r="RIN225" s="1311"/>
      <c r="RIO225" s="1311"/>
      <c r="RIP225" s="1311"/>
      <c r="RIQ225" s="1311"/>
      <c r="RIR225" s="1311"/>
      <c r="RIS225" s="1311"/>
      <c r="RIT225" s="1311"/>
      <c r="RIU225" s="1311"/>
      <c r="RIV225" s="1311"/>
      <c r="RIW225" s="1311"/>
      <c r="RIX225" s="1311"/>
      <c r="RIY225" s="1311"/>
      <c r="RIZ225" s="1311"/>
      <c r="RJA225" s="1311"/>
      <c r="RJB225" s="1311"/>
      <c r="RJC225" s="1311"/>
      <c r="RJD225" s="1311"/>
      <c r="RJE225" s="1311"/>
      <c r="RJF225" s="1311"/>
      <c r="RJG225" s="1311"/>
      <c r="RJH225" s="1311"/>
      <c r="RJI225" s="1311"/>
      <c r="RJJ225" s="1311"/>
      <c r="RJK225" s="1311"/>
      <c r="RJL225" s="1311"/>
      <c r="RJM225" s="1311"/>
      <c r="RJN225" s="1311"/>
      <c r="RJO225" s="1311"/>
      <c r="RJP225" s="1311"/>
      <c r="RJQ225" s="1311"/>
      <c r="RJR225" s="1311"/>
      <c r="RJS225" s="1311"/>
      <c r="RJT225" s="1311"/>
      <c r="RJU225" s="1311"/>
      <c r="RJV225" s="1311"/>
      <c r="RJW225" s="1311"/>
      <c r="RJX225" s="1311"/>
      <c r="RJY225" s="1311"/>
      <c r="RJZ225" s="1311"/>
      <c r="RKA225" s="1311"/>
      <c r="RKB225" s="1311"/>
      <c r="RKC225" s="1311"/>
      <c r="RKD225" s="1311"/>
      <c r="RKE225" s="1311"/>
      <c r="RKF225" s="1311"/>
      <c r="RKG225" s="1311"/>
      <c r="RKH225" s="1311"/>
      <c r="RKI225" s="1311"/>
      <c r="RKJ225" s="1311"/>
      <c r="RKK225" s="1311"/>
      <c r="RKL225" s="1311"/>
      <c r="RKM225" s="1311"/>
      <c r="RKN225" s="1311"/>
      <c r="RKO225" s="1311"/>
      <c r="RKP225" s="1311"/>
      <c r="RKQ225" s="1311"/>
      <c r="RKR225" s="1311"/>
      <c r="RKS225" s="1311"/>
      <c r="RKT225" s="1311"/>
      <c r="RKU225" s="1311"/>
      <c r="RKV225" s="1311"/>
      <c r="RKW225" s="1311"/>
      <c r="RKX225" s="1311"/>
      <c r="RKY225" s="1311"/>
      <c r="RKZ225" s="1311"/>
      <c r="RLA225" s="1311"/>
      <c r="RLB225" s="1311"/>
      <c r="RLC225" s="1311"/>
      <c r="RLD225" s="1311"/>
      <c r="RLE225" s="1311"/>
      <c r="RLF225" s="1311"/>
      <c r="RLG225" s="1311"/>
      <c r="RLH225" s="1311"/>
      <c r="RLI225" s="1311"/>
      <c r="RLJ225" s="1311"/>
      <c r="RLK225" s="1311"/>
      <c r="RLL225" s="1311"/>
      <c r="RLM225" s="1311"/>
      <c r="RLN225" s="1311"/>
      <c r="RLO225" s="1311"/>
      <c r="RLP225" s="1311"/>
      <c r="RLQ225" s="1311"/>
      <c r="RLR225" s="1311"/>
      <c r="RLS225" s="1311"/>
      <c r="RLT225" s="1311"/>
      <c r="RLU225" s="1311"/>
      <c r="RLV225" s="1311"/>
      <c r="RLW225" s="1311"/>
      <c r="RLX225" s="1311"/>
      <c r="RLY225" s="1311"/>
      <c r="RLZ225" s="1311"/>
      <c r="RMA225" s="1311"/>
      <c r="RMB225" s="1311"/>
      <c r="RMC225" s="1311"/>
      <c r="RMD225" s="1311"/>
      <c r="RME225" s="1311"/>
      <c r="RMF225" s="1311"/>
      <c r="RMG225" s="1311"/>
      <c r="RMH225" s="1311"/>
      <c r="RMI225" s="1311"/>
      <c r="RMJ225" s="1311"/>
      <c r="RMK225" s="1311"/>
      <c r="RML225" s="1311"/>
      <c r="RMM225" s="1311"/>
      <c r="RMN225" s="1311"/>
      <c r="RMO225" s="1311"/>
      <c r="RMP225" s="1311"/>
      <c r="RMQ225" s="1311"/>
      <c r="RMR225" s="1311"/>
      <c r="RMS225" s="1311"/>
      <c r="RMT225" s="1311"/>
      <c r="RMU225" s="1311"/>
      <c r="RMV225" s="1311"/>
      <c r="RMW225" s="1311"/>
      <c r="RMX225" s="1311"/>
      <c r="RMY225" s="1311"/>
      <c r="RMZ225" s="1311"/>
      <c r="RNA225" s="1311"/>
      <c r="RNB225" s="1311"/>
      <c r="RNC225" s="1311"/>
      <c r="RND225" s="1311"/>
      <c r="RNE225" s="1311"/>
      <c r="RNF225" s="1311"/>
      <c r="RNG225" s="1311"/>
      <c r="RNH225" s="1311"/>
      <c r="RNI225" s="1311"/>
      <c r="RNJ225" s="1311"/>
      <c r="RNK225" s="1311"/>
      <c r="RNL225" s="1311"/>
      <c r="RNM225" s="1311"/>
      <c r="RNN225" s="1311"/>
      <c r="RNO225" s="1311"/>
      <c r="RNP225" s="1311"/>
      <c r="RNQ225" s="1311"/>
      <c r="RNR225" s="1311"/>
      <c r="RNS225" s="1311"/>
      <c r="RNT225" s="1311"/>
      <c r="RNU225" s="1311"/>
      <c r="RNV225" s="1311"/>
      <c r="RNW225" s="1311"/>
      <c r="RNX225" s="1311"/>
      <c r="RNY225" s="1311"/>
      <c r="RNZ225" s="1311"/>
      <c r="ROA225" s="1311"/>
      <c r="ROB225" s="1311"/>
      <c r="ROC225" s="1311"/>
      <c r="ROD225" s="1311"/>
      <c r="ROE225" s="1311"/>
      <c r="ROF225" s="1311"/>
      <c r="ROG225" s="1311"/>
      <c r="ROH225" s="1311"/>
      <c r="ROI225" s="1311"/>
      <c r="ROJ225" s="1311"/>
      <c r="ROK225" s="1311"/>
      <c r="ROL225" s="1311"/>
      <c r="ROM225" s="1311"/>
      <c r="RON225" s="1311"/>
      <c r="ROO225" s="1311"/>
      <c r="ROP225" s="1311"/>
      <c r="ROQ225" s="1311"/>
      <c r="ROR225" s="1311"/>
      <c r="ROS225" s="1311"/>
      <c r="ROT225" s="1311"/>
      <c r="ROU225" s="1311"/>
      <c r="ROV225" s="1311"/>
      <c r="ROW225" s="1311"/>
      <c r="ROX225" s="1311"/>
      <c r="ROY225" s="1311"/>
      <c r="ROZ225" s="1311"/>
      <c r="RPA225" s="1311"/>
      <c r="RPB225" s="1311"/>
      <c r="RPC225" s="1311"/>
      <c r="RPD225" s="1311"/>
      <c r="RPE225" s="1311"/>
      <c r="RPF225" s="1311"/>
      <c r="RPG225" s="1311"/>
      <c r="RPH225" s="1311"/>
      <c r="RPI225" s="1311"/>
      <c r="RPJ225" s="1311"/>
      <c r="RPK225" s="1311"/>
      <c r="RPL225" s="1311"/>
      <c r="RPM225" s="1311"/>
      <c r="RPN225" s="1311"/>
      <c r="RPO225" s="1311"/>
      <c r="RPP225" s="1311"/>
      <c r="RPQ225" s="1311"/>
      <c r="RPR225" s="1311"/>
      <c r="RPS225" s="1311"/>
      <c r="RPT225" s="1311"/>
      <c r="RPU225" s="1311"/>
      <c r="RPV225" s="1311"/>
      <c r="RPW225" s="1311"/>
      <c r="RPX225" s="1311"/>
      <c r="RPY225" s="1311"/>
      <c r="RPZ225" s="1311"/>
      <c r="RQA225" s="1311"/>
      <c r="RQB225" s="1311"/>
      <c r="RQC225" s="1311"/>
      <c r="RQD225" s="1311"/>
      <c r="RQE225" s="1311"/>
      <c r="RQF225" s="1311"/>
      <c r="RQG225" s="1311"/>
      <c r="RQH225" s="1311"/>
      <c r="RQI225" s="1311"/>
      <c r="RQJ225" s="1311"/>
      <c r="RQK225" s="1311"/>
      <c r="RQL225" s="1311"/>
      <c r="RQM225" s="1311"/>
      <c r="RQN225" s="1311"/>
      <c r="RQO225" s="1311"/>
      <c r="RQP225" s="1311"/>
      <c r="RQQ225" s="1311"/>
      <c r="RQR225" s="1311"/>
      <c r="RQS225" s="1311"/>
      <c r="RQT225" s="1311"/>
      <c r="RQU225" s="1311"/>
      <c r="RQV225" s="1311"/>
      <c r="RQW225" s="1311"/>
      <c r="RQX225" s="1311"/>
      <c r="RQY225" s="1311"/>
      <c r="RQZ225" s="1311"/>
      <c r="RRA225" s="1311"/>
      <c r="RRB225" s="1311"/>
      <c r="RRC225" s="1311"/>
      <c r="RRD225" s="1311"/>
      <c r="RRE225" s="1311"/>
      <c r="RRF225" s="1311"/>
      <c r="RRG225" s="1311"/>
      <c r="RRH225" s="1311"/>
      <c r="RRI225" s="1311"/>
      <c r="RRJ225" s="1311"/>
      <c r="RRK225" s="1311"/>
      <c r="RRL225" s="1311"/>
      <c r="RRM225" s="1311"/>
      <c r="RRN225" s="1311"/>
      <c r="RRO225" s="1311"/>
      <c r="RRP225" s="1311"/>
      <c r="RRQ225" s="1311"/>
      <c r="RRR225" s="1311"/>
      <c r="RRS225" s="1311"/>
      <c r="RRT225" s="1311"/>
      <c r="RRU225" s="1311"/>
      <c r="RRV225" s="1311"/>
      <c r="RRW225" s="1311"/>
      <c r="RRX225" s="1311"/>
      <c r="RRY225" s="1311"/>
      <c r="RRZ225" s="1311"/>
      <c r="RSA225" s="1311"/>
      <c r="RSB225" s="1311"/>
      <c r="RSC225" s="1311"/>
      <c r="RSD225" s="1311"/>
      <c r="RSE225" s="1311"/>
      <c r="RSF225" s="1311"/>
      <c r="RSG225" s="1311"/>
      <c r="RSH225" s="1311"/>
      <c r="RSI225" s="1311"/>
      <c r="RSJ225" s="1311"/>
      <c r="RSK225" s="1311"/>
      <c r="RSL225" s="1311"/>
      <c r="RSM225" s="1311"/>
      <c r="RSN225" s="1311"/>
      <c r="RSO225" s="1311"/>
      <c r="RSP225" s="1311"/>
      <c r="RSQ225" s="1311"/>
      <c r="RSR225" s="1311"/>
      <c r="RSS225" s="1311"/>
      <c r="RST225" s="1311"/>
      <c r="RSU225" s="1311"/>
      <c r="RSV225" s="1311"/>
      <c r="RSW225" s="1311"/>
      <c r="RSX225" s="1311"/>
      <c r="RSY225" s="1311"/>
      <c r="RSZ225" s="1311"/>
      <c r="RTA225" s="1311"/>
      <c r="RTB225" s="1311"/>
      <c r="RTC225" s="1311"/>
      <c r="RTD225" s="1311"/>
      <c r="RTE225" s="1311"/>
      <c r="RTF225" s="1311"/>
      <c r="RTG225" s="1311"/>
      <c r="RTH225" s="1311"/>
      <c r="RTI225" s="1311"/>
      <c r="RTJ225" s="1311"/>
      <c r="RTK225" s="1311"/>
      <c r="RTL225" s="1311"/>
      <c r="RTM225" s="1311"/>
      <c r="RTN225" s="1311"/>
      <c r="RTO225" s="1311"/>
      <c r="RTP225" s="1311"/>
      <c r="RTQ225" s="1311"/>
      <c r="RTR225" s="1311"/>
      <c r="RTS225" s="1311"/>
      <c r="RTT225" s="1311"/>
      <c r="RTU225" s="1311"/>
      <c r="RTV225" s="1311"/>
      <c r="RTW225" s="1311"/>
      <c r="RTX225" s="1311"/>
      <c r="RTY225" s="1311"/>
      <c r="RTZ225" s="1311"/>
      <c r="RUA225" s="1311"/>
      <c r="RUB225" s="1311"/>
      <c r="RUC225" s="1311"/>
      <c r="RUD225" s="1311"/>
      <c r="RUE225" s="1311"/>
      <c r="RUF225" s="1311"/>
      <c r="RUG225" s="1311"/>
      <c r="RUH225" s="1311"/>
      <c r="RUI225" s="1311"/>
      <c r="RUJ225" s="1311"/>
      <c r="RUK225" s="1311"/>
      <c r="RUL225" s="1311"/>
      <c r="RUM225" s="1311"/>
      <c r="RUN225" s="1311"/>
      <c r="RUO225" s="1311"/>
      <c r="RUP225" s="1311"/>
      <c r="RUQ225" s="1311"/>
      <c r="RUR225" s="1311"/>
      <c r="RUS225" s="1311"/>
      <c r="RUT225" s="1311"/>
      <c r="RUU225" s="1311"/>
      <c r="RUV225" s="1311"/>
      <c r="RUW225" s="1311"/>
      <c r="RUX225" s="1311"/>
      <c r="RUY225" s="1311"/>
      <c r="RUZ225" s="1311"/>
      <c r="RVA225" s="1311"/>
      <c r="RVB225" s="1311"/>
      <c r="RVC225" s="1311"/>
      <c r="RVD225" s="1311"/>
      <c r="RVE225" s="1311"/>
      <c r="RVF225" s="1311"/>
      <c r="RVG225" s="1311"/>
      <c r="RVH225" s="1311"/>
      <c r="RVI225" s="1311"/>
      <c r="RVJ225" s="1311"/>
      <c r="RVK225" s="1311"/>
      <c r="RVL225" s="1311"/>
      <c r="RVM225" s="1311"/>
      <c r="RVN225" s="1311"/>
      <c r="RVO225" s="1311"/>
      <c r="RVP225" s="1311"/>
      <c r="RVQ225" s="1311"/>
      <c r="RVR225" s="1311"/>
      <c r="RVS225" s="1311"/>
      <c r="RVT225" s="1311"/>
      <c r="RVU225" s="1311"/>
      <c r="RVV225" s="1311"/>
      <c r="RVW225" s="1311"/>
      <c r="RVX225" s="1311"/>
      <c r="RVY225" s="1311"/>
      <c r="RVZ225" s="1311"/>
      <c r="RWA225" s="1311"/>
      <c r="RWB225" s="1311"/>
      <c r="RWC225" s="1311"/>
      <c r="RWD225" s="1311"/>
      <c r="RWE225" s="1311"/>
      <c r="RWF225" s="1311"/>
      <c r="RWG225" s="1311"/>
      <c r="RWH225" s="1311"/>
      <c r="RWI225" s="1311"/>
      <c r="RWJ225" s="1311"/>
      <c r="RWK225" s="1311"/>
      <c r="RWL225" s="1311"/>
      <c r="RWM225" s="1311"/>
      <c r="RWN225" s="1311"/>
      <c r="RWO225" s="1311"/>
      <c r="RWP225" s="1311"/>
      <c r="RWQ225" s="1311"/>
      <c r="RWR225" s="1311"/>
      <c r="RWS225" s="1311"/>
      <c r="RWT225" s="1311"/>
      <c r="RWU225" s="1311"/>
      <c r="RWV225" s="1311"/>
      <c r="RWW225" s="1311"/>
      <c r="RWX225" s="1311"/>
      <c r="RWY225" s="1311"/>
      <c r="RWZ225" s="1311"/>
      <c r="RXA225" s="1311"/>
      <c r="RXB225" s="1311"/>
      <c r="RXC225" s="1311"/>
      <c r="RXD225" s="1311"/>
      <c r="RXE225" s="1311"/>
      <c r="RXF225" s="1311"/>
      <c r="RXG225" s="1311"/>
      <c r="RXH225" s="1311"/>
      <c r="RXI225" s="1311"/>
      <c r="RXJ225" s="1311"/>
      <c r="RXK225" s="1311"/>
      <c r="RXL225" s="1311"/>
      <c r="RXM225" s="1311"/>
      <c r="RXN225" s="1311"/>
      <c r="RXO225" s="1311"/>
      <c r="RXP225" s="1311"/>
      <c r="RXQ225" s="1311"/>
      <c r="RXR225" s="1311"/>
      <c r="RXS225" s="1311"/>
      <c r="RXT225" s="1311"/>
      <c r="RXU225" s="1311"/>
      <c r="RXV225" s="1311"/>
      <c r="RXW225" s="1311"/>
      <c r="RXX225" s="1311"/>
      <c r="RXY225" s="1311"/>
      <c r="RXZ225" s="1311"/>
      <c r="RYA225" s="1311"/>
      <c r="RYB225" s="1311"/>
      <c r="RYC225" s="1311"/>
      <c r="RYD225" s="1311"/>
      <c r="RYE225" s="1311"/>
      <c r="RYF225" s="1311"/>
      <c r="RYG225" s="1311"/>
      <c r="RYH225" s="1311"/>
      <c r="RYI225" s="1311"/>
      <c r="RYJ225" s="1311"/>
      <c r="RYK225" s="1311"/>
      <c r="RYL225" s="1311"/>
      <c r="RYM225" s="1311"/>
      <c r="RYN225" s="1311"/>
      <c r="RYO225" s="1311"/>
      <c r="RYP225" s="1311"/>
      <c r="RYQ225" s="1311"/>
      <c r="RYR225" s="1311"/>
      <c r="RYS225" s="1311"/>
      <c r="RYT225" s="1311"/>
      <c r="RYU225" s="1311"/>
      <c r="RYV225" s="1311"/>
      <c r="RYW225" s="1311"/>
      <c r="RYX225" s="1311"/>
      <c r="RYY225" s="1311"/>
      <c r="RYZ225" s="1311"/>
      <c r="RZA225" s="1311"/>
      <c r="RZB225" s="1311"/>
      <c r="RZC225" s="1311"/>
      <c r="RZD225" s="1311"/>
      <c r="RZE225" s="1311"/>
      <c r="RZF225" s="1311"/>
      <c r="RZG225" s="1311"/>
      <c r="RZH225" s="1311"/>
      <c r="RZI225" s="1311"/>
      <c r="RZJ225" s="1311"/>
      <c r="RZK225" s="1311"/>
      <c r="RZL225" s="1311"/>
      <c r="RZM225" s="1311"/>
      <c r="RZN225" s="1311"/>
      <c r="RZO225" s="1311"/>
      <c r="RZP225" s="1311"/>
      <c r="RZQ225" s="1311"/>
      <c r="RZR225" s="1311"/>
      <c r="RZS225" s="1311"/>
      <c r="RZT225" s="1311"/>
      <c r="RZU225" s="1311"/>
      <c r="RZV225" s="1311"/>
      <c r="RZW225" s="1311"/>
      <c r="RZX225" s="1311"/>
      <c r="RZY225" s="1311"/>
      <c r="RZZ225" s="1311"/>
      <c r="SAA225" s="1311"/>
      <c r="SAB225" s="1311"/>
      <c r="SAC225" s="1311"/>
      <c r="SAD225" s="1311"/>
      <c r="SAE225" s="1311"/>
      <c r="SAF225" s="1311"/>
      <c r="SAG225" s="1311"/>
      <c r="SAH225" s="1311"/>
      <c r="SAI225" s="1311"/>
      <c r="SAJ225" s="1311"/>
      <c r="SAK225" s="1311"/>
      <c r="SAL225" s="1311"/>
      <c r="SAM225" s="1311"/>
      <c r="SAN225" s="1311"/>
      <c r="SAO225" s="1311"/>
      <c r="SAP225" s="1311"/>
      <c r="SAQ225" s="1311"/>
      <c r="SAR225" s="1311"/>
      <c r="SAS225" s="1311"/>
      <c r="SAT225" s="1311"/>
      <c r="SAU225" s="1311"/>
      <c r="SAV225" s="1311"/>
      <c r="SAW225" s="1311"/>
      <c r="SAX225" s="1311"/>
      <c r="SAY225" s="1311"/>
      <c r="SAZ225" s="1311"/>
      <c r="SBA225" s="1311"/>
      <c r="SBB225" s="1311"/>
      <c r="SBC225" s="1311"/>
      <c r="SBD225" s="1311"/>
      <c r="SBE225" s="1311"/>
      <c r="SBF225" s="1311"/>
      <c r="SBG225" s="1311"/>
      <c r="SBH225" s="1311"/>
      <c r="SBI225" s="1311"/>
      <c r="SBJ225" s="1311"/>
      <c r="SBK225" s="1311"/>
      <c r="SBL225" s="1311"/>
      <c r="SBM225" s="1311"/>
      <c r="SBN225" s="1311"/>
      <c r="SBO225" s="1311"/>
      <c r="SBP225" s="1311"/>
      <c r="SBQ225" s="1311"/>
      <c r="SBR225" s="1311"/>
      <c r="SBS225" s="1311"/>
      <c r="SBT225" s="1311"/>
      <c r="SBU225" s="1311"/>
      <c r="SBV225" s="1311"/>
      <c r="SBW225" s="1311"/>
      <c r="SBX225" s="1311"/>
      <c r="SBY225" s="1311"/>
      <c r="SBZ225" s="1311"/>
      <c r="SCA225" s="1311"/>
      <c r="SCB225" s="1311"/>
      <c r="SCC225" s="1311"/>
      <c r="SCD225" s="1311"/>
      <c r="SCE225" s="1311"/>
      <c r="SCF225" s="1311"/>
      <c r="SCG225" s="1311"/>
      <c r="SCH225" s="1311"/>
      <c r="SCI225" s="1311"/>
      <c r="SCJ225" s="1311"/>
      <c r="SCK225" s="1311"/>
      <c r="SCL225" s="1311"/>
      <c r="SCM225" s="1311"/>
      <c r="SCN225" s="1311"/>
      <c r="SCO225" s="1311"/>
      <c r="SCP225" s="1311"/>
      <c r="SCQ225" s="1311"/>
      <c r="SCR225" s="1311"/>
      <c r="SCS225" s="1311"/>
      <c r="SCT225" s="1311"/>
      <c r="SCU225" s="1311"/>
      <c r="SCV225" s="1311"/>
      <c r="SCW225" s="1311"/>
      <c r="SCX225" s="1311"/>
      <c r="SCY225" s="1311"/>
      <c r="SCZ225" s="1311"/>
      <c r="SDA225" s="1311"/>
      <c r="SDB225" s="1311"/>
      <c r="SDC225" s="1311"/>
      <c r="SDD225" s="1311"/>
      <c r="SDE225" s="1311"/>
      <c r="SDF225" s="1311"/>
      <c r="SDG225" s="1311"/>
      <c r="SDH225" s="1311"/>
      <c r="SDI225" s="1311"/>
      <c r="SDJ225" s="1311"/>
      <c r="SDK225" s="1311"/>
      <c r="SDL225" s="1311"/>
      <c r="SDM225" s="1311"/>
      <c r="SDN225" s="1311"/>
      <c r="SDO225" s="1311"/>
      <c r="SDP225" s="1311"/>
      <c r="SDQ225" s="1311"/>
      <c r="SDR225" s="1311"/>
      <c r="SDS225" s="1311"/>
      <c r="SDT225" s="1311"/>
      <c r="SDU225" s="1311"/>
      <c r="SDV225" s="1311"/>
      <c r="SDW225" s="1311"/>
      <c r="SDX225" s="1311"/>
      <c r="SDY225" s="1311"/>
      <c r="SDZ225" s="1311"/>
      <c r="SEA225" s="1311"/>
      <c r="SEB225" s="1311"/>
      <c r="SEC225" s="1311"/>
      <c r="SED225" s="1311"/>
      <c r="SEE225" s="1311"/>
      <c r="SEF225" s="1311"/>
      <c r="SEG225" s="1311"/>
      <c r="SEH225" s="1311"/>
      <c r="SEI225" s="1311"/>
      <c r="SEJ225" s="1311"/>
      <c r="SEK225" s="1311"/>
      <c r="SEL225" s="1311"/>
      <c r="SEM225" s="1311"/>
      <c r="SEN225" s="1311"/>
      <c r="SEO225" s="1311"/>
      <c r="SEP225" s="1311"/>
      <c r="SEQ225" s="1311"/>
      <c r="SER225" s="1311"/>
      <c r="SES225" s="1311"/>
      <c r="SET225" s="1311"/>
      <c r="SEU225" s="1311"/>
      <c r="SEV225" s="1311"/>
      <c r="SEW225" s="1311"/>
      <c r="SEX225" s="1311"/>
      <c r="SEY225" s="1311"/>
      <c r="SEZ225" s="1311"/>
      <c r="SFA225" s="1311"/>
      <c r="SFB225" s="1311"/>
      <c r="SFC225" s="1311"/>
      <c r="SFD225" s="1311"/>
      <c r="SFE225" s="1311"/>
      <c r="SFF225" s="1311"/>
      <c r="SFG225" s="1311"/>
      <c r="SFH225" s="1311"/>
      <c r="SFI225" s="1311"/>
      <c r="SFJ225" s="1311"/>
      <c r="SFK225" s="1311"/>
      <c r="SFL225" s="1311"/>
      <c r="SFM225" s="1311"/>
      <c r="SFN225" s="1311"/>
      <c r="SFO225" s="1311"/>
      <c r="SFP225" s="1311"/>
      <c r="SFQ225" s="1311"/>
      <c r="SFR225" s="1311"/>
      <c r="SFS225" s="1311"/>
      <c r="SFT225" s="1311"/>
      <c r="SFU225" s="1311"/>
      <c r="SFV225" s="1311"/>
      <c r="SFW225" s="1311"/>
      <c r="SFX225" s="1311"/>
      <c r="SFY225" s="1311"/>
      <c r="SFZ225" s="1311"/>
      <c r="SGA225" s="1311"/>
      <c r="SGB225" s="1311"/>
      <c r="SGC225" s="1311"/>
      <c r="SGD225" s="1311"/>
      <c r="SGE225" s="1311"/>
      <c r="SGF225" s="1311"/>
      <c r="SGG225" s="1311"/>
      <c r="SGH225" s="1311"/>
      <c r="SGI225" s="1311"/>
      <c r="SGJ225" s="1311"/>
      <c r="SGK225" s="1311"/>
      <c r="SGL225" s="1311"/>
      <c r="SGM225" s="1311"/>
      <c r="SGN225" s="1311"/>
      <c r="SGO225" s="1311"/>
      <c r="SGP225" s="1311"/>
      <c r="SGQ225" s="1311"/>
      <c r="SGR225" s="1311"/>
      <c r="SGS225" s="1311"/>
      <c r="SGT225" s="1311"/>
      <c r="SGU225" s="1311"/>
      <c r="SGV225" s="1311"/>
      <c r="SGW225" s="1311"/>
      <c r="SGX225" s="1311"/>
      <c r="SGY225" s="1311"/>
      <c r="SGZ225" s="1311"/>
      <c r="SHA225" s="1311"/>
      <c r="SHB225" s="1311"/>
      <c r="SHC225" s="1311"/>
      <c r="SHD225" s="1311"/>
      <c r="SHE225" s="1311"/>
      <c r="SHF225" s="1311"/>
      <c r="SHG225" s="1311"/>
      <c r="SHH225" s="1311"/>
      <c r="SHI225" s="1311"/>
      <c r="SHJ225" s="1311"/>
      <c r="SHK225" s="1311"/>
      <c r="SHL225" s="1311"/>
      <c r="SHM225" s="1311"/>
      <c r="SHN225" s="1311"/>
      <c r="SHO225" s="1311"/>
      <c r="SHP225" s="1311"/>
      <c r="SHQ225" s="1311"/>
      <c r="SHR225" s="1311"/>
      <c r="SHS225" s="1311"/>
      <c r="SHT225" s="1311"/>
      <c r="SHU225" s="1311"/>
      <c r="SHV225" s="1311"/>
      <c r="SHW225" s="1311"/>
      <c r="SHX225" s="1311"/>
      <c r="SHY225" s="1311"/>
      <c r="SHZ225" s="1311"/>
      <c r="SIA225" s="1311"/>
      <c r="SIB225" s="1311"/>
      <c r="SIC225" s="1311"/>
      <c r="SID225" s="1311"/>
      <c r="SIE225" s="1311"/>
      <c r="SIF225" s="1311"/>
      <c r="SIG225" s="1311"/>
      <c r="SIH225" s="1311"/>
      <c r="SII225" s="1311"/>
      <c r="SIJ225" s="1311"/>
      <c r="SIK225" s="1311"/>
      <c r="SIL225" s="1311"/>
      <c r="SIM225" s="1311"/>
      <c r="SIN225" s="1311"/>
      <c r="SIO225" s="1311"/>
      <c r="SIP225" s="1311"/>
      <c r="SIQ225" s="1311"/>
      <c r="SIR225" s="1311"/>
      <c r="SIS225" s="1311"/>
      <c r="SIT225" s="1311"/>
      <c r="SIU225" s="1311"/>
      <c r="SIV225" s="1311"/>
      <c r="SIW225" s="1311"/>
      <c r="SIX225" s="1311"/>
      <c r="SIY225" s="1311"/>
      <c r="SIZ225" s="1311"/>
      <c r="SJA225" s="1311"/>
      <c r="SJB225" s="1311"/>
      <c r="SJC225" s="1311"/>
      <c r="SJD225" s="1311"/>
      <c r="SJE225" s="1311"/>
      <c r="SJF225" s="1311"/>
      <c r="SJG225" s="1311"/>
      <c r="SJH225" s="1311"/>
      <c r="SJI225" s="1311"/>
      <c r="SJJ225" s="1311"/>
      <c r="SJK225" s="1311"/>
      <c r="SJL225" s="1311"/>
      <c r="SJM225" s="1311"/>
      <c r="SJN225" s="1311"/>
      <c r="SJO225" s="1311"/>
      <c r="SJP225" s="1311"/>
      <c r="SJQ225" s="1311"/>
      <c r="SJR225" s="1311"/>
      <c r="SJS225" s="1311"/>
      <c r="SJT225" s="1311"/>
      <c r="SJU225" s="1311"/>
      <c r="SJV225" s="1311"/>
      <c r="SJW225" s="1311"/>
      <c r="SJX225" s="1311"/>
      <c r="SJY225" s="1311"/>
      <c r="SJZ225" s="1311"/>
      <c r="SKA225" s="1311"/>
      <c r="SKB225" s="1311"/>
      <c r="SKC225" s="1311"/>
      <c r="SKD225" s="1311"/>
      <c r="SKE225" s="1311"/>
      <c r="SKF225" s="1311"/>
      <c r="SKG225" s="1311"/>
      <c r="SKH225" s="1311"/>
      <c r="SKI225" s="1311"/>
      <c r="SKJ225" s="1311"/>
      <c r="SKK225" s="1311"/>
      <c r="SKL225" s="1311"/>
      <c r="SKM225" s="1311"/>
      <c r="SKN225" s="1311"/>
      <c r="SKO225" s="1311"/>
      <c r="SKP225" s="1311"/>
      <c r="SKQ225" s="1311"/>
      <c r="SKR225" s="1311"/>
      <c r="SKS225" s="1311"/>
      <c r="SKT225" s="1311"/>
      <c r="SKU225" s="1311"/>
      <c r="SKV225" s="1311"/>
      <c r="SKW225" s="1311"/>
      <c r="SKX225" s="1311"/>
      <c r="SKY225" s="1311"/>
      <c r="SKZ225" s="1311"/>
      <c r="SLA225" s="1311"/>
      <c r="SLB225" s="1311"/>
      <c r="SLC225" s="1311"/>
      <c r="SLD225" s="1311"/>
      <c r="SLE225" s="1311"/>
      <c r="SLF225" s="1311"/>
      <c r="SLG225" s="1311"/>
      <c r="SLH225" s="1311"/>
      <c r="SLI225" s="1311"/>
      <c r="SLJ225" s="1311"/>
      <c r="SLK225" s="1311"/>
      <c r="SLL225" s="1311"/>
      <c r="SLM225" s="1311"/>
      <c r="SLN225" s="1311"/>
      <c r="SLO225" s="1311"/>
      <c r="SLP225" s="1311"/>
      <c r="SLQ225" s="1311"/>
      <c r="SLR225" s="1311"/>
      <c r="SLS225" s="1311"/>
      <c r="SLT225" s="1311"/>
      <c r="SLU225" s="1311"/>
      <c r="SLV225" s="1311"/>
      <c r="SLW225" s="1311"/>
      <c r="SLX225" s="1311"/>
      <c r="SLY225" s="1311"/>
      <c r="SLZ225" s="1311"/>
      <c r="SMA225" s="1311"/>
      <c r="SMB225" s="1311"/>
      <c r="SMC225" s="1311"/>
      <c r="SMD225" s="1311"/>
      <c r="SME225" s="1311"/>
      <c r="SMF225" s="1311"/>
      <c r="SMG225" s="1311"/>
      <c r="SMH225" s="1311"/>
      <c r="SMI225" s="1311"/>
      <c r="SMJ225" s="1311"/>
      <c r="SMK225" s="1311"/>
      <c r="SML225" s="1311"/>
      <c r="SMM225" s="1311"/>
      <c r="SMN225" s="1311"/>
      <c r="SMO225" s="1311"/>
      <c r="SMP225" s="1311"/>
      <c r="SMQ225" s="1311"/>
      <c r="SMR225" s="1311"/>
      <c r="SMS225" s="1311"/>
      <c r="SMT225" s="1311"/>
      <c r="SMU225" s="1311"/>
      <c r="SMV225" s="1311"/>
      <c r="SMW225" s="1311"/>
      <c r="SMX225" s="1311"/>
      <c r="SMY225" s="1311"/>
      <c r="SMZ225" s="1311"/>
      <c r="SNA225" s="1311"/>
      <c r="SNB225" s="1311"/>
      <c r="SNC225" s="1311"/>
      <c r="SND225" s="1311"/>
      <c r="SNE225" s="1311"/>
      <c r="SNF225" s="1311"/>
      <c r="SNG225" s="1311"/>
      <c r="SNH225" s="1311"/>
      <c r="SNI225" s="1311"/>
      <c r="SNJ225" s="1311"/>
      <c r="SNK225" s="1311"/>
      <c r="SNL225" s="1311"/>
      <c r="SNM225" s="1311"/>
      <c r="SNN225" s="1311"/>
      <c r="SNO225" s="1311"/>
      <c r="SNP225" s="1311"/>
      <c r="SNQ225" s="1311"/>
      <c r="SNR225" s="1311"/>
      <c r="SNS225" s="1311"/>
      <c r="SNT225" s="1311"/>
      <c r="SNU225" s="1311"/>
      <c r="SNV225" s="1311"/>
      <c r="SNW225" s="1311"/>
      <c r="SNX225" s="1311"/>
      <c r="SNY225" s="1311"/>
      <c r="SNZ225" s="1311"/>
      <c r="SOA225" s="1311"/>
      <c r="SOB225" s="1311"/>
      <c r="SOC225" s="1311"/>
      <c r="SOD225" s="1311"/>
      <c r="SOE225" s="1311"/>
      <c r="SOF225" s="1311"/>
      <c r="SOG225" s="1311"/>
      <c r="SOH225" s="1311"/>
      <c r="SOI225" s="1311"/>
      <c r="SOJ225" s="1311"/>
      <c r="SOK225" s="1311"/>
      <c r="SOL225" s="1311"/>
      <c r="SOM225" s="1311"/>
      <c r="SON225" s="1311"/>
      <c r="SOO225" s="1311"/>
      <c r="SOP225" s="1311"/>
      <c r="SOQ225" s="1311"/>
      <c r="SOR225" s="1311"/>
      <c r="SOS225" s="1311"/>
      <c r="SOT225" s="1311"/>
      <c r="SOU225" s="1311"/>
      <c r="SOV225" s="1311"/>
      <c r="SOW225" s="1311"/>
      <c r="SOX225" s="1311"/>
      <c r="SOY225" s="1311"/>
      <c r="SOZ225" s="1311"/>
      <c r="SPA225" s="1311"/>
      <c r="SPB225" s="1311"/>
      <c r="SPC225" s="1311"/>
      <c r="SPD225" s="1311"/>
      <c r="SPE225" s="1311"/>
      <c r="SPF225" s="1311"/>
      <c r="SPG225" s="1311"/>
      <c r="SPH225" s="1311"/>
      <c r="SPI225" s="1311"/>
      <c r="SPJ225" s="1311"/>
      <c r="SPK225" s="1311"/>
      <c r="SPL225" s="1311"/>
      <c r="SPM225" s="1311"/>
      <c r="SPN225" s="1311"/>
      <c r="SPO225" s="1311"/>
      <c r="SPP225" s="1311"/>
      <c r="SPQ225" s="1311"/>
      <c r="SPR225" s="1311"/>
      <c r="SPS225" s="1311"/>
      <c r="SPT225" s="1311"/>
      <c r="SPU225" s="1311"/>
      <c r="SPV225" s="1311"/>
      <c r="SPW225" s="1311"/>
      <c r="SPX225" s="1311"/>
      <c r="SPY225" s="1311"/>
      <c r="SPZ225" s="1311"/>
      <c r="SQA225" s="1311"/>
      <c r="SQB225" s="1311"/>
      <c r="SQC225" s="1311"/>
      <c r="SQD225" s="1311"/>
      <c r="SQE225" s="1311"/>
      <c r="SQF225" s="1311"/>
      <c r="SQG225" s="1311"/>
      <c r="SQH225" s="1311"/>
      <c r="SQI225" s="1311"/>
      <c r="SQJ225" s="1311"/>
      <c r="SQK225" s="1311"/>
      <c r="SQL225" s="1311"/>
      <c r="SQM225" s="1311"/>
      <c r="SQN225" s="1311"/>
      <c r="SQO225" s="1311"/>
      <c r="SQP225" s="1311"/>
      <c r="SQQ225" s="1311"/>
      <c r="SQR225" s="1311"/>
      <c r="SQS225" s="1311"/>
      <c r="SQT225" s="1311"/>
      <c r="SQU225" s="1311"/>
      <c r="SQV225" s="1311"/>
      <c r="SQW225" s="1311"/>
      <c r="SQX225" s="1311"/>
      <c r="SQY225" s="1311"/>
      <c r="SQZ225" s="1311"/>
      <c r="SRA225" s="1311"/>
      <c r="SRB225" s="1311"/>
      <c r="SRC225" s="1311"/>
      <c r="SRD225" s="1311"/>
      <c r="SRE225" s="1311"/>
      <c r="SRF225" s="1311"/>
      <c r="SRG225" s="1311"/>
      <c r="SRH225" s="1311"/>
      <c r="SRI225" s="1311"/>
      <c r="SRJ225" s="1311"/>
      <c r="SRK225" s="1311"/>
      <c r="SRL225" s="1311"/>
      <c r="SRM225" s="1311"/>
      <c r="SRN225" s="1311"/>
      <c r="SRO225" s="1311"/>
      <c r="SRP225" s="1311"/>
      <c r="SRQ225" s="1311"/>
      <c r="SRR225" s="1311"/>
      <c r="SRS225" s="1311"/>
      <c r="SRT225" s="1311"/>
      <c r="SRU225" s="1311"/>
      <c r="SRV225" s="1311"/>
      <c r="SRW225" s="1311"/>
      <c r="SRX225" s="1311"/>
      <c r="SRY225" s="1311"/>
      <c r="SRZ225" s="1311"/>
      <c r="SSA225" s="1311"/>
      <c r="SSB225" s="1311"/>
      <c r="SSC225" s="1311"/>
      <c r="SSD225" s="1311"/>
      <c r="SSE225" s="1311"/>
      <c r="SSF225" s="1311"/>
      <c r="SSG225" s="1311"/>
      <c r="SSH225" s="1311"/>
      <c r="SSI225" s="1311"/>
      <c r="SSJ225" s="1311"/>
      <c r="SSK225" s="1311"/>
      <c r="SSL225" s="1311"/>
      <c r="SSM225" s="1311"/>
      <c r="SSN225" s="1311"/>
      <c r="SSO225" s="1311"/>
      <c r="SSP225" s="1311"/>
      <c r="SSQ225" s="1311"/>
      <c r="SSR225" s="1311"/>
      <c r="SSS225" s="1311"/>
      <c r="SST225" s="1311"/>
      <c r="SSU225" s="1311"/>
      <c r="SSV225" s="1311"/>
      <c r="SSW225" s="1311"/>
      <c r="SSX225" s="1311"/>
      <c r="SSY225" s="1311"/>
      <c r="SSZ225" s="1311"/>
      <c r="STA225" s="1311"/>
      <c r="STB225" s="1311"/>
      <c r="STC225" s="1311"/>
      <c r="STD225" s="1311"/>
      <c r="STE225" s="1311"/>
      <c r="STF225" s="1311"/>
      <c r="STG225" s="1311"/>
      <c r="STH225" s="1311"/>
      <c r="STI225" s="1311"/>
      <c r="STJ225" s="1311"/>
      <c r="STK225" s="1311"/>
      <c r="STL225" s="1311"/>
      <c r="STM225" s="1311"/>
      <c r="STN225" s="1311"/>
      <c r="STO225" s="1311"/>
      <c r="STP225" s="1311"/>
      <c r="STQ225" s="1311"/>
      <c r="STR225" s="1311"/>
      <c r="STS225" s="1311"/>
      <c r="STT225" s="1311"/>
      <c r="STU225" s="1311"/>
      <c r="STV225" s="1311"/>
      <c r="STW225" s="1311"/>
      <c r="STX225" s="1311"/>
      <c r="STY225" s="1311"/>
      <c r="STZ225" s="1311"/>
      <c r="SUA225" s="1311"/>
      <c r="SUB225" s="1311"/>
      <c r="SUC225" s="1311"/>
      <c r="SUD225" s="1311"/>
      <c r="SUE225" s="1311"/>
      <c r="SUF225" s="1311"/>
      <c r="SUG225" s="1311"/>
      <c r="SUH225" s="1311"/>
      <c r="SUI225" s="1311"/>
      <c r="SUJ225" s="1311"/>
      <c r="SUK225" s="1311"/>
      <c r="SUL225" s="1311"/>
      <c r="SUM225" s="1311"/>
      <c r="SUN225" s="1311"/>
      <c r="SUO225" s="1311"/>
      <c r="SUP225" s="1311"/>
      <c r="SUQ225" s="1311"/>
      <c r="SUR225" s="1311"/>
      <c r="SUS225" s="1311"/>
      <c r="SUT225" s="1311"/>
      <c r="SUU225" s="1311"/>
      <c r="SUV225" s="1311"/>
      <c r="SUW225" s="1311"/>
      <c r="SUX225" s="1311"/>
      <c r="SUY225" s="1311"/>
      <c r="SUZ225" s="1311"/>
      <c r="SVA225" s="1311"/>
      <c r="SVB225" s="1311"/>
      <c r="SVC225" s="1311"/>
      <c r="SVD225" s="1311"/>
      <c r="SVE225" s="1311"/>
      <c r="SVF225" s="1311"/>
      <c r="SVG225" s="1311"/>
      <c r="SVH225" s="1311"/>
      <c r="SVI225" s="1311"/>
      <c r="SVJ225" s="1311"/>
      <c r="SVK225" s="1311"/>
      <c r="SVL225" s="1311"/>
      <c r="SVM225" s="1311"/>
      <c r="SVN225" s="1311"/>
      <c r="SVO225" s="1311"/>
      <c r="SVP225" s="1311"/>
      <c r="SVQ225" s="1311"/>
      <c r="SVR225" s="1311"/>
      <c r="SVS225" s="1311"/>
      <c r="SVT225" s="1311"/>
      <c r="SVU225" s="1311"/>
      <c r="SVV225" s="1311"/>
      <c r="SVW225" s="1311"/>
      <c r="SVX225" s="1311"/>
      <c r="SVY225" s="1311"/>
      <c r="SVZ225" s="1311"/>
      <c r="SWA225" s="1311"/>
      <c r="SWB225" s="1311"/>
      <c r="SWC225" s="1311"/>
      <c r="SWD225" s="1311"/>
      <c r="SWE225" s="1311"/>
      <c r="SWF225" s="1311"/>
      <c r="SWG225" s="1311"/>
      <c r="SWH225" s="1311"/>
      <c r="SWI225" s="1311"/>
      <c r="SWJ225" s="1311"/>
      <c r="SWK225" s="1311"/>
      <c r="SWL225" s="1311"/>
      <c r="SWM225" s="1311"/>
      <c r="SWN225" s="1311"/>
      <c r="SWO225" s="1311"/>
      <c r="SWP225" s="1311"/>
      <c r="SWQ225" s="1311"/>
      <c r="SWR225" s="1311"/>
      <c r="SWS225" s="1311"/>
      <c r="SWT225" s="1311"/>
      <c r="SWU225" s="1311"/>
      <c r="SWV225" s="1311"/>
      <c r="SWW225" s="1311"/>
      <c r="SWX225" s="1311"/>
      <c r="SWY225" s="1311"/>
      <c r="SWZ225" s="1311"/>
      <c r="SXA225" s="1311"/>
      <c r="SXB225" s="1311"/>
      <c r="SXC225" s="1311"/>
      <c r="SXD225" s="1311"/>
      <c r="SXE225" s="1311"/>
      <c r="SXF225" s="1311"/>
      <c r="SXG225" s="1311"/>
      <c r="SXH225" s="1311"/>
      <c r="SXI225" s="1311"/>
      <c r="SXJ225" s="1311"/>
      <c r="SXK225" s="1311"/>
      <c r="SXL225" s="1311"/>
      <c r="SXM225" s="1311"/>
      <c r="SXN225" s="1311"/>
      <c r="SXO225" s="1311"/>
      <c r="SXP225" s="1311"/>
      <c r="SXQ225" s="1311"/>
      <c r="SXR225" s="1311"/>
      <c r="SXS225" s="1311"/>
      <c r="SXT225" s="1311"/>
      <c r="SXU225" s="1311"/>
      <c r="SXV225" s="1311"/>
      <c r="SXW225" s="1311"/>
      <c r="SXX225" s="1311"/>
      <c r="SXY225" s="1311"/>
      <c r="SXZ225" s="1311"/>
      <c r="SYA225" s="1311"/>
      <c r="SYB225" s="1311"/>
      <c r="SYC225" s="1311"/>
      <c r="SYD225" s="1311"/>
      <c r="SYE225" s="1311"/>
      <c r="SYF225" s="1311"/>
      <c r="SYG225" s="1311"/>
      <c r="SYH225" s="1311"/>
      <c r="SYI225" s="1311"/>
      <c r="SYJ225" s="1311"/>
      <c r="SYK225" s="1311"/>
      <c r="SYL225" s="1311"/>
      <c r="SYM225" s="1311"/>
      <c r="SYN225" s="1311"/>
      <c r="SYO225" s="1311"/>
      <c r="SYP225" s="1311"/>
      <c r="SYQ225" s="1311"/>
      <c r="SYR225" s="1311"/>
      <c r="SYS225" s="1311"/>
      <c r="SYT225" s="1311"/>
      <c r="SYU225" s="1311"/>
      <c r="SYV225" s="1311"/>
      <c r="SYW225" s="1311"/>
      <c r="SYX225" s="1311"/>
      <c r="SYY225" s="1311"/>
      <c r="SYZ225" s="1311"/>
      <c r="SZA225" s="1311"/>
      <c r="SZB225" s="1311"/>
      <c r="SZC225" s="1311"/>
      <c r="SZD225" s="1311"/>
      <c r="SZE225" s="1311"/>
      <c r="SZF225" s="1311"/>
      <c r="SZG225" s="1311"/>
      <c r="SZH225" s="1311"/>
      <c r="SZI225" s="1311"/>
      <c r="SZJ225" s="1311"/>
      <c r="SZK225" s="1311"/>
      <c r="SZL225" s="1311"/>
      <c r="SZM225" s="1311"/>
      <c r="SZN225" s="1311"/>
      <c r="SZO225" s="1311"/>
      <c r="SZP225" s="1311"/>
      <c r="SZQ225" s="1311"/>
      <c r="SZR225" s="1311"/>
      <c r="SZS225" s="1311"/>
      <c r="SZT225" s="1311"/>
      <c r="SZU225" s="1311"/>
      <c r="SZV225" s="1311"/>
      <c r="SZW225" s="1311"/>
      <c r="SZX225" s="1311"/>
      <c r="SZY225" s="1311"/>
      <c r="SZZ225" s="1311"/>
      <c r="TAA225" s="1311"/>
      <c r="TAB225" s="1311"/>
      <c r="TAC225" s="1311"/>
      <c r="TAD225" s="1311"/>
      <c r="TAE225" s="1311"/>
      <c r="TAF225" s="1311"/>
      <c r="TAG225" s="1311"/>
      <c r="TAH225" s="1311"/>
      <c r="TAI225" s="1311"/>
      <c r="TAJ225" s="1311"/>
      <c r="TAK225" s="1311"/>
      <c r="TAL225" s="1311"/>
      <c r="TAM225" s="1311"/>
      <c r="TAN225" s="1311"/>
      <c r="TAO225" s="1311"/>
      <c r="TAP225" s="1311"/>
      <c r="TAQ225" s="1311"/>
      <c r="TAR225" s="1311"/>
      <c r="TAS225" s="1311"/>
      <c r="TAT225" s="1311"/>
      <c r="TAU225" s="1311"/>
      <c r="TAV225" s="1311"/>
      <c r="TAW225" s="1311"/>
      <c r="TAX225" s="1311"/>
      <c r="TAY225" s="1311"/>
      <c r="TAZ225" s="1311"/>
      <c r="TBA225" s="1311"/>
      <c r="TBB225" s="1311"/>
      <c r="TBC225" s="1311"/>
      <c r="TBD225" s="1311"/>
      <c r="TBE225" s="1311"/>
      <c r="TBF225" s="1311"/>
      <c r="TBG225" s="1311"/>
      <c r="TBH225" s="1311"/>
      <c r="TBI225" s="1311"/>
      <c r="TBJ225" s="1311"/>
      <c r="TBK225" s="1311"/>
      <c r="TBL225" s="1311"/>
      <c r="TBM225" s="1311"/>
      <c r="TBN225" s="1311"/>
      <c r="TBO225" s="1311"/>
      <c r="TBP225" s="1311"/>
      <c r="TBQ225" s="1311"/>
      <c r="TBR225" s="1311"/>
      <c r="TBS225" s="1311"/>
      <c r="TBT225" s="1311"/>
      <c r="TBU225" s="1311"/>
      <c r="TBV225" s="1311"/>
      <c r="TBW225" s="1311"/>
      <c r="TBX225" s="1311"/>
      <c r="TBY225" s="1311"/>
      <c r="TBZ225" s="1311"/>
      <c r="TCA225" s="1311"/>
      <c r="TCB225" s="1311"/>
      <c r="TCC225" s="1311"/>
      <c r="TCD225" s="1311"/>
      <c r="TCE225" s="1311"/>
      <c r="TCF225" s="1311"/>
      <c r="TCG225" s="1311"/>
      <c r="TCH225" s="1311"/>
      <c r="TCI225" s="1311"/>
      <c r="TCJ225" s="1311"/>
      <c r="TCK225" s="1311"/>
      <c r="TCL225" s="1311"/>
      <c r="TCM225" s="1311"/>
      <c r="TCN225" s="1311"/>
      <c r="TCO225" s="1311"/>
      <c r="TCP225" s="1311"/>
      <c r="TCQ225" s="1311"/>
      <c r="TCR225" s="1311"/>
      <c r="TCS225" s="1311"/>
      <c r="TCT225" s="1311"/>
      <c r="TCU225" s="1311"/>
      <c r="TCV225" s="1311"/>
      <c r="TCW225" s="1311"/>
      <c r="TCX225" s="1311"/>
      <c r="TCY225" s="1311"/>
      <c r="TCZ225" s="1311"/>
      <c r="TDA225" s="1311"/>
      <c r="TDB225" s="1311"/>
      <c r="TDC225" s="1311"/>
      <c r="TDD225" s="1311"/>
      <c r="TDE225" s="1311"/>
      <c r="TDF225" s="1311"/>
      <c r="TDG225" s="1311"/>
      <c r="TDH225" s="1311"/>
      <c r="TDI225" s="1311"/>
      <c r="TDJ225" s="1311"/>
      <c r="TDK225" s="1311"/>
      <c r="TDL225" s="1311"/>
      <c r="TDM225" s="1311"/>
      <c r="TDN225" s="1311"/>
      <c r="TDO225" s="1311"/>
      <c r="TDP225" s="1311"/>
      <c r="TDQ225" s="1311"/>
      <c r="TDR225" s="1311"/>
      <c r="TDS225" s="1311"/>
      <c r="TDT225" s="1311"/>
      <c r="TDU225" s="1311"/>
      <c r="TDV225" s="1311"/>
      <c r="TDW225" s="1311"/>
      <c r="TDX225" s="1311"/>
      <c r="TDY225" s="1311"/>
      <c r="TDZ225" s="1311"/>
      <c r="TEA225" s="1311"/>
      <c r="TEB225" s="1311"/>
      <c r="TEC225" s="1311"/>
      <c r="TED225" s="1311"/>
      <c r="TEE225" s="1311"/>
      <c r="TEF225" s="1311"/>
      <c r="TEG225" s="1311"/>
      <c r="TEH225" s="1311"/>
      <c r="TEI225" s="1311"/>
      <c r="TEJ225" s="1311"/>
      <c r="TEK225" s="1311"/>
      <c r="TEL225" s="1311"/>
      <c r="TEM225" s="1311"/>
      <c r="TEN225" s="1311"/>
      <c r="TEO225" s="1311"/>
      <c r="TEP225" s="1311"/>
      <c r="TEQ225" s="1311"/>
      <c r="TER225" s="1311"/>
      <c r="TES225" s="1311"/>
      <c r="TET225" s="1311"/>
      <c r="TEU225" s="1311"/>
      <c r="TEV225" s="1311"/>
      <c r="TEW225" s="1311"/>
      <c r="TEX225" s="1311"/>
      <c r="TEY225" s="1311"/>
      <c r="TEZ225" s="1311"/>
      <c r="TFA225" s="1311"/>
      <c r="TFB225" s="1311"/>
      <c r="TFC225" s="1311"/>
      <c r="TFD225" s="1311"/>
      <c r="TFE225" s="1311"/>
      <c r="TFF225" s="1311"/>
      <c r="TFG225" s="1311"/>
      <c r="TFH225" s="1311"/>
      <c r="TFI225" s="1311"/>
      <c r="TFJ225" s="1311"/>
      <c r="TFK225" s="1311"/>
      <c r="TFL225" s="1311"/>
      <c r="TFM225" s="1311"/>
      <c r="TFN225" s="1311"/>
      <c r="TFO225" s="1311"/>
      <c r="TFP225" s="1311"/>
      <c r="TFQ225" s="1311"/>
      <c r="TFR225" s="1311"/>
      <c r="TFS225" s="1311"/>
      <c r="TFT225" s="1311"/>
      <c r="TFU225" s="1311"/>
      <c r="TFV225" s="1311"/>
      <c r="TFW225" s="1311"/>
      <c r="TFX225" s="1311"/>
      <c r="TFY225" s="1311"/>
      <c r="TFZ225" s="1311"/>
      <c r="TGA225" s="1311"/>
      <c r="TGB225" s="1311"/>
      <c r="TGC225" s="1311"/>
      <c r="TGD225" s="1311"/>
      <c r="TGE225" s="1311"/>
      <c r="TGF225" s="1311"/>
      <c r="TGG225" s="1311"/>
      <c r="TGH225" s="1311"/>
      <c r="TGI225" s="1311"/>
      <c r="TGJ225" s="1311"/>
      <c r="TGK225" s="1311"/>
      <c r="TGL225" s="1311"/>
      <c r="TGM225" s="1311"/>
      <c r="TGN225" s="1311"/>
      <c r="TGO225" s="1311"/>
      <c r="TGP225" s="1311"/>
      <c r="TGQ225" s="1311"/>
      <c r="TGR225" s="1311"/>
      <c r="TGS225" s="1311"/>
      <c r="TGT225" s="1311"/>
      <c r="TGU225" s="1311"/>
      <c r="TGV225" s="1311"/>
      <c r="TGW225" s="1311"/>
      <c r="TGX225" s="1311"/>
      <c r="TGY225" s="1311"/>
      <c r="TGZ225" s="1311"/>
      <c r="THA225" s="1311"/>
      <c r="THB225" s="1311"/>
      <c r="THC225" s="1311"/>
      <c r="THD225" s="1311"/>
      <c r="THE225" s="1311"/>
      <c r="THF225" s="1311"/>
      <c r="THG225" s="1311"/>
      <c r="THH225" s="1311"/>
      <c r="THI225" s="1311"/>
      <c r="THJ225" s="1311"/>
      <c r="THK225" s="1311"/>
      <c r="THL225" s="1311"/>
      <c r="THM225" s="1311"/>
      <c r="THN225" s="1311"/>
      <c r="THO225" s="1311"/>
      <c r="THP225" s="1311"/>
      <c r="THQ225" s="1311"/>
      <c r="THR225" s="1311"/>
      <c r="THS225" s="1311"/>
      <c r="THT225" s="1311"/>
      <c r="THU225" s="1311"/>
      <c r="THV225" s="1311"/>
      <c r="THW225" s="1311"/>
      <c r="THX225" s="1311"/>
      <c r="THY225" s="1311"/>
      <c r="THZ225" s="1311"/>
      <c r="TIA225" s="1311"/>
      <c r="TIB225" s="1311"/>
      <c r="TIC225" s="1311"/>
      <c r="TID225" s="1311"/>
      <c r="TIE225" s="1311"/>
      <c r="TIF225" s="1311"/>
      <c r="TIG225" s="1311"/>
      <c r="TIH225" s="1311"/>
      <c r="TII225" s="1311"/>
      <c r="TIJ225" s="1311"/>
      <c r="TIK225" s="1311"/>
      <c r="TIL225" s="1311"/>
      <c r="TIM225" s="1311"/>
      <c r="TIN225" s="1311"/>
      <c r="TIO225" s="1311"/>
      <c r="TIP225" s="1311"/>
      <c r="TIQ225" s="1311"/>
      <c r="TIR225" s="1311"/>
      <c r="TIS225" s="1311"/>
      <c r="TIT225" s="1311"/>
      <c r="TIU225" s="1311"/>
      <c r="TIV225" s="1311"/>
      <c r="TIW225" s="1311"/>
      <c r="TIX225" s="1311"/>
      <c r="TIY225" s="1311"/>
      <c r="TIZ225" s="1311"/>
      <c r="TJA225" s="1311"/>
      <c r="TJB225" s="1311"/>
      <c r="TJC225" s="1311"/>
      <c r="TJD225" s="1311"/>
      <c r="TJE225" s="1311"/>
      <c r="TJF225" s="1311"/>
      <c r="TJG225" s="1311"/>
      <c r="TJH225" s="1311"/>
      <c r="TJI225" s="1311"/>
      <c r="TJJ225" s="1311"/>
      <c r="TJK225" s="1311"/>
      <c r="TJL225" s="1311"/>
      <c r="TJM225" s="1311"/>
      <c r="TJN225" s="1311"/>
      <c r="TJO225" s="1311"/>
      <c r="TJP225" s="1311"/>
      <c r="TJQ225" s="1311"/>
      <c r="TJR225" s="1311"/>
      <c r="TJS225" s="1311"/>
      <c r="TJT225" s="1311"/>
      <c r="TJU225" s="1311"/>
      <c r="TJV225" s="1311"/>
      <c r="TJW225" s="1311"/>
      <c r="TJX225" s="1311"/>
      <c r="TJY225" s="1311"/>
      <c r="TJZ225" s="1311"/>
      <c r="TKA225" s="1311"/>
      <c r="TKB225" s="1311"/>
      <c r="TKC225" s="1311"/>
      <c r="TKD225" s="1311"/>
      <c r="TKE225" s="1311"/>
      <c r="TKF225" s="1311"/>
      <c r="TKG225" s="1311"/>
      <c r="TKH225" s="1311"/>
      <c r="TKI225" s="1311"/>
      <c r="TKJ225" s="1311"/>
      <c r="TKK225" s="1311"/>
      <c r="TKL225" s="1311"/>
      <c r="TKM225" s="1311"/>
      <c r="TKN225" s="1311"/>
      <c r="TKO225" s="1311"/>
      <c r="TKP225" s="1311"/>
      <c r="TKQ225" s="1311"/>
      <c r="TKR225" s="1311"/>
      <c r="TKS225" s="1311"/>
      <c r="TKT225" s="1311"/>
      <c r="TKU225" s="1311"/>
      <c r="TKV225" s="1311"/>
      <c r="TKW225" s="1311"/>
      <c r="TKX225" s="1311"/>
      <c r="TKY225" s="1311"/>
      <c r="TKZ225" s="1311"/>
      <c r="TLA225" s="1311"/>
      <c r="TLB225" s="1311"/>
      <c r="TLC225" s="1311"/>
      <c r="TLD225" s="1311"/>
      <c r="TLE225" s="1311"/>
      <c r="TLF225" s="1311"/>
      <c r="TLG225" s="1311"/>
      <c r="TLH225" s="1311"/>
      <c r="TLI225" s="1311"/>
      <c r="TLJ225" s="1311"/>
      <c r="TLK225" s="1311"/>
      <c r="TLL225" s="1311"/>
      <c r="TLM225" s="1311"/>
      <c r="TLN225" s="1311"/>
      <c r="TLO225" s="1311"/>
      <c r="TLP225" s="1311"/>
      <c r="TLQ225" s="1311"/>
      <c r="TLR225" s="1311"/>
      <c r="TLS225" s="1311"/>
      <c r="TLT225" s="1311"/>
      <c r="TLU225" s="1311"/>
      <c r="TLV225" s="1311"/>
      <c r="TLW225" s="1311"/>
      <c r="TLX225" s="1311"/>
      <c r="TLY225" s="1311"/>
      <c r="TLZ225" s="1311"/>
      <c r="TMA225" s="1311"/>
      <c r="TMB225" s="1311"/>
      <c r="TMC225" s="1311"/>
      <c r="TMD225" s="1311"/>
      <c r="TME225" s="1311"/>
      <c r="TMF225" s="1311"/>
      <c r="TMG225" s="1311"/>
      <c r="TMH225" s="1311"/>
      <c r="TMI225" s="1311"/>
      <c r="TMJ225" s="1311"/>
      <c r="TMK225" s="1311"/>
      <c r="TML225" s="1311"/>
      <c r="TMM225" s="1311"/>
      <c r="TMN225" s="1311"/>
      <c r="TMO225" s="1311"/>
      <c r="TMP225" s="1311"/>
      <c r="TMQ225" s="1311"/>
      <c r="TMR225" s="1311"/>
      <c r="TMS225" s="1311"/>
      <c r="TMT225" s="1311"/>
      <c r="TMU225" s="1311"/>
      <c r="TMV225" s="1311"/>
      <c r="TMW225" s="1311"/>
      <c r="TMX225" s="1311"/>
      <c r="TMY225" s="1311"/>
      <c r="TMZ225" s="1311"/>
      <c r="TNA225" s="1311"/>
      <c r="TNB225" s="1311"/>
      <c r="TNC225" s="1311"/>
      <c r="TND225" s="1311"/>
      <c r="TNE225" s="1311"/>
      <c r="TNF225" s="1311"/>
      <c r="TNG225" s="1311"/>
      <c r="TNH225" s="1311"/>
      <c r="TNI225" s="1311"/>
      <c r="TNJ225" s="1311"/>
      <c r="TNK225" s="1311"/>
      <c r="TNL225" s="1311"/>
      <c r="TNM225" s="1311"/>
      <c r="TNN225" s="1311"/>
      <c r="TNO225" s="1311"/>
      <c r="TNP225" s="1311"/>
      <c r="TNQ225" s="1311"/>
      <c r="TNR225" s="1311"/>
      <c r="TNS225" s="1311"/>
      <c r="TNT225" s="1311"/>
      <c r="TNU225" s="1311"/>
      <c r="TNV225" s="1311"/>
      <c r="TNW225" s="1311"/>
      <c r="TNX225" s="1311"/>
      <c r="TNY225" s="1311"/>
      <c r="TNZ225" s="1311"/>
      <c r="TOA225" s="1311"/>
      <c r="TOB225" s="1311"/>
      <c r="TOC225" s="1311"/>
      <c r="TOD225" s="1311"/>
      <c r="TOE225" s="1311"/>
      <c r="TOF225" s="1311"/>
      <c r="TOG225" s="1311"/>
      <c r="TOH225" s="1311"/>
      <c r="TOI225" s="1311"/>
      <c r="TOJ225" s="1311"/>
      <c r="TOK225" s="1311"/>
      <c r="TOL225" s="1311"/>
      <c r="TOM225" s="1311"/>
      <c r="TON225" s="1311"/>
      <c r="TOO225" s="1311"/>
      <c r="TOP225" s="1311"/>
      <c r="TOQ225" s="1311"/>
      <c r="TOR225" s="1311"/>
      <c r="TOS225" s="1311"/>
      <c r="TOT225" s="1311"/>
      <c r="TOU225" s="1311"/>
      <c r="TOV225" s="1311"/>
      <c r="TOW225" s="1311"/>
      <c r="TOX225" s="1311"/>
      <c r="TOY225" s="1311"/>
      <c r="TOZ225" s="1311"/>
      <c r="TPA225" s="1311"/>
      <c r="TPB225" s="1311"/>
      <c r="TPC225" s="1311"/>
      <c r="TPD225" s="1311"/>
      <c r="TPE225" s="1311"/>
      <c r="TPF225" s="1311"/>
      <c r="TPG225" s="1311"/>
      <c r="TPH225" s="1311"/>
      <c r="TPI225" s="1311"/>
      <c r="TPJ225" s="1311"/>
      <c r="TPK225" s="1311"/>
      <c r="TPL225" s="1311"/>
      <c r="TPM225" s="1311"/>
      <c r="TPN225" s="1311"/>
      <c r="TPO225" s="1311"/>
      <c r="TPP225" s="1311"/>
      <c r="TPQ225" s="1311"/>
      <c r="TPR225" s="1311"/>
      <c r="TPS225" s="1311"/>
      <c r="TPT225" s="1311"/>
      <c r="TPU225" s="1311"/>
      <c r="TPV225" s="1311"/>
      <c r="TPW225" s="1311"/>
      <c r="TPX225" s="1311"/>
      <c r="TPY225" s="1311"/>
      <c r="TPZ225" s="1311"/>
      <c r="TQA225" s="1311"/>
      <c r="TQB225" s="1311"/>
      <c r="TQC225" s="1311"/>
      <c r="TQD225" s="1311"/>
      <c r="TQE225" s="1311"/>
      <c r="TQF225" s="1311"/>
      <c r="TQG225" s="1311"/>
      <c r="TQH225" s="1311"/>
      <c r="TQI225" s="1311"/>
      <c r="TQJ225" s="1311"/>
      <c r="TQK225" s="1311"/>
      <c r="TQL225" s="1311"/>
      <c r="TQM225" s="1311"/>
      <c r="TQN225" s="1311"/>
      <c r="TQO225" s="1311"/>
      <c r="TQP225" s="1311"/>
      <c r="TQQ225" s="1311"/>
      <c r="TQR225" s="1311"/>
      <c r="TQS225" s="1311"/>
      <c r="TQT225" s="1311"/>
      <c r="TQU225" s="1311"/>
      <c r="TQV225" s="1311"/>
      <c r="TQW225" s="1311"/>
      <c r="TQX225" s="1311"/>
      <c r="TQY225" s="1311"/>
      <c r="TQZ225" s="1311"/>
      <c r="TRA225" s="1311"/>
      <c r="TRB225" s="1311"/>
      <c r="TRC225" s="1311"/>
      <c r="TRD225" s="1311"/>
      <c r="TRE225" s="1311"/>
      <c r="TRF225" s="1311"/>
      <c r="TRG225" s="1311"/>
      <c r="TRH225" s="1311"/>
      <c r="TRI225" s="1311"/>
      <c r="TRJ225" s="1311"/>
      <c r="TRK225" s="1311"/>
      <c r="TRL225" s="1311"/>
      <c r="TRM225" s="1311"/>
      <c r="TRN225" s="1311"/>
      <c r="TRO225" s="1311"/>
      <c r="TRP225" s="1311"/>
      <c r="TRQ225" s="1311"/>
      <c r="TRR225" s="1311"/>
      <c r="TRS225" s="1311"/>
      <c r="TRT225" s="1311"/>
      <c r="TRU225" s="1311"/>
      <c r="TRV225" s="1311"/>
      <c r="TRW225" s="1311"/>
      <c r="TRX225" s="1311"/>
      <c r="TRY225" s="1311"/>
      <c r="TRZ225" s="1311"/>
      <c r="TSA225" s="1311"/>
      <c r="TSB225" s="1311"/>
      <c r="TSC225" s="1311"/>
      <c r="TSD225" s="1311"/>
      <c r="TSE225" s="1311"/>
      <c r="TSF225" s="1311"/>
      <c r="TSG225" s="1311"/>
      <c r="TSH225" s="1311"/>
      <c r="TSI225" s="1311"/>
      <c r="TSJ225" s="1311"/>
      <c r="TSK225" s="1311"/>
      <c r="TSL225" s="1311"/>
      <c r="TSM225" s="1311"/>
      <c r="TSN225" s="1311"/>
      <c r="TSO225" s="1311"/>
      <c r="TSP225" s="1311"/>
      <c r="TSQ225" s="1311"/>
      <c r="TSR225" s="1311"/>
      <c r="TSS225" s="1311"/>
      <c r="TST225" s="1311"/>
      <c r="TSU225" s="1311"/>
      <c r="TSV225" s="1311"/>
      <c r="TSW225" s="1311"/>
      <c r="TSX225" s="1311"/>
      <c r="TSY225" s="1311"/>
      <c r="TSZ225" s="1311"/>
      <c r="TTA225" s="1311"/>
      <c r="TTB225" s="1311"/>
      <c r="TTC225" s="1311"/>
      <c r="TTD225" s="1311"/>
      <c r="TTE225" s="1311"/>
      <c r="TTF225" s="1311"/>
      <c r="TTG225" s="1311"/>
      <c r="TTH225" s="1311"/>
      <c r="TTI225" s="1311"/>
      <c r="TTJ225" s="1311"/>
      <c r="TTK225" s="1311"/>
      <c r="TTL225" s="1311"/>
      <c r="TTM225" s="1311"/>
      <c r="TTN225" s="1311"/>
      <c r="TTO225" s="1311"/>
      <c r="TTP225" s="1311"/>
      <c r="TTQ225" s="1311"/>
      <c r="TTR225" s="1311"/>
      <c r="TTS225" s="1311"/>
      <c r="TTT225" s="1311"/>
      <c r="TTU225" s="1311"/>
      <c r="TTV225" s="1311"/>
      <c r="TTW225" s="1311"/>
      <c r="TTX225" s="1311"/>
      <c r="TTY225" s="1311"/>
      <c r="TTZ225" s="1311"/>
      <c r="TUA225" s="1311"/>
      <c r="TUB225" s="1311"/>
      <c r="TUC225" s="1311"/>
      <c r="TUD225" s="1311"/>
      <c r="TUE225" s="1311"/>
      <c r="TUF225" s="1311"/>
      <c r="TUG225" s="1311"/>
      <c r="TUH225" s="1311"/>
      <c r="TUI225" s="1311"/>
      <c r="TUJ225" s="1311"/>
      <c r="TUK225" s="1311"/>
      <c r="TUL225" s="1311"/>
      <c r="TUM225" s="1311"/>
      <c r="TUN225" s="1311"/>
      <c r="TUO225" s="1311"/>
      <c r="TUP225" s="1311"/>
      <c r="TUQ225" s="1311"/>
      <c r="TUR225" s="1311"/>
      <c r="TUS225" s="1311"/>
      <c r="TUT225" s="1311"/>
      <c r="TUU225" s="1311"/>
      <c r="TUV225" s="1311"/>
      <c r="TUW225" s="1311"/>
      <c r="TUX225" s="1311"/>
      <c r="TUY225" s="1311"/>
      <c r="TUZ225" s="1311"/>
      <c r="TVA225" s="1311"/>
      <c r="TVB225" s="1311"/>
      <c r="TVC225" s="1311"/>
      <c r="TVD225" s="1311"/>
      <c r="TVE225" s="1311"/>
      <c r="TVF225" s="1311"/>
      <c r="TVG225" s="1311"/>
      <c r="TVH225" s="1311"/>
      <c r="TVI225" s="1311"/>
      <c r="TVJ225" s="1311"/>
      <c r="TVK225" s="1311"/>
      <c r="TVL225" s="1311"/>
      <c r="TVM225" s="1311"/>
      <c r="TVN225" s="1311"/>
      <c r="TVO225" s="1311"/>
      <c r="TVP225" s="1311"/>
      <c r="TVQ225" s="1311"/>
      <c r="TVR225" s="1311"/>
      <c r="TVS225" s="1311"/>
      <c r="TVT225" s="1311"/>
      <c r="TVU225" s="1311"/>
      <c r="TVV225" s="1311"/>
      <c r="TVW225" s="1311"/>
      <c r="TVX225" s="1311"/>
      <c r="TVY225" s="1311"/>
      <c r="TVZ225" s="1311"/>
      <c r="TWA225" s="1311"/>
      <c r="TWB225" s="1311"/>
      <c r="TWC225" s="1311"/>
      <c r="TWD225" s="1311"/>
      <c r="TWE225" s="1311"/>
      <c r="TWF225" s="1311"/>
      <c r="TWG225" s="1311"/>
      <c r="TWH225" s="1311"/>
      <c r="TWI225" s="1311"/>
      <c r="TWJ225" s="1311"/>
      <c r="TWK225" s="1311"/>
      <c r="TWL225" s="1311"/>
      <c r="TWM225" s="1311"/>
      <c r="TWN225" s="1311"/>
      <c r="TWO225" s="1311"/>
      <c r="TWP225" s="1311"/>
      <c r="TWQ225" s="1311"/>
      <c r="TWR225" s="1311"/>
      <c r="TWS225" s="1311"/>
      <c r="TWT225" s="1311"/>
      <c r="TWU225" s="1311"/>
      <c r="TWV225" s="1311"/>
      <c r="TWW225" s="1311"/>
      <c r="TWX225" s="1311"/>
      <c r="TWY225" s="1311"/>
      <c r="TWZ225" s="1311"/>
      <c r="TXA225" s="1311"/>
      <c r="TXB225" s="1311"/>
      <c r="TXC225" s="1311"/>
      <c r="TXD225" s="1311"/>
      <c r="TXE225" s="1311"/>
      <c r="TXF225" s="1311"/>
      <c r="TXG225" s="1311"/>
      <c r="TXH225" s="1311"/>
      <c r="TXI225" s="1311"/>
      <c r="TXJ225" s="1311"/>
      <c r="TXK225" s="1311"/>
      <c r="TXL225" s="1311"/>
      <c r="TXM225" s="1311"/>
      <c r="TXN225" s="1311"/>
      <c r="TXO225" s="1311"/>
      <c r="TXP225" s="1311"/>
      <c r="TXQ225" s="1311"/>
      <c r="TXR225" s="1311"/>
      <c r="TXS225" s="1311"/>
      <c r="TXT225" s="1311"/>
      <c r="TXU225" s="1311"/>
      <c r="TXV225" s="1311"/>
      <c r="TXW225" s="1311"/>
      <c r="TXX225" s="1311"/>
      <c r="TXY225" s="1311"/>
      <c r="TXZ225" s="1311"/>
      <c r="TYA225" s="1311"/>
      <c r="TYB225" s="1311"/>
      <c r="TYC225" s="1311"/>
      <c r="TYD225" s="1311"/>
      <c r="TYE225" s="1311"/>
      <c r="TYF225" s="1311"/>
      <c r="TYG225" s="1311"/>
      <c r="TYH225" s="1311"/>
      <c r="TYI225" s="1311"/>
      <c r="TYJ225" s="1311"/>
      <c r="TYK225" s="1311"/>
      <c r="TYL225" s="1311"/>
      <c r="TYM225" s="1311"/>
      <c r="TYN225" s="1311"/>
      <c r="TYO225" s="1311"/>
      <c r="TYP225" s="1311"/>
      <c r="TYQ225" s="1311"/>
      <c r="TYR225" s="1311"/>
      <c r="TYS225" s="1311"/>
      <c r="TYT225" s="1311"/>
      <c r="TYU225" s="1311"/>
      <c r="TYV225" s="1311"/>
      <c r="TYW225" s="1311"/>
      <c r="TYX225" s="1311"/>
      <c r="TYY225" s="1311"/>
      <c r="TYZ225" s="1311"/>
      <c r="TZA225" s="1311"/>
      <c r="TZB225" s="1311"/>
      <c r="TZC225" s="1311"/>
      <c r="TZD225" s="1311"/>
      <c r="TZE225" s="1311"/>
      <c r="TZF225" s="1311"/>
      <c r="TZG225" s="1311"/>
      <c r="TZH225" s="1311"/>
      <c r="TZI225" s="1311"/>
      <c r="TZJ225" s="1311"/>
      <c r="TZK225" s="1311"/>
      <c r="TZL225" s="1311"/>
      <c r="TZM225" s="1311"/>
      <c r="TZN225" s="1311"/>
      <c r="TZO225" s="1311"/>
      <c r="TZP225" s="1311"/>
      <c r="TZQ225" s="1311"/>
      <c r="TZR225" s="1311"/>
      <c r="TZS225" s="1311"/>
      <c r="TZT225" s="1311"/>
      <c r="TZU225" s="1311"/>
      <c r="TZV225" s="1311"/>
      <c r="TZW225" s="1311"/>
      <c r="TZX225" s="1311"/>
      <c r="TZY225" s="1311"/>
      <c r="TZZ225" s="1311"/>
      <c r="UAA225" s="1311"/>
      <c r="UAB225" s="1311"/>
      <c r="UAC225" s="1311"/>
      <c r="UAD225" s="1311"/>
      <c r="UAE225" s="1311"/>
      <c r="UAF225" s="1311"/>
      <c r="UAG225" s="1311"/>
      <c r="UAH225" s="1311"/>
      <c r="UAI225" s="1311"/>
      <c r="UAJ225" s="1311"/>
      <c r="UAK225" s="1311"/>
      <c r="UAL225" s="1311"/>
      <c r="UAM225" s="1311"/>
      <c r="UAN225" s="1311"/>
      <c r="UAO225" s="1311"/>
      <c r="UAP225" s="1311"/>
      <c r="UAQ225" s="1311"/>
      <c r="UAR225" s="1311"/>
      <c r="UAS225" s="1311"/>
      <c r="UAT225" s="1311"/>
      <c r="UAU225" s="1311"/>
      <c r="UAV225" s="1311"/>
      <c r="UAW225" s="1311"/>
      <c r="UAX225" s="1311"/>
      <c r="UAY225" s="1311"/>
      <c r="UAZ225" s="1311"/>
      <c r="UBA225" s="1311"/>
      <c r="UBB225" s="1311"/>
      <c r="UBC225" s="1311"/>
      <c r="UBD225" s="1311"/>
      <c r="UBE225" s="1311"/>
      <c r="UBF225" s="1311"/>
      <c r="UBG225" s="1311"/>
      <c r="UBH225" s="1311"/>
      <c r="UBI225" s="1311"/>
      <c r="UBJ225" s="1311"/>
      <c r="UBK225" s="1311"/>
      <c r="UBL225" s="1311"/>
      <c r="UBM225" s="1311"/>
      <c r="UBN225" s="1311"/>
      <c r="UBO225" s="1311"/>
      <c r="UBP225" s="1311"/>
      <c r="UBQ225" s="1311"/>
      <c r="UBR225" s="1311"/>
      <c r="UBS225" s="1311"/>
      <c r="UBT225" s="1311"/>
      <c r="UBU225" s="1311"/>
      <c r="UBV225" s="1311"/>
      <c r="UBW225" s="1311"/>
      <c r="UBX225" s="1311"/>
      <c r="UBY225" s="1311"/>
      <c r="UBZ225" s="1311"/>
      <c r="UCA225" s="1311"/>
      <c r="UCB225" s="1311"/>
      <c r="UCC225" s="1311"/>
      <c r="UCD225" s="1311"/>
      <c r="UCE225" s="1311"/>
      <c r="UCF225" s="1311"/>
      <c r="UCG225" s="1311"/>
      <c r="UCH225" s="1311"/>
      <c r="UCI225" s="1311"/>
      <c r="UCJ225" s="1311"/>
      <c r="UCK225" s="1311"/>
      <c r="UCL225" s="1311"/>
      <c r="UCM225" s="1311"/>
      <c r="UCN225" s="1311"/>
      <c r="UCO225" s="1311"/>
      <c r="UCP225" s="1311"/>
      <c r="UCQ225" s="1311"/>
      <c r="UCR225" s="1311"/>
      <c r="UCS225" s="1311"/>
      <c r="UCT225" s="1311"/>
      <c r="UCU225" s="1311"/>
      <c r="UCV225" s="1311"/>
      <c r="UCW225" s="1311"/>
      <c r="UCX225" s="1311"/>
      <c r="UCY225" s="1311"/>
      <c r="UCZ225" s="1311"/>
      <c r="UDA225" s="1311"/>
      <c r="UDB225" s="1311"/>
      <c r="UDC225" s="1311"/>
      <c r="UDD225" s="1311"/>
      <c r="UDE225" s="1311"/>
      <c r="UDF225" s="1311"/>
      <c r="UDG225" s="1311"/>
      <c r="UDH225" s="1311"/>
      <c r="UDI225" s="1311"/>
      <c r="UDJ225" s="1311"/>
      <c r="UDK225" s="1311"/>
      <c r="UDL225" s="1311"/>
      <c r="UDM225" s="1311"/>
      <c r="UDN225" s="1311"/>
      <c r="UDO225" s="1311"/>
      <c r="UDP225" s="1311"/>
      <c r="UDQ225" s="1311"/>
      <c r="UDR225" s="1311"/>
      <c r="UDS225" s="1311"/>
      <c r="UDT225" s="1311"/>
      <c r="UDU225" s="1311"/>
      <c r="UDV225" s="1311"/>
      <c r="UDW225" s="1311"/>
      <c r="UDX225" s="1311"/>
      <c r="UDY225" s="1311"/>
      <c r="UDZ225" s="1311"/>
      <c r="UEA225" s="1311"/>
      <c r="UEB225" s="1311"/>
      <c r="UEC225" s="1311"/>
      <c r="UED225" s="1311"/>
      <c r="UEE225" s="1311"/>
      <c r="UEF225" s="1311"/>
      <c r="UEG225" s="1311"/>
      <c r="UEH225" s="1311"/>
      <c r="UEI225" s="1311"/>
      <c r="UEJ225" s="1311"/>
      <c r="UEK225" s="1311"/>
      <c r="UEL225" s="1311"/>
      <c r="UEM225" s="1311"/>
      <c r="UEN225" s="1311"/>
      <c r="UEO225" s="1311"/>
      <c r="UEP225" s="1311"/>
      <c r="UEQ225" s="1311"/>
      <c r="UER225" s="1311"/>
      <c r="UES225" s="1311"/>
      <c r="UET225" s="1311"/>
      <c r="UEU225" s="1311"/>
      <c r="UEV225" s="1311"/>
      <c r="UEW225" s="1311"/>
      <c r="UEX225" s="1311"/>
      <c r="UEY225" s="1311"/>
      <c r="UEZ225" s="1311"/>
      <c r="UFA225" s="1311"/>
      <c r="UFB225" s="1311"/>
      <c r="UFC225" s="1311"/>
      <c r="UFD225" s="1311"/>
      <c r="UFE225" s="1311"/>
      <c r="UFF225" s="1311"/>
      <c r="UFG225" s="1311"/>
      <c r="UFH225" s="1311"/>
      <c r="UFI225" s="1311"/>
      <c r="UFJ225" s="1311"/>
      <c r="UFK225" s="1311"/>
      <c r="UFL225" s="1311"/>
      <c r="UFM225" s="1311"/>
      <c r="UFN225" s="1311"/>
      <c r="UFO225" s="1311"/>
      <c r="UFP225" s="1311"/>
      <c r="UFQ225" s="1311"/>
      <c r="UFR225" s="1311"/>
      <c r="UFS225" s="1311"/>
      <c r="UFT225" s="1311"/>
      <c r="UFU225" s="1311"/>
      <c r="UFV225" s="1311"/>
      <c r="UFW225" s="1311"/>
      <c r="UFX225" s="1311"/>
      <c r="UFY225" s="1311"/>
      <c r="UFZ225" s="1311"/>
      <c r="UGA225" s="1311"/>
      <c r="UGB225" s="1311"/>
      <c r="UGC225" s="1311"/>
      <c r="UGD225" s="1311"/>
      <c r="UGE225" s="1311"/>
      <c r="UGF225" s="1311"/>
      <c r="UGG225" s="1311"/>
      <c r="UGH225" s="1311"/>
      <c r="UGI225" s="1311"/>
      <c r="UGJ225" s="1311"/>
      <c r="UGK225" s="1311"/>
      <c r="UGL225" s="1311"/>
      <c r="UGM225" s="1311"/>
      <c r="UGN225" s="1311"/>
      <c r="UGO225" s="1311"/>
      <c r="UGP225" s="1311"/>
      <c r="UGQ225" s="1311"/>
      <c r="UGR225" s="1311"/>
      <c r="UGS225" s="1311"/>
      <c r="UGT225" s="1311"/>
      <c r="UGU225" s="1311"/>
      <c r="UGV225" s="1311"/>
      <c r="UGW225" s="1311"/>
      <c r="UGX225" s="1311"/>
      <c r="UGY225" s="1311"/>
      <c r="UGZ225" s="1311"/>
      <c r="UHA225" s="1311"/>
      <c r="UHB225" s="1311"/>
      <c r="UHC225" s="1311"/>
      <c r="UHD225" s="1311"/>
      <c r="UHE225" s="1311"/>
      <c r="UHF225" s="1311"/>
      <c r="UHG225" s="1311"/>
      <c r="UHH225" s="1311"/>
      <c r="UHI225" s="1311"/>
      <c r="UHJ225" s="1311"/>
      <c r="UHK225" s="1311"/>
      <c r="UHL225" s="1311"/>
      <c r="UHM225" s="1311"/>
      <c r="UHN225" s="1311"/>
      <c r="UHO225" s="1311"/>
      <c r="UHP225" s="1311"/>
      <c r="UHQ225" s="1311"/>
      <c r="UHR225" s="1311"/>
      <c r="UHS225" s="1311"/>
      <c r="UHT225" s="1311"/>
      <c r="UHU225" s="1311"/>
      <c r="UHV225" s="1311"/>
      <c r="UHW225" s="1311"/>
      <c r="UHX225" s="1311"/>
      <c r="UHY225" s="1311"/>
      <c r="UHZ225" s="1311"/>
      <c r="UIA225" s="1311"/>
      <c r="UIB225" s="1311"/>
      <c r="UIC225" s="1311"/>
      <c r="UID225" s="1311"/>
      <c r="UIE225" s="1311"/>
      <c r="UIF225" s="1311"/>
      <c r="UIG225" s="1311"/>
      <c r="UIH225" s="1311"/>
      <c r="UII225" s="1311"/>
      <c r="UIJ225" s="1311"/>
      <c r="UIK225" s="1311"/>
      <c r="UIL225" s="1311"/>
      <c r="UIM225" s="1311"/>
      <c r="UIN225" s="1311"/>
      <c r="UIO225" s="1311"/>
      <c r="UIP225" s="1311"/>
      <c r="UIQ225" s="1311"/>
      <c r="UIR225" s="1311"/>
      <c r="UIS225" s="1311"/>
      <c r="UIT225" s="1311"/>
      <c r="UIU225" s="1311"/>
      <c r="UIV225" s="1311"/>
      <c r="UIW225" s="1311"/>
      <c r="UIX225" s="1311"/>
      <c r="UIY225" s="1311"/>
      <c r="UIZ225" s="1311"/>
      <c r="UJA225" s="1311"/>
      <c r="UJB225" s="1311"/>
      <c r="UJC225" s="1311"/>
      <c r="UJD225" s="1311"/>
      <c r="UJE225" s="1311"/>
      <c r="UJF225" s="1311"/>
      <c r="UJG225" s="1311"/>
      <c r="UJH225" s="1311"/>
      <c r="UJI225" s="1311"/>
      <c r="UJJ225" s="1311"/>
      <c r="UJK225" s="1311"/>
      <c r="UJL225" s="1311"/>
      <c r="UJM225" s="1311"/>
      <c r="UJN225" s="1311"/>
      <c r="UJO225" s="1311"/>
      <c r="UJP225" s="1311"/>
      <c r="UJQ225" s="1311"/>
      <c r="UJR225" s="1311"/>
      <c r="UJS225" s="1311"/>
      <c r="UJT225" s="1311"/>
      <c r="UJU225" s="1311"/>
      <c r="UJV225" s="1311"/>
      <c r="UJW225" s="1311"/>
      <c r="UJX225" s="1311"/>
      <c r="UJY225" s="1311"/>
      <c r="UJZ225" s="1311"/>
      <c r="UKA225" s="1311"/>
      <c r="UKB225" s="1311"/>
      <c r="UKC225" s="1311"/>
      <c r="UKD225" s="1311"/>
      <c r="UKE225" s="1311"/>
      <c r="UKF225" s="1311"/>
      <c r="UKG225" s="1311"/>
      <c r="UKH225" s="1311"/>
      <c r="UKI225" s="1311"/>
      <c r="UKJ225" s="1311"/>
      <c r="UKK225" s="1311"/>
      <c r="UKL225" s="1311"/>
      <c r="UKM225" s="1311"/>
      <c r="UKN225" s="1311"/>
      <c r="UKO225" s="1311"/>
      <c r="UKP225" s="1311"/>
      <c r="UKQ225" s="1311"/>
      <c r="UKR225" s="1311"/>
      <c r="UKS225" s="1311"/>
      <c r="UKT225" s="1311"/>
      <c r="UKU225" s="1311"/>
      <c r="UKV225" s="1311"/>
      <c r="UKW225" s="1311"/>
      <c r="UKX225" s="1311"/>
      <c r="UKY225" s="1311"/>
      <c r="UKZ225" s="1311"/>
      <c r="ULA225" s="1311"/>
      <c r="ULB225" s="1311"/>
      <c r="ULC225" s="1311"/>
      <c r="ULD225" s="1311"/>
      <c r="ULE225" s="1311"/>
      <c r="ULF225" s="1311"/>
      <c r="ULG225" s="1311"/>
      <c r="ULH225" s="1311"/>
      <c r="ULI225" s="1311"/>
      <c r="ULJ225" s="1311"/>
      <c r="ULK225" s="1311"/>
      <c r="ULL225" s="1311"/>
      <c r="ULM225" s="1311"/>
      <c r="ULN225" s="1311"/>
      <c r="ULO225" s="1311"/>
      <c r="ULP225" s="1311"/>
      <c r="ULQ225" s="1311"/>
      <c r="ULR225" s="1311"/>
      <c r="ULS225" s="1311"/>
      <c r="ULT225" s="1311"/>
      <c r="ULU225" s="1311"/>
      <c r="ULV225" s="1311"/>
      <c r="ULW225" s="1311"/>
      <c r="ULX225" s="1311"/>
      <c r="ULY225" s="1311"/>
      <c r="ULZ225" s="1311"/>
      <c r="UMA225" s="1311"/>
      <c r="UMB225" s="1311"/>
      <c r="UMC225" s="1311"/>
      <c r="UMD225" s="1311"/>
      <c r="UME225" s="1311"/>
      <c r="UMF225" s="1311"/>
      <c r="UMG225" s="1311"/>
      <c r="UMH225" s="1311"/>
      <c r="UMI225" s="1311"/>
      <c r="UMJ225" s="1311"/>
      <c r="UMK225" s="1311"/>
      <c r="UML225" s="1311"/>
      <c r="UMM225" s="1311"/>
      <c r="UMN225" s="1311"/>
      <c r="UMO225" s="1311"/>
      <c r="UMP225" s="1311"/>
      <c r="UMQ225" s="1311"/>
      <c r="UMR225" s="1311"/>
      <c r="UMS225" s="1311"/>
      <c r="UMT225" s="1311"/>
      <c r="UMU225" s="1311"/>
      <c r="UMV225" s="1311"/>
      <c r="UMW225" s="1311"/>
      <c r="UMX225" s="1311"/>
      <c r="UMY225" s="1311"/>
      <c r="UMZ225" s="1311"/>
      <c r="UNA225" s="1311"/>
      <c r="UNB225" s="1311"/>
      <c r="UNC225" s="1311"/>
      <c r="UND225" s="1311"/>
      <c r="UNE225" s="1311"/>
      <c r="UNF225" s="1311"/>
      <c r="UNG225" s="1311"/>
      <c r="UNH225" s="1311"/>
      <c r="UNI225" s="1311"/>
      <c r="UNJ225" s="1311"/>
      <c r="UNK225" s="1311"/>
      <c r="UNL225" s="1311"/>
      <c r="UNM225" s="1311"/>
      <c r="UNN225" s="1311"/>
      <c r="UNO225" s="1311"/>
      <c r="UNP225" s="1311"/>
      <c r="UNQ225" s="1311"/>
      <c r="UNR225" s="1311"/>
      <c r="UNS225" s="1311"/>
      <c r="UNT225" s="1311"/>
      <c r="UNU225" s="1311"/>
      <c r="UNV225" s="1311"/>
      <c r="UNW225" s="1311"/>
      <c r="UNX225" s="1311"/>
      <c r="UNY225" s="1311"/>
      <c r="UNZ225" s="1311"/>
      <c r="UOA225" s="1311"/>
      <c r="UOB225" s="1311"/>
      <c r="UOC225" s="1311"/>
      <c r="UOD225" s="1311"/>
      <c r="UOE225" s="1311"/>
      <c r="UOF225" s="1311"/>
      <c r="UOG225" s="1311"/>
      <c r="UOH225" s="1311"/>
      <c r="UOI225" s="1311"/>
      <c r="UOJ225" s="1311"/>
      <c r="UOK225" s="1311"/>
      <c r="UOL225" s="1311"/>
      <c r="UOM225" s="1311"/>
      <c r="UON225" s="1311"/>
      <c r="UOO225" s="1311"/>
      <c r="UOP225" s="1311"/>
      <c r="UOQ225" s="1311"/>
      <c r="UOR225" s="1311"/>
      <c r="UOS225" s="1311"/>
      <c r="UOT225" s="1311"/>
      <c r="UOU225" s="1311"/>
      <c r="UOV225" s="1311"/>
      <c r="UOW225" s="1311"/>
      <c r="UOX225" s="1311"/>
      <c r="UOY225" s="1311"/>
      <c r="UOZ225" s="1311"/>
      <c r="UPA225" s="1311"/>
      <c r="UPB225" s="1311"/>
      <c r="UPC225" s="1311"/>
      <c r="UPD225" s="1311"/>
      <c r="UPE225" s="1311"/>
      <c r="UPF225" s="1311"/>
      <c r="UPG225" s="1311"/>
      <c r="UPH225" s="1311"/>
      <c r="UPI225" s="1311"/>
      <c r="UPJ225" s="1311"/>
      <c r="UPK225" s="1311"/>
      <c r="UPL225" s="1311"/>
      <c r="UPM225" s="1311"/>
      <c r="UPN225" s="1311"/>
      <c r="UPO225" s="1311"/>
      <c r="UPP225" s="1311"/>
      <c r="UPQ225" s="1311"/>
      <c r="UPR225" s="1311"/>
      <c r="UPS225" s="1311"/>
      <c r="UPT225" s="1311"/>
      <c r="UPU225" s="1311"/>
      <c r="UPV225" s="1311"/>
      <c r="UPW225" s="1311"/>
      <c r="UPX225" s="1311"/>
      <c r="UPY225" s="1311"/>
      <c r="UPZ225" s="1311"/>
      <c r="UQA225" s="1311"/>
      <c r="UQB225" s="1311"/>
      <c r="UQC225" s="1311"/>
      <c r="UQD225" s="1311"/>
      <c r="UQE225" s="1311"/>
      <c r="UQF225" s="1311"/>
      <c r="UQG225" s="1311"/>
      <c r="UQH225" s="1311"/>
      <c r="UQI225" s="1311"/>
      <c r="UQJ225" s="1311"/>
      <c r="UQK225" s="1311"/>
      <c r="UQL225" s="1311"/>
      <c r="UQM225" s="1311"/>
      <c r="UQN225" s="1311"/>
      <c r="UQO225" s="1311"/>
      <c r="UQP225" s="1311"/>
      <c r="UQQ225" s="1311"/>
      <c r="UQR225" s="1311"/>
      <c r="UQS225" s="1311"/>
      <c r="UQT225" s="1311"/>
      <c r="UQU225" s="1311"/>
      <c r="UQV225" s="1311"/>
      <c r="UQW225" s="1311"/>
      <c r="UQX225" s="1311"/>
      <c r="UQY225" s="1311"/>
      <c r="UQZ225" s="1311"/>
      <c r="URA225" s="1311"/>
      <c r="URB225" s="1311"/>
      <c r="URC225" s="1311"/>
      <c r="URD225" s="1311"/>
      <c r="URE225" s="1311"/>
      <c r="URF225" s="1311"/>
      <c r="URG225" s="1311"/>
      <c r="URH225" s="1311"/>
      <c r="URI225" s="1311"/>
      <c r="URJ225" s="1311"/>
      <c r="URK225" s="1311"/>
      <c r="URL225" s="1311"/>
      <c r="URM225" s="1311"/>
      <c r="URN225" s="1311"/>
      <c r="URO225" s="1311"/>
      <c r="URP225" s="1311"/>
      <c r="URQ225" s="1311"/>
      <c r="URR225" s="1311"/>
      <c r="URS225" s="1311"/>
      <c r="URT225" s="1311"/>
      <c r="URU225" s="1311"/>
      <c r="URV225" s="1311"/>
      <c r="URW225" s="1311"/>
      <c r="URX225" s="1311"/>
      <c r="URY225" s="1311"/>
      <c r="URZ225" s="1311"/>
      <c r="USA225" s="1311"/>
      <c r="USB225" s="1311"/>
      <c r="USC225" s="1311"/>
      <c r="USD225" s="1311"/>
      <c r="USE225" s="1311"/>
      <c r="USF225" s="1311"/>
      <c r="USG225" s="1311"/>
      <c r="USH225" s="1311"/>
      <c r="USI225" s="1311"/>
      <c r="USJ225" s="1311"/>
      <c r="USK225" s="1311"/>
      <c r="USL225" s="1311"/>
      <c r="USM225" s="1311"/>
      <c r="USN225" s="1311"/>
      <c r="USO225" s="1311"/>
      <c r="USP225" s="1311"/>
      <c r="USQ225" s="1311"/>
      <c r="USR225" s="1311"/>
      <c r="USS225" s="1311"/>
      <c r="UST225" s="1311"/>
      <c r="USU225" s="1311"/>
      <c r="USV225" s="1311"/>
      <c r="USW225" s="1311"/>
      <c r="USX225" s="1311"/>
      <c r="USY225" s="1311"/>
      <c r="USZ225" s="1311"/>
      <c r="UTA225" s="1311"/>
      <c r="UTB225" s="1311"/>
      <c r="UTC225" s="1311"/>
      <c r="UTD225" s="1311"/>
      <c r="UTE225" s="1311"/>
      <c r="UTF225" s="1311"/>
      <c r="UTG225" s="1311"/>
      <c r="UTH225" s="1311"/>
      <c r="UTI225" s="1311"/>
      <c r="UTJ225" s="1311"/>
      <c r="UTK225" s="1311"/>
      <c r="UTL225" s="1311"/>
      <c r="UTM225" s="1311"/>
      <c r="UTN225" s="1311"/>
      <c r="UTO225" s="1311"/>
      <c r="UTP225" s="1311"/>
      <c r="UTQ225" s="1311"/>
      <c r="UTR225" s="1311"/>
      <c r="UTS225" s="1311"/>
      <c r="UTT225" s="1311"/>
      <c r="UTU225" s="1311"/>
      <c r="UTV225" s="1311"/>
      <c r="UTW225" s="1311"/>
      <c r="UTX225" s="1311"/>
      <c r="UTY225" s="1311"/>
      <c r="UTZ225" s="1311"/>
      <c r="UUA225" s="1311"/>
      <c r="UUB225" s="1311"/>
      <c r="UUC225" s="1311"/>
      <c r="UUD225" s="1311"/>
      <c r="UUE225" s="1311"/>
      <c r="UUF225" s="1311"/>
      <c r="UUG225" s="1311"/>
      <c r="UUH225" s="1311"/>
      <c r="UUI225" s="1311"/>
      <c r="UUJ225" s="1311"/>
      <c r="UUK225" s="1311"/>
      <c r="UUL225" s="1311"/>
      <c r="UUM225" s="1311"/>
      <c r="UUN225" s="1311"/>
      <c r="UUO225" s="1311"/>
      <c r="UUP225" s="1311"/>
      <c r="UUQ225" s="1311"/>
      <c r="UUR225" s="1311"/>
      <c r="UUS225" s="1311"/>
      <c r="UUT225" s="1311"/>
      <c r="UUU225" s="1311"/>
      <c r="UUV225" s="1311"/>
      <c r="UUW225" s="1311"/>
      <c r="UUX225" s="1311"/>
      <c r="UUY225" s="1311"/>
      <c r="UUZ225" s="1311"/>
      <c r="UVA225" s="1311"/>
      <c r="UVB225" s="1311"/>
      <c r="UVC225" s="1311"/>
      <c r="UVD225" s="1311"/>
      <c r="UVE225" s="1311"/>
      <c r="UVF225" s="1311"/>
      <c r="UVG225" s="1311"/>
      <c r="UVH225" s="1311"/>
      <c r="UVI225" s="1311"/>
      <c r="UVJ225" s="1311"/>
      <c r="UVK225" s="1311"/>
      <c r="UVL225" s="1311"/>
      <c r="UVM225" s="1311"/>
      <c r="UVN225" s="1311"/>
      <c r="UVO225" s="1311"/>
      <c r="UVP225" s="1311"/>
      <c r="UVQ225" s="1311"/>
      <c r="UVR225" s="1311"/>
      <c r="UVS225" s="1311"/>
      <c r="UVT225" s="1311"/>
      <c r="UVU225" s="1311"/>
      <c r="UVV225" s="1311"/>
      <c r="UVW225" s="1311"/>
      <c r="UVX225" s="1311"/>
      <c r="UVY225" s="1311"/>
      <c r="UVZ225" s="1311"/>
      <c r="UWA225" s="1311"/>
      <c r="UWB225" s="1311"/>
      <c r="UWC225" s="1311"/>
      <c r="UWD225" s="1311"/>
      <c r="UWE225" s="1311"/>
      <c r="UWF225" s="1311"/>
      <c r="UWG225" s="1311"/>
      <c r="UWH225" s="1311"/>
      <c r="UWI225" s="1311"/>
      <c r="UWJ225" s="1311"/>
      <c r="UWK225" s="1311"/>
      <c r="UWL225" s="1311"/>
      <c r="UWM225" s="1311"/>
      <c r="UWN225" s="1311"/>
      <c r="UWO225" s="1311"/>
      <c r="UWP225" s="1311"/>
      <c r="UWQ225" s="1311"/>
      <c r="UWR225" s="1311"/>
      <c r="UWS225" s="1311"/>
      <c r="UWT225" s="1311"/>
      <c r="UWU225" s="1311"/>
      <c r="UWV225" s="1311"/>
      <c r="UWW225" s="1311"/>
      <c r="UWX225" s="1311"/>
      <c r="UWY225" s="1311"/>
      <c r="UWZ225" s="1311"/>
      <c r="UXA225" s="1311"/>
      <c r="UXB225" s="1311"/>
      <c r="UXC225" s="1311"/>
      <c r="UXD225" s="1311"/>
      <c r="UXE225" s="1311"/>
      <c r="UXF225" s="1311"/>
      <c r="UXG225" s="1311"/>
      <c r="UXH225" s="1311"/>
      <c r="UXI225" s="1311"/>
      <c r="UXJ225" s="1311"/>
      <c r="UXK225" s="1311"/>
      <c r="UXL225" s="1311"/>
      <c r="UXM225" s="1311"/>
      <c r="UXN225" s="1311"/>
      <c r="UXO225" s="1311"/>
      <c r="UXP225" s="1311"/>
      <c r="UXQ225" s="1311"/>
      <c r="UXR225" s="1311"/>
      <c r="UXS225" s="1311"/>
      <c r="UXT225" s="1311"/>
      <c r="UXU225" s="1311"/>
      <c r="UXV225" s="1311"/>
      <c r="UXW225" s="1311"/>
      <c r="UXX225" s="1311"/>
      <c r="UXY225" s="1311"/>
      <c r="UXZ225" s="1311"/>
      <c r="UYA225" s="1311"/>
      <c r="UYB225" s="1311"/>
      <c r="UYC225" s="1311"/>
      <c r="UYD225" s="1311"/>
      <c r="UYE225" s="1311"/>
      <c r="UYF225" s="1311"/>
      <c r="UYG225" s="1311"/>
      <c r="UYH225" s="1311"/>
      <c r="UYI225" s="1311"/>
      <c r="UYJ225" s="1311"/>
      <c r="UYK225" s="1311"/>
      <c r="UYL225" s="1311"/>
      <c r="UYM225" s="1311"/>
      <c r="UYN225" s="1311"/>
      <c r="UYO225" s="1311"/>
      <c r="UYP225" s="1311"/>
      <c r="UYQ225" s="1311"/>
      <c r="UYR225" s="1311"/>
      <c r="UYS225" s="1311"/>
      <c r="UYT225" s="1311"/>
      <c r="UYU225" s="1311"/>
      <c r="UYV225" s="1311"/>
      <c r="UYW225" s="1311"/>
      <c r="UYX225" s="1311"/>
      <c r="UYY225" s="1311"/>
      <c r="UYZ225" s="1311"/>
      <c r="UZA225" s="1311"/>
      <c r="UZB225" s="1311"/>
      <c r="UZC225" s="1311"/>
      <c r="UZD225" s="1311"/>
      <c r="UZE225" s="1311"/>
      <c r="UZF225" s="1311"/>
      <c r="UZG225" s="1311"/>
      <c r="UZH225" s="1311"/>
      <c r="UZI225" s="1311"/>
      <c r="UZJ225" s="1311"/>
      <c r="UZK225" s="1311"/>
      <c r="UZL225" s="1311"/>
      <c r="UZM225" s="1311"/>
      <c r="UZN225" s="1311"/>
      <c r="UZO225" s="1311"/>
      <c r="UZP225" s="1311"/>
      <c r="UZQ225" s="1311"/>
      <c r="UZR225" s="1311"/>
      <c r="UZS225" s="1311"/>
      <c r="UZT225" s="1311"/>
      <c r="UZU225" s="1311"/>
      <c r="UZV225" s="1311"/>
      <c r="UZW225" s="1311"/>
      <c r="UZX225" s="1311"/>
      <c r="UZY225" s="1311"/>
      <c r="UZZ225" s="1311"/>
      <c r="VAA225" s="1311"/>
      <c r="VAB225" s="1311"/>
      <c r="VAC225" s="1311"/>
      <c r="VAD225" s="1311"/>
      <c r="VAE225" s="1311"/>
      <c r="VAF225" s="1311"/>
      <c r="VAG225" s="1311"/>
      <c r="VAH225" s="1311"/>
      <c r="VAI225" s="1311"/>
      <c r="VAJ225" s="1311"/>
      <c r="VAK225" s="1311"/>
      <c r="VAL225" s="1311"/>
      <c r="VAM225" s="1311"/>
      <c r="VAN225" s="1311"/>
      <c r="VAO225" s="1311"/>
      <c r="VAP225" s="1311"/>
      <c r="VAQ225" s="1311"/>
      <c r="VAR225" s="1311"/>
      <c r="VAS225" s="1311"/>
      <c r="VAT225" s="1311"/>
      <c r="VAU225" s="1311"/>
      <c r="VAV225" s="1311"/>
      <c r="VAW225" s="1311"/>
      <c r="VAX225" s="1311"/>
      <c r="VAY225" s="1311"/>
      <c r="VAZ225" s="1311"/>
      <c r="VBA225" s="1311"/>
      <c r="VBB225" s="1311"/>
      <c r="VBC225" s="1311"/>
      <c r="VBD225" s="1311"/>
      <c r="VBE225" s="1311"/>
      <c r="VBF225" s="1311"/>
      <c r="VBG225" s="1311"/>
      <c r="VBH225" s="1311"/>
      <c r="VBI225" s="1311"/>
      <c r="VBJ225" s="1311"/>
      <c r="VBK225" s="1311"/>
      <c r="VBL225" s="1311"/>
      <c r="VBM225" s="1311"/>
      <c r="VBN225" s="1311"/>
      <c r="VBO225" s="1311"/>
      <c r="VBP225" s="1311"/>
      <c r="VBQ225" s="1311"/>
      <c r="VBR225" s="1311"/>
      <c r="VBS225" s="1311"/>
      <c r="VBT225" s="1311"/>
      <c r="VBU225" s="1311"/>
      <c r="VBV225" s="1311"/>
      <c r="VBW225" s="1311"/>
      <c r="VBX225" s="1311"/>
      <c r="VBY225" s="1311"/>
      <c r="VBZ225" s="1311"/>
      <c r="VCA225" s="1311"/>
      <c r="VCB225" s="1311"/>
      <c r="VCC225" s="1311"/>
      <c r="VCD225" s="1311"/>
      <c r="VCE225" s="1311"/>
      <c r="VCF225" s="1311"/>
      <c r="VCG225" s="1311"/>
      <c r="VCH225" s="1311"/>
      <c r="VCI225" s="1311"/>
      <c r="VCJ225" s="1311"/>
      <c r="VCK225" s="1311"/>
      <c r="VCL225" s="1311"/>
      <c r="VCM225" s="1311"/>
      <c r="VCN225" s="1311"/>
      <c r="VCO225" s="1311"/>
      <c r="VCP225" s="1311"/>
      <c r="VCQ225" s="1311"/>
      <c r="VCR225" s="1311"/>
      <c r="VCS225" s="1311"/>
      <c r="VCT225" s="1311"/>
      <c r="VCU225" s="1311"/>
      <c r="VCV225" s="1311"/>
      <c r="VCW225" s="1311"/>
      <c r="VCX225" s="1311"/>
      <c r="VCY225" s="1311"/>
      <c r="VCZ225" s="1311"/>
      <c r="VDA225" s="1311"/>
      <c r="VDB225" s="1311"/>
      <c r="VDC225" s="1311"/>
      <c r="VDD225" s="1311"/>
      <c r="VDE225" s="1311"/>
      <c r="VDF225" s="1311"/>
      <c r="VDG225" s="1311"/>
      <c r="VDH225" s="1311"/>
      <c r="VDI225" s="1311"/>
      <c r="VDJ225" s="1311"/>
      <c r="VDK225" s="1311"/>
      <c r="VDL225" s="1311"/>
      <c r="VDM225" s="1311"/>
      <c r="VDN225" s="1311"/>
      <c r="VDO225" s="1311"/>
      <c r="VDP225" s="1311"/>
      <c r="VDQ225" s="1311"/>
      <c r="VDR225" s="1311"/>
      <c r="VDS225" s="1311"/>
      <c r="VDT225" s="1311"/>
      <c r="VDU225" s="1311"/>
      <c r="VDV225" s="1311"/>
      <c r="VDW225" s="1311"/>
      <c r="VDX225" s="1311"/>
      <c r="VDY225" s="1311"/>
      <c r="VDZ225" s="1311"/>
      <c r="VEA225" s="1311"/>
      <c r="VEB225" s="1311"/>
      <c r="VEC225" s="1311"/>
      <c r="VED225" s="1311"/>
      <c r="VEE225" s="1311"/>
      <c r="VEF225" s="1311"/>
      <c r="VEG225" s="1311"/>
      <c r="VEH225" s="1311"/>
      <c r="VEI225" s="1311"/>
      <c r="VEJ225" s="1311"/>
      <c r="VEK225" s="1311"/>
      <c r="VEL225" s="1311"/>
      <c r="VEM225" s="1311"/>
      <c r="VEN225" s="1311"/>
      <c r="VEO225" s="1311"/>
      <c r="VEP225" s="1311"/>
      <c r="VEQ225" s="1311"/>
      <c r="VER225" s="1311"/>
      <c r="VES225" s="1311"/>
      <c r="VET225" s="1311"/>
      <c r="VEU225" s="1311"/>
      <c r="VEV225" s="1311"/>
      <c r="VEW225" s="1311"/>
      <c r="VEX225" s="1311"/>
      <c r="VEY225" s="1311"/>
      <c r="VEZ225" s="1311"/>
      <c r="VFA225" s="1311"/>
      <c r="VFB225" s="1311"/>
      <c r="VFC225" s="1311"/>
      <c r="VFD225" s="1311"/>
      <c r="VFE225" s="1311"/>
      <c r="VFF225" s="1311"/>
      <c r="VFG225" s="1311"/>
      <c r="VFH225" s="1311"/>
      <c r="VFI225" s="1311"/>
      <c r="VFJ225" s="1311"/>
      <c r="VFK225" s="1311"/>
      <c r="VFL225" s="1311"/>
      <c r="VFM225" s="1311"/>
      <c r="VFN225" s="1311"/>
      <c r="VFO225" s="1311"/>
      <c r="VFP225" s="1311"/>
      <c r="VFQ225" s="1311"/>
      <c r="VFR225" s="1311"/>
      <c r="VFS225" s="1311"/>
      <c r="VFT225" s="1311"/>
      <c r="VFU225" s="1311"/>
      <c r="VFV225" s="1311"/>
      <c r="VFW225" s="1311"/>
      <c r="VFX225" s="1311"/>
      <c r="VFY225" s="1311"/>
      <c r="VFZ225" s="1311"/>
      <c r="VGA225" s="1311"/>
      <c r="VGB225" s="1311"/>
      <c r="VGC225" s="1311"/>
      <c r="VGD225" s="1311"/>
      <c r="VGE225" s="1311"/>
      <c r="VGF225" s="1311"/>
      <c r="VGG225" s="1311"/>
      <c r="VGH225" s="1311"/>
      <c r="VGI225" s="1311"/>
      <c r="VGJ225" s="1311"/>
      <c r="VGK225" s="1311"/>
      <c r="VGL225" s="1311"/>
      <c r="VGM225" s="1311"/>
      <c r="VGN225" s="1311"/>
      <c r="VGO225" s="1311"/>
      <c r="VGP225" s="1311"/>
      <c r="VGQ225" s="1311"/>
      <c r="VGR225" s="1311"/>
      <c r="VGS225" s="1311"/>
      <c r="VGT225" s="1311"/>
      <c r="VGU225" s="1311"/>
      <c r="VGV225" s="1311"/>
      <c r="VGW225" s="1311"/>
      <c r="VGX225" s="1311"/>
      <c r="VGY225" s="1311"/>
      <c r="VGZ225" s="1311"/>
      <c r="VHA225" s="1311"/>
      <c r="VHB225" s="1311"/>
      <c r="VHC225" s="1311"/>
      <c r="VHD225" s="1311"/>
      <c r="VHE225" s="1311"/>
      <c r="VHF225" s="1311"/>
      <c r="VHG225" s="1311"/>
      <c r="VHH225" s="1311"/>
      <c r="VHI225" s="1311"/>
      <c r="VHJ225" s="1311"/>
      <c r="VHK225" s="1311"/>
      <c r="VHL225" s="1311"/>
      <c r="VHM225" s="1311"/>
      <c r="VHN225" s="1311"/>
      <c r="VHO225" s="1311"/>
      <c r="VHP225" s="1311"/>
      <c r="VHQ225" s="1311"/>
      <c r="VHR225" s="1311"/>
      <c r="VHS225" s="1311"/>
      <c r="VHT225" s="1311"/>
      <c r="VHU225" s="1311"/>
      <c r="VHV225" s="1311"/>
      <c r="VHW225" s="1311"/>
      <c r="VHX225" s="1311"/>
      <c r="VHY225" s="1311"/>
      <c r="VHZ225" s="1311"/>
      <c r="VIA225" s="1311"/>
      <c r="VIB225" s="1311"/>
      <c r="VIC225" s="1311"/>
      <c r="VID225" s="1311"/>
      <c r="VIE225" s="1311"/>
      <c r="VIF225" s="1311"/>
      <c r="VIG225" s="1311"/>
      <c r="VIH225" s="1311"/>
      <c r="VII225" s="1311"/>
      <c r="VIJ225" s="1311"/>
      <c r="VIK225" s="1311"/>
      <c r="VIL225" s="1311"/>
      <c r="VIM225" s="1311"/>
      <c r="VIN225" s="1311"/>
      <c r="VIO225" s="1311"/>
      <c r="VIP225" s="1311"/>
      <c r="VIQ225" s="1311"/>
      <c r="VIR225" s="1311"/>
      <c r="VIS225" s="1311"/>
      <c r="VIT225" s="1311"/>
      <c r="VIU225" s="1311"/>
      <c r="VIV225" s="1311"/>
      <c r="VIW225" s="1311"/>
      <c r="VIX225" s="1311"/>
      <c r="VIY225" s="1311"/>
      <c r="VIZ225" s="1311"/>
      <c r="VJA225" s="1311"/>
      <c r="VJB225" s="1311"/>
      <c r="VJC225" s="1311"/>
      <c r="VJD225" s="1311"/>
      <c r="VJE225" s="1311"/>
      <c r="VJF225" s="1311"/>
      <c r="VJG225" s="1311"/>
      <c r="VJH225" s="1311"/>
      <c r="VJI225" s="1311"/>
      <c r="VJJ225" s="1311"/>
      <c r="VJK225" s="1311"/>
      <c r="VJL225" s="1311"/>
      <c r="VJM225" s="1311"/>
      <c r="VJN225" s="1311"/>
      <c r="VJO225" s="1311"/>
      <c r="VJP225" s="1311"/>
      <c r="VJQ225" s="1311"/>
      <c r="VJR225" s="1311"/>
      <c r="VJS225" s="1311"/>
      <c r="VJT225" s="1311"/>
      <c r="VJU225" s="1311"/>
      <c r="VJV225" s="1311"/>
      <c r="VJW225" s="1311"/>
      <c r="VJX225" s="1311"/>
      <c r="VJY225" s="1311"/>
      <c r="VJZ225" s="1311"/>
      <c r="VKA225" s="1311"/>
      <c r="VKB225" s="1311"/>
      <c r="VKC225" s="1311"/>
      <c r="VKD225" s="1311"/>
      <c r="VKE225" s="1311"/>
      <c r="VKF225" s="1311"/>
      <c r="VKG225" s="1311"/>
      <c r="VKH225" s="1311"/>
      <c r="VKI225" s="1311"/>
      <c r="VKJ225" s="1311"/>
      <c r="VKK225" s="1311"/>
      <c r="VKL225" s="1311"/>
      <c r="VKM225" s="1311"/>
      <c r="VKN225" s="1311"/>
      <c r="VKO225" s="1311"/>
      <c r="VKP225" s="1311"/>
      <c r="VKQ225" s="1311"/>
      <c r="VKR225" s="1311"/>
      <c r="VKS225" s="1311"/>
      <c r="VKT225" s="1311"/>
      <c r="VKU225" s="1311"/>
      <c r="VKV225" s="1311"/>
      <c r="VKW225" s="1311"/>
      <c r="VKX225" s="1311"/>
      <c r="VKY225" s="1311"/>
      <c r="VKZ225" s="1311"/>
      <c r="VLA225" s="1311"/>
      <c r="VLB225" s="1311"/>
      <c r="VLC225" s="1311"/>
      <c r="VLD225" s="1311"/>
      <c r="VLE225" s="1311"/>
      <c r="VLF225" s="1311"/>
      <c r="VLG225" s="1311"/>
      <c r="VLH225" s="1311"/>
      <c r="VLI225" s="1311"/>
      <c r="VLJ225" s="1311"/>
      <c r="VLK225" s="1311"/>
      <c r="VLL225" s="1311"/>
      <c r="VLM225" s="1311"/>
      <c r="VLN225" s="1311"/>
      <c r="VLO225" s="1311"/>
      <c r="VLP225" s="1311"/>
      <c r="VLQ225" s="1311"/>
      <c r="VLR225" s="1311"/>
      <c r="VLS225" s="1311"/>
      <c r="VLT225" s="1311"/>
      <c r="VLU225" s="1311"/>
      <c r="VLV225" s="1311"/>
      <c r="VLW225" s="1311"/>
      <c r="VLX225" s="1311"/>
      <c r="VLY225" s="1311"/>
      <c r="VLZ225" s="1311"/>
      <c r="VMA225" s="1311"/>
      <c r="VMB225" s="1311"/>
      <c r="VMC225" s="1311"/>
      <c r="VMD225" s="1311"/>
      <c r="VME225" s="1311"/>
      <c r="VMF225" s="1311"/>
      <c r="VMG225" s="1311"/>
      <c r="VMH225" s="1311"/>
      <c r="VMI225" s="1311"/>
      <c r="VMJ225" s="1311"/>
      <c r="VMK225" s="1311"/>
      <c r="VML225" s="1311"/>
      <c r="VMM225" s="1311"/>
      <c r="VMN225" s="1311"/>
      <c r="VMO225" s="1311"/>
      <c r="VMP225" s="1311"/>
      <c r="VMQ225" s="1311"/>
      <c r="VMR225" s="1311"/>
      <c r="VMS225" s="1311"/>
      <c r="VMT225" s="1311"/>
      <c r="VMU225" s="1311"/>
      <c r="VMV225" s="1311"/>
      <c r="VMW225" s="1311"/>
      <c r="VMX225" s="1311"/>
      <c r="VMY225" s="1311"/>
      <c r="VMZ225" s="1311"/>
      <c r="VNA225" s="1311"/>
      <c r="VNB225" s="1311"/>
      <c r="VNC225" s="1311"/>
      <c r="VND225" s="1311"/>
      <c r="VNE225" s="1311"/>
      <c r="VNF225" s="1311"/>
      <c r="VNG225" s="1311"/>
      <c r="VNH225" s="1311"/>
      <c r="VNI225" s="1311"/>
      <c r="VNJ225" s="1311"/>
      <c r="VNK225" s="1311"/>
      <c r="VNL225" s="1311"/>
      <c r="VNM225" s="1311"/>
      <c r="VNN225" s="1311"/>
      <c r="VNO225" s="1311"/>
      <c r="VNP225" s="1311"/>
      <c r="VNQ225" s="1311"/>
      <c r="VNR225" s="1311"/>
      <c r="VNS225" s="1311"/>
      <c r="VNT225" s="1311"/>
      <c r="VNU225" s="1311"/>
      <c r="VNV225" s="1311"/>
      <c r="VNW225" s="1311"/>
      <c r="VNX225" s="1311"/>
      <c r="VNY225" s="1311"/>
      <c r="VNZ225" s="1311"/>
      <c r="VOA225" s="1311"/>
      <c r="VOB225" s="1311"/>
      <c r="VOC225" s="1311"/>
      <c r="VOD225" s="1311"/>
      <c r="VOE225" s="1311"/>
      <c r="VOF225" s="1311"/>
      <c r="VOG225" s="1311"/>
      <c r="VOH225" s="1311"/>
      <c r="VOI225" s="1311"/>
      <c r="VOJ225" s="1311"/>
      <c r="VOK225" s="1311"/>
      <c r="VOL225" s="1311"/>
      <c r="VOM225" s="1311"/>
      <c r="VON225" s="1311"/>
      <c r="VOO225" s="1311"/>
      <c r="VOP225" s="1311"/>
      <c r="VOQ225" s="1311"/>
      <c r="VOR225" s="1311"/>
      <c r="VOS225" s="1311"/>
      <c r="VOT225" s="1311"/>
      <c r="VOU225" s="1311"/>
      <c r="VOV225" s="1311"/>
      <c r="VOW225" s="1311"/>
      <c r="VOX225" s="1311"/>
      <c r="VOY225" s="1311"/>
      <c r="VOZ225" s="1311"/>
      <c r="VPA225" s="1311"/>
      <c r="VPB225" s="1311"/>
      <c r="VPC225" s="1311"/>
      <c r="VPD225" s="1311"/>
      <c r="VPE225" s="1311"/>
      <c r="VPF225" s="1311"/>
      <c r="VPG225" s="1311"/>
      <c r="VPH225" s="1311"/>
      <c r="VPI225" s="1311"/>
      <c r="VPJ225" s="1311"/>
      <c r="VPK225" s="1311"/>
      <c r="VPL225" s="1311"/>
      <c r="VPM225" s="1311"/>
      <c r="VPN225" s="1311"/>
      <c r="VPO225" s="1311"/>
      <c r="VPP225" s="1311"/>
      <c r="VPQ225" s="1311"/>
      <c r="VPR225" s="1311"/>
      <c r="VPS225" s="1311"/>
      <c r="VPT225" s="1311"/>
      <c r="VPU225" s="1311"/>
      <c r="VPV225" s="1311"/>
      <c r="VPW225" s="1311"/>
      <c r="VPX225" s="1311"/>
      <c r="VPY225" s="1311"/>
      <c r="VPZ225" s="1311"/>
      <c r="VQA225" s="1311"/>
      <c r="VQB225" s="1311"/>
      <c r="VQC225" s="1311"/>
      <c r="VQD225" s="1311"/>
      <c r="VQE225" s="1311"/>
      <c r="VQF225" s="1311"/>
      <c r="VQG225" s="1311"/>
      <c r="VQH225" s="1311"/>
      <c r="VQI225" s="1311"/>
      <c r="VQJ225" s="1311"/>
      <c r="VQK225" s="1311"/>
      <c r="VQL225" s="1311"/>
      <c r="VQM225" s="1311"/>
      <c r="VQN225" s="1311"/>
      <c r="VQO225" s="1311"/>
      <c r="VQP225" s="1311"/>
      <c r="VQQ225" s="1311"/>
      <c r="VQR225" s="1311"/>
      <c r="VQS225" s="1311"/>
      <c r="VQT225" s="1311"/>
      <c r="VQU225" s="1311"/>
      <c r="VQV225" s="1311"/>
      <c r="VQW225" s="1311"/>
      <c r="VQX225" s="1311"/>
      <c r="VQY225" s="1311"/>
      <c r="VQZ225" s="1311"/>
      <c r="VRA225" s="1311"/>
      <c r="VRB225" s="1311"/>
      <c r="VRC225" s="1311"/>
      <c r="VRD225" s="1311"/>
      <c r="VRE225" s="1311"/>
      <c r="VRF225" s="1311"/>
      <c r="VRG225" s="1311"/>
      <c r="VRH225" s="1311"/>
      <c r="VRI225" s="1311"/>
      <c r="VRJ225" s="1311"/>
      <c r="VRK225" s="1311"/>
      <c r="VRL225" s="1311"/>
      <c r="VRM225" s="1311"/>
      <c r="VRN225" s="1311"/>
      <c r="VRO225" s="1311"/>
      <c r="VRP225" s="1311"/>
      <c r="VRQ225" s="1311"/>
      <c r="VRR225" s="1311"/>
      <c r="VRS225" s="1311"/>
      <c r="VRT225" s="1311"/>
      <c r="VRU225" s="1311"/>
      <c r="VRV225" s="1311"/>
      <c r="VRW225" s="1311"/>
      <c r="VRX225" s="1311"/>
      <c r="VRY225" s="1311"/>
      <c r="VRZ225" s="1311"/>
      <c r="VSA225" s="1311"/>
      <c r="VSB225" s="1311"/>
      <c r="VSC225" s="1311"/>
      <c r="VSD225" s="1311"/>
      <c r="VSE225" s="1311"/>
      <c r="VSF225" s="1311"/>
      <c r="VSG225" s="1311"/>
      <c r="VSH225" s="1311"/>
      <c r="VSI225" s="1311"/>
      <c r="VSJ225" s="1311"/>
      <c r="VSK225" s="1311"/>
      <c r="VSL225" s="1311"/>
      <c r="VSM225" s="1311"/>
      <c r="VSN225" s="1311"/>
      <c r="VSO225" s="1311"/>
      <c r="VSP225" s="1311"/>
      <c r="VSQ225" s="1311"/>
      <c r="VSR225" s="1311"/>
      <c r="VSS225" s="1311"/>
      <c r="VST225" s="1311"/>
      <c r="VSU225" s="1311"/>
      <c r="VSV225" s="1311"/>
      <c r="VSW225" s="1311"/>
      <c r="VSX225" s="1311"/>
      <c r="VSY225" s="1311"/>
      <c r="VSZ225" s="1311"/>
      <c r="VTA225" s="1311"/>
      <c r="VTB225" s="1311"/>
      <c r="VTC225" s="1311"/>
      <c r="VTD225" s="1311"/>
      <c r="VTE225" s="1311"/>
      <c r="VTF225" s="1311"/>
      <c r="VTG225" s="1311"/>
      <c r="VTH225" s="1311"/>
      <c r="VTI225" s="1311"/>
      <c r="VTJ225" s="1311"/>
      <c r="VTK225" s="1311"/>
      <c r="VTL225" s="1311"/>
      <c r="VTM225" s="1311"/>
      <c r="VTN225" s="1311"/>
      <c r="VTO225" s="1311"/>
      <c r="VTP225" s="1311"/>
      <c r="VTQ225" s="1311"/>
      <c r="VTR225" s="1311"/>
      <c r="VTS225" s="1311"/>
      <c r="VTT225" s="1311"/>
      <c r="VTU225" s="1311"/>
      <c r="VTV225" s="1311"/>
      <c r="VTW225" s="1311"/>
      <c r="VTX225" s="1311"/>
      <c r="VTY225" s="1311"/>
      <c r="VTZ225" s="1311"/>
      <c r="VUA225" s="1311"/>
      <c r="VUB225" s="1311"/>
      <c r="VUC225" s="1311"/>
      <c r="VUD225" s="1311"/>
      <c r="VUE225" s="1311"/>
      <c r="VUF225" s="1311"/>
      <c r="VUG225" s="1311"/>
      <c r="VUH225" s="1311"/>
      <c r="VUI225" s="1311"/>
      <c r="VUJ225" s="1311"/>
      <c r="VUK225" s="1311"/>
      <c r="VUL225" s="1311"/>
      <c r="VUM225" s="1311"/>
      <c r="VUN225" s="1311"/>
      <c r="VUO225" s="1311"/>
      <c r="VUP225" s="1311"/>
      <c r="VUQ225" s="1311"/>
      <c r="VUR225" s="1311"/>
      <c r="VUS225" s="1311"/>
      <c r="VUT225" s="1311"/>
      <c r="VUU225" s="1311"/>
      <c r="VUV225" s="1311"/>
      <c r="VUW225" s="1311"/>
      <c r="VUX225" s="1311"/>
      <c r="VUY225" s="1311"/>
      <c r="VUZ225" s="1311"/>
      <c r="VVA225" s="1311"/>
      <c r="VVB225" s="1311"/>
      <c r="VVC225" s="1311"/>
      <c r="VVD225" s="1311"/>
      <c r="VVE225" s="1311"/>
      <c r="VVF225" s="1311"/>
      <c r="VVG225" s="1311"/>
      <c r="VVH225" s="1311"/>
      <c r="VVI225" s="1311"/>
      <c r="VVJ225" s="1311"/>
      <c r="VVK225" s="1311"/>
      <c r="VVL225" s="1311"/>
      <c r="VVM225" s="1311"/>
      <c r="VVN225" s="1311"/>
      <c r="VVO225" s="1311"/>
      <c r="VVP225" s="1311"/>
      <c r="VVQ225" s="1311"/>
      <c r="VVR225" s="1311"/>
      <c r="VVS225" s="1311"/>
      <c r="VVT225" s="1311"/>
      <c r="VVU225" s="1311"/>
      <c r="VVV225" s="1311"/>
      <c r="VVW225" s="1311"/>
      <c r="VVX225" s="1311"/>
      <c r="VVY225" s="1311"/>
      <c r="VVZ225" s="1311"/>
      <c r="VWA225" s="1311"/>
      <c r="VWB225" s="1311"/>
      <c r="VWC225" s="1311"/>
      <c r="VWD225" s="1311"/>
      <c r="VWE225" s="1311"/>
      <c r="VWF225" s="1311"/>
      <c r="VWG225" s="1311"/>
      <c r="VWH225" s="1311"/>
      <c r="VWI225" s="1311"/>
      <c r="VWJ225" s="1311"/>
      <c r="VWK225" s="1311"/>
      <c r="VWL225" s="1311"/>
      <c r="VWM225" s="1311"/>
      <c r="VWN225" s="1311"/>
      <c r="VWO225" s="1311"/>
      <c r="VWP225" s="1311"/>
      <c r="VWQ225" s="1311"/>
      <c r="VWR225" s="1311"/>
      <c r="VWS225" s="1311"/>
      <c r="VWT225" s="1311"/>
      <c r="VWU225" s="1311"/>
      <c r="VWV225" s="1311"/>
      <c r="VWW225" s="1311"/>
      <c r="VWX225" s="1311"/>
      <c r="VWY225" s="1311"/>
      <c r="VWZ225" s="1311"/>
      <c r="VXA225" s="1311"/>
      <c r="VXB225" s="1311"/>
      <c r="VXC225" s="1311"/>
      <c r="VXD225" s="1311"/>
      <c r="VXE225" s="1311"/>
      <c r="VXF225" s="1311"/>
      <c r="VXG225" s="1311"/>
      <c r="VXH225" s="1311"/>
      <c r="VXI225" s="1311"/>
      <c r="VXJ225" s="1311"/>
      <c r="VXK225" s="1311"/>
      <c r="VXL225" s="1311"/>
      <c r="VXM225" s="1311"/>
      <c r="VXN225" s="1311"/>
      <c r="VXO225" s="1311"/>
      <c r="VXP225" s="1311"/>
      <c r="VXQ225" s="1311"/>
      <c r="VXR225" s="1311"/>
      <c r="VXS225" s="1311"/>
      <c r="VXT225" s="1311"/>
      <c r="VXU225" s="1311"/>
      <c r="VXV225" s="1311"/>
      <c r="VXW225" s="1311"/>
      <c r="VXX225" s="1311"/>
      <c r="VXY225" s="1311"/>
      <c r="VXZ225" s="1311"/>
      <c r="VYA225" s="1311"/>
      <c r="VYB225" s="1311"/>
      <c r="VYC225" s="1311"/>
      <c r="VYD225" s="1311"/>
      <c r="VYE225" s="1311"/>
      <c r="VYF225" s="1311"/>
      <c r="VYG225" s="1311"/>
      <c r="VYH225" s="1311"/>
      <c r="VYI225" s="1311"/>
      <c r="VYJ225" s="1311"/>
      <c r="VYK225" s="1311"/>
      <c r="VYL225" s="1311"/>
      <c r="VYM225" s="1311"/>
      <c r="VYN225" s="1311"/>
      <c r="VYO225" s="1311"/>
      <c r="VYP225" s="1311"/>
      <c r="VYQ225" s="1311"/>
      <c r="VYR225" s="1311"/>
      <c r="VYS225" s="1311"/>
      <c r="VYT225" s="1311"/>
      <c r="VYU225" s="1311"/>
      <c r="VYV225" s="1311"/>
      <c r="VYW225" s="1311"/>
      <c r="VYX225" s="1311"/>
      <c r="VYY225" s="1311"/>
      <c r="VYZ225" s="1311"/>
      <c r="VZA225" s="1311"/>
      <c r="VZB225" s="1311"/>
      <c r="VZC225" s="1311"/>
      <c r="VZD225" s="1311"/>
      <c r="VZE225" s="1311"/>
      <c r="VZF225" s="1311"/>
      <c r="VZG225" s="1311"/>
      <c r="VZH225" s="1311"/>
      <c r="VZI225" s="1311"/>
      <c r="VZJ225" s="1311"/>
      <c r="VZK225" s="1311"/>
      <c r="VZL225" s="1311"/>
      <c r="VZM225" s="1311"/>
      <c r="VZN225" s="1311"/>
      <c r="VZO225" s="1311"/>
      <c r="VZP225" s="1311"/>
      <c r="VZQ225" s="1311"/>
      <c r="VZR225" s="1311"/>
      <c r="VZS225" s="1311"/>
      <c r="VZT225" s="1311"/>
      <c r="VZU225" s="1311"/>
      <c r="VZV225" s="1311"/>
      <c r="VZW225" s="1311"/>
      <c r="VZX225" s="1311"/>
      <c r="VZY225" s="1311"/>
      <c r="VZZ225" s="1311"/>
      <c r="WAA225" s="1311"/>
      <c r="WAB225" s="1311"/>
      <c r="WAC225" s="1311"/>
      <c r="WAD225" s="1311"/>
      <c r="WAE225" s="1311"/>
      <c r="WAF225" s="1311"/>
      <c r="WAG225" s="1311"/>
      <c r="WAH225" s="1311"/>
      <c r="WAI225" s="1311"/>
      <c r="WAJ225" s="1311"/>
      <c r="WAK225" s="1311"/>
      <c r="WAL225" s="1311"/>
      <c r="WAM225" s="1311"/>
      <c r="WAN225" s="1311"/>
      <c r="WAO225" s="1311"/>
      <c r="WAP225" s="1311"/>
      <c r="WAQ225" s="1311"/>
      <c r="WAR225" s="1311"/>
      <c r="WAS225" s="1311"/>
      <c r="WAT225" s="1311"/>
      <c r="WAU225" s="1311"/>
      <c r="WAV225" s="1311"/>
      <c r="WAW225" s="1311"/>
      <c r="WAX225" s="1311"/>
      <c r="WAY225" s="1311"/>
      <c r="WAZ225" s="1311"/>
      <c r="WBA225" s="1311"/>
      <c r="WBB225" s="1311"/>
      <c r="WBC225" s="1311"/>
      <c r="WBD225" s="1311"/>
      <c r="WBE225" s="1311"/>
      <c r="WBF225" s="1311"/>
      <c r="WBG225" s="1311"/>
      <c r="WBH225" s="1311"/>
      <c r="WBI225" s="1311"/>
      <c r="WBJ225" s="1311"/>
      <c r="WBK225" s="1311"/>
      <c r="WBL225" s="1311"/>
      <c r="WBM225" s="1311"/>
      <c r="WBN225" s="1311"/>
      <c r="WBO225" s="1311"/>
      <c r="WBP225" s="1311"/>
      <c r="WBQ225" s="1311"/>
      <c r="WBR225" s="1311"/>
      <c r="WBS225" s="1311"/>
      <c r="WBT225" s="1311"/>
      <c r="WBU225" s="1311"/>
      <c r="WBV225" s="1311"/>
      <c r="WBW225" s="1311"/>
      <c r="WBX225" s="1311"/>
      <c r="WBY225" s="1311"/>
      <c r="WBZ225" s="1311"/>
      <c r="WCA225" s="1311"/>
      <c r="WCB225" s="1311"/>
      <c r="WCC225" s="1311"/>
      <c r="WCD225" s="1311"/>
      <c r="WCE225" s="1311"/>
      <c r="WCF225" s="1311"/>
      <c r="WCG225" s="1311"/>
      <c r="WCH225" s="1311"/>
      <c r="WCI225" s="1311"/>
      <c r="WCJ225" s="1311"/>
      <c r="WCK225" s="1311"/>
      <c r="WCL225" s="1311"/>
      <c r="WCM225" s="1311"/>
      <c r="WCN225" s="1311"/>
      <c r="WCO225" s="1311"/>
      <c r="WCP225" s="1311"/>
      <c r="WCQ225" s="1311"/>
      <c r="WCR225" s="1311"/>
      <c r="WCS225" s="1311"/>
      <c r="WCT225" s="1311"/>
      <c r="WCU225" s="1311"/>
      <c r="WCV225" s="1311"/>
      <c r="WCW225" s="1311"/>
      <c r="WCX225" s="1311"/>
      <c r="WCY225" s="1311"/>
      <c r="WCZ225" s="1311"/>
      <c r="WDA225" s="1311"/>
      <c r="WDB225" s="1311"/>
      <c r="WDC225" s="1311"/>
      <c r="WDD225" s="1311"/>
      <c r="WDE225" s="1311"/>
      <c r="WDF225" s="1311"/>
      <c r="WDG225" s="1311"/>
      <c r="WDH225" s="1311"/>
      <c r="WDI225" s="1311"/>
      <c r="WDJ225" s="1311"/>
      <c r="WDK225" s="1311"/>
      <c r="WDL225" s="1311"/>
      <c r="WDM225" s="1311"/>
      <c r="WDN225" s="1311"/>
      <c r="WDO225" s="1311"/>
      <c r="WDP225" s="1311"/>
      <c r="WDQ225" s="1311"/>
      <c r="WDR225" s="1311"/>
      <c r="WDS225" s="1311"/>
      <c r="WDT225" s="1311"/>
      <c r="WDU225" s="1311"/>
      <c r="WDV225" s="1311"/>
      <c r="WDW225" s="1311"/>
      <c r="WDX225" s="1311"/>
      <c r="WDY225" s="1311"/>
      <c r="WDZ225" s="1311"/>
      <c r="WEA225" s="1311"/>
      <c r="WEB225" s="1311"/>
      <c r="WEC225" s="1311"/>
      <c r="WED225" s="1311"/>
      <c r="WEE225" s="1311"/>
      <c r="WEF225" s="1311"/>
      <c r="WEG225" s="1311"/>
      <c r="WEH225" s="1311"/>
      <c r="WEI225" s="1311"/>
      <c r="WEJ225" s="1311"/>
      <c r="WEK225" s="1311"/>
      <c r="WEL225" s="1311"/>
      <c r="WEM225" s="1311"/>
      <c r="WEN225" s="1311"/>
      <c r="WEO225" s="1311"/>
      <c r="WEP225" s="1311"/>
      <c r="WEQ225" s="1311"/>
      <c r="WER225" s="1311"/>
      <c r="WES225" s="1311"/>
      <c r="WET225" s="1311"/>
      <c r="WEU225" s="1311"/>
      <c r="WEV225" s="1311"/>
      <c r="WEW225" s="1311"/>
      <c r="WEX225" s="1311"/>
      <c r="WEY225" s="1311"/>
      <c r="WEZ225" s="1311"/>
      <c r="WFA225" s="1311"/>
      <c r="WFB225" s="1311"/>
      <c r="WFC225" s="1311"/>
      <c r="WFD225" s="1311"/>
      <c r="WFE225" s="1311"/>
      <c r="WFF225" s="1311"/>
      <c r="WFG225" s="1311"/>
      <c r="WFH225" s="1311"/>
      <c r="WFI225" s="1311"/>
      <c r="WFJ225" s="1311"/>
      <c r="WFK225" s="1311"/>
      <c r="WFL225" s="1311"/>
      <c r="WFM225" s="1311"/>
      <c r="WFN225" s="1311"/>
      <c r="WFO225" s="1311"/>
      <c r="WFP225" s="1311"/>
      <c r="WFQ225" s="1311"/>
      <c r="WFR225" s="1311"/>
      <c r="WFS225" s="1311"/>
      <c r="WFT225" s="1311"/>
      <c r="WFU225" s="1311"/>
      <c r="WFV225" s="1311"/>
      <c r="WFW225" s="1311"/>
      <c r="WFX225" s="1311"/>
      <c r="WFY225" s="1311"/>
      <c r="WFZ225" s="1311"/>
      <c r="WGA225" s="1311"/>
      <c r="WGB225" s="1311"/>
      <c r="WGC225" s="1311"/>
      <c r="WGD225" s="1311"/>
      <c r="WGE225" s="1311"/>
      <c r="WGF225" s="1311"/>
      <c r="WGG225" s="1311"/>
      <c r="WGH225" s="1311"/>
      <c r="WGI225" s="1311"/>
      <c r="WGJ225" s="1311"/>
      <c r="WGK225" s="1311"/>
      <c r="WGL225" s="1311"/>
      <c r="WGM225" s="1311"/>
      <c r="WGN225" s="1311"/>
      <c r="WGO225" s="1311"/>
      <c r="WGP225" s="1311"/>
      <c r="WGQ225" s="1311"/>
      <c r="WGR225" s="1311"/>
      <c r="WGS225" s="1311"/>
      <c r="WGT225" s="1311"/>
      <c r="WGU225" s="1311"/>
      <c r="WGV225" s="1311"/>
      <c r="WGW225" s="1311"/>
      <c r="WGX225" s="1311"/>
      <c r="WGY225" s="1311"/>
      <c r="WGZ225" s="1311"/>
      <c r="WHA225" s="1311"/>
      <c r="WHB225" s="1311"/>
      <c r="WHC225" s="1311"/>
      <c r="WHD225" s="1311"/>
      <c r="WHE225" s="1311"/>
      <c r="WHF225" s="1311"/>
      <c r="WHG225" s="1311"/>
      <c r="WHH225" s="1311"/>
      <c r="WHI225" s="1311"/>
      <c r="WHJ225" s="1311"/>
      <c r="WHK225" s="1311"/>
      <c r="WHL225" s="1311"/>
      <c r="WHM225" s="1311"/>
      <c r="WHN225" s="1311"/>
      <c r="WHO225" s="1311"/>
      <c r="WHP225" s="1311"/>
      <c r="WHQ225" s="1311"/>
      <c r="WHR225" s="1311"/>
      <c r="WHS225" s="1311"/>
      <c r="WHT225" s="1311"/>
      <c r="WHU225" s="1311"/>
      <c r="WHV225" s="1311"/>
      <c r="WHW225" s="1311"/>
      <c r="WHX225" s="1311"/>
      <c r="WHY225" s="1311"/>
      <c r="WHZ225" s="1311"/>
      <c r="WIA225" s="1311"/>
      <c r="WIB225" s="1311"/>
      <c r="WIC225" s="1311"/>
      <c r="WID225" s="1311"/>
      <c r="WIE225" s="1311"/>
      <c r="WIF225" s="1311"/>
      <c r="WIG225" s="1311"/>
      <c r="WIH225" s="1311"/>
      <c r="WII225" s="1311"/>
      <c r="WIJ225" s="1311"/>
      <c r="WIK225" s="1311"/>
      <c r="WIL225" s="1311"/>
      <c r="WIM225" s="1311"/>
      <c r="WIN225" s="1311"/>
      <c r="WIO225" s="1311"/>
      <c r="WIP225" s="1311"/>
      <c r="WIQ225" s="1311"/>
      <c r="WIR225" s="1311"/>
      <c r="WIS225" s="1311"/>
      <c r="WIT225" s="1311"/>
      <c r="WIU225" s="1311"/>
      <c r="WIV225" s="1311"/>
      <c r="WIW225" s="1311"/>
      <c r="WIX225" s="1311"/>
      <c r="WIY225" s="1311"/>
      <c r="WIZ225" s="1311"/>
      <c r="WJA225" s="1311"/>
      <c r="WJB225" s="1311"/>
      <c r="WJC225" s="1311"/>
      <c r="WJD225" s="1311"/>
      <c r="WJE225" s="1311"/>
      <c r="WJF225" s="1311"/>
      <c r="WJG225" s="1311"/>
      <c r="WJH225" s="1311"/>
      <c r="WJI225" s="1311"/>
      <c r="WJJ225" s="1311"/>
      <c r="WJK225" s="1311"/>
      <c r="WJL225" s="1311"/>
      <c r="WJM225" s="1311"/>
      <c r="WJN225" s="1311"/>
      <c r="WJO225" s="1311"/>
      <c r="WJP225" s="1311"/>
      <c r="WJQ225" s="1311"/>
      <c r="WJR225" s="1311"/>
      <c r="WJS225" s="1311"/>
      <c r="WJT225" s="1311"/>
      <c r="WJU225" s="1311"/>
      <c r="WJV225" s="1311"/>
      <c r="WJW225" s="1311"/>
      <c r="WJX225" s="1311"/>
      <c r="WJY225" s="1311"/>
      <c r="WJZ225" s="1311"/>
      <c r="WKA225" s="1311"/>
      <c r="WKB225" s="1311"/>
      <c r="WKC225" s="1311"/>
      <c r="WKD225" s="1311"/>
      <c r="WKE225" s="1311"/>
      <c r="WKF225" s="1311"/>
      <c r="WKG225" s="1311"/>
      <c r="WKH225" s="1311"/>
      <c r="WKI225" s="1311"/>
      <c r="WKJ225" s="1311"/>
      <c r="WKK225" s="1311"/>
      <c r="WKL225" s="1311"/>
      <c r="WKM225" s="1311"/>
      <c r="WKN225" s="1311"/>
      <c r="WKO225" s="1311"/>
      <c r="WKP225" s="1311"/>
      <c r="WKQ225" s="1311"/>
      <c r="WKR225" s="1311"/>
      <c r="WKS225" s="1311"/>
      <c r="WKT225" s="1311"/>
      <c r="WKU225" s="1311"/>
      <c r="WKV225" s="1311"/>
      <c r="WKW225" s="1311"/>
      <c r="WKX225" s="1311"/>
      <c r="WKY225" s="1311"/>
      <c r="WKZ225" s="1311"/>
      <c r="WLA225" s="1311"/>
      <c r="WLB225" s="1311"/>
      <c r="WLC225" s="1311"/>
      <c r="WLD225" s="1311"/>
      <c r="WLE225" s="1311"/>
      <c r="WLF225" s="1311"/>
      <c r="WLG225" s="1311"/>
      <c r="WLH225" s="1311"/>
      <c r="WLI225" s="1311"/>
      <c r="WLJ225" s="1311"/>
      <c r="WLK225" s="1311"/>
      <c r="WLL225" s="1311"/>
      <c r="WLM225" s="1311"/>
      <c r="WLN225" s="1311"/>
      <c r="WLO225" s="1311"/>
      <c r="WLP225" s="1311"/>
      <c r="WLQ225" s="1311"/>
      <c r="WLR225" s="1311"/>
      <c r="WLS225" s="1311"/>
      <c r="WLT225" s="1311"/>
      <c r="WLU225" s="1311"/>
      <c r="WLV225" s="1311"/>
      <c r="WLW225" s="1311"/>
      <c r="WLX225" s="1311"/>
      <c r="WLY225" s="1311"/>
      <c r="WLZ225" s="1311"/>
      <c r="WMA225" s="1311"/>
      <c r="WMB225" s="1311"/>
      <c r="WMC225" s="1311"/>
      <c r="WMD225" s="1311"/>
      <c r="WME225" s="1311"/>
      <c r="WMF225" s="1311"/>
      <c r="WMG225" s="1311"/>
      <c r="WMH225" s="1311"/>
      <c r="WMI225" s="1311"/>
      <c r="WMJ225" s="1311"/>
      <c r="WMK225" s="1311"/>
      <c r="WML225" s="1311"/>
      <c r="WMM225" s="1311"/>
      <c r="WMN225" s="1311"/>
      <c r="WMO225" s="1311"/>
      <c r="WMP225" s="1311"/>
      <c r="WMQ225" s="1311"/>
      <c r="WMR225" s="1311"/>
      <c r="WMS225" s="1311"/>
      <c r="WMT225" s="1311"/>
      <c r="WMU225" s="1311"/>
      <c r="WMV225" s="1311"/>
      <c r="WMW225" s="1311"/>
      <c r="WMX225" s="1311"/>
      <c r="WMY225" s="1311"/>
      <c r="WMZ225" s="1311"/>
      <c r="WNA225" s="1311"/>
      <c r="WNB225" s="1311"/>
      <c r="WNC225" s="1311"/>
      <c r="WND225" s="1311"/>
      <c r="WNE225" s="1311"/>
      <c r="WNF225" s="1311"/>
      <c r="WNG225" s="1311"/>
      <c r="WNH225" s="1311"/>
      <c r="WNI225" s="1311"/>
      <c r="WNJ225" s="1311"/>
      <c r="WNK225" s="1311"/>
      <c r="WNL225" s="1311"/>
      <c r="WNM225" s="1311"/>
      <c r="WNN225" s="1311"/>
      <c r="WNO225" s="1311"/>
      <c r="WNP225" s="1311"/>
      <c r="WNQ225" s="1311"/>
      <c r="WNR225" s="1311"/>
      <c r="WNS225" s="1311"/>
      <c r="WNT225" s="1311"/>
      <c r="WNU225" s="1311"/>
      <c r="WNV225" s="1311"/>
      <c r="WNW225" s="1311"/>
      <c r="WNX225" s="1311"/>
      <c r="WNY225" s="1311"/>
      <c r="WNZ225" s="1311"/>
      <c r="WOA225" s="1311"/>
      <c r="WOB225" s="1311"/>
      <c r="WOC225" s="1311"/>
      <c r="WOD225" s="1311"/>
      <c r="WOE225" s="1311"/>
      <c r="WOF225" s="1311"/>
      <c r="WOG225" s="1311"/>
      <c r="WOH225" s="1311"/>
      <c r="WOI225" s="1311"/>
      <c r="WOJ225" s="1311"/>
      <c r="WOK225" s="1311"/>
      <c r="WOL225" s="1311"/>
      <c r="WOM225" s="1311"/>
      <c r="WON225" s="1311"/>
      <c r="WOO225" s="1311"/>
      <c r="WOP225" s="1311"/>
      <c r="WOQ225" s="1311"/>
      <c r="WOR225" s="1311"/>
      <c r="WOS225" s="1311"/>
      <c r="WOT225" s="1311"/>
      <c r="WOU225" s="1311"/>
      <c r="WOV225" s="1311"/>
      <c r="WOW225" s="1311"/>
      <c r="WOX225" s="1311"/>
      <c r="WOY225" s="1311"/>
      <c r="WOZ225" s="1311"/>
      <c r="WPA225" s="1311"/>
      <c r="WPB225" s="1311"/>
      <c r="WPC225" s="1311"/>
      <c r="WPD225" s="1311"/>
      <c r="WPE225" s="1311"/>
      <c r="WPF225" s="1311"/>
      <c r="WPG225" s="1311"/>
      <c r="WPH225" s="1311"/>
      <c r="WPI225" s="1311"/>
      <c r="WPJ225" s="1311"/>
      <c r="WPK225" s="1311"/>
      <c r="WPL225" s="1311"/>
      <c r="WPM225" s="1311"/>
      <c r="WPN225" s="1311"/>
      <c r="WPO225" s="1311"/>
      <c r="WPP225" s="1311"/>
      <c r="WPQ225" s="1311"/>
      <c r="WPR225" s="1311"/>
      <c r="WPS225" s="1311"/>
      <c r="WPT225" s="1311"/>
      <c r="WPU225" s="1311"/>
      <c r="WPV225" s="1311"/>
      <c r="WPW225" s="1311"/>
      <c r="WPX225" s="1311"/>
      <c r="WPY225" s="1311"/>
      <c r="WPZ225" s="1311"/>
      <c r="WQA225" s="1311"/>
      <c r="WQB225" s="1311"/>
      <c r="WQC225" s="1311"/>
      <c r="WQD225" s="1311"/>
      <c r="WQE225" s="1311"/>
      <c r="WQF225" s="1311"/>
      <c r="WQG225" s="1311"/>
      <c r="WQH225" s="1311"/>
      <c r="WQI225" s="1311"/>
      <c r="WQJ225" s="1311"/>
      <c r="WQK225" s="1311"/>
      <c r="WQL225" s="1311"/>
      <c r="WQM225" s="1311"/>
      <c r="WQN225" s="1311"/>
      <c r="WQO225" s="1311"/>
      <c r="WQP225" s="1311"/>
      <c r="WQQ225" s="1311"/>
      <c r="WQR225" s="1311"/>
      <c r="WQS225" s="1311"/>
      <c r="WQT225" s="1311"/>
      <c r="WQU225" s="1311"/>
      <c r="WQV225" s="1311"/>
      <c r="WQW225" s="1311"/>
      <c r="WQX225" s="1311"/>
      <c r="WQY225" s="1311"/>
      <c r="WQZ225" s="1311"/>
      <c r="WRA225" s="1311"/>
      <c r="WRB225" s="1311"/>
      <c r="WRC225" s="1311"/>
      <c r="WRD225" s="1311"/>
      <c r="WRE225" s="1311"/>
      <c r="WRF225" s="1311"/>
      <c r="WRG225" s="1311"/>
      <c r="WRH225" s="1311"/>
      <c r="WRI225" s="1311"/>
      <c r="WRJ225" s="1311"/>
      <c r="WRK225" s="1311"/>
      <c r="WRL225" s="1311"/>
      <c r="WRM225" s="1311"/>
      <c r="WRN225" s="1311"/>
      <c r="WRO225" s="1311"/>
      <c r="WRP225" s="1311"/>
      <c r="WRQ225" s="1311"/>
      <c r="WRR225" s="1311"/>
      <c r="WRS225" s="1311"/>
      <c r="WRT225" s="1311"/>
      <c r="WRU225" s="1311"/>
      <c r="WRV225" s="1311"/>
      <c r="WRW225" s="1311"/>
      <c r="WRX225" s="1311"/>
      <c r="WRY225" s="1311"/>
      <c r="WRZ225" s="1311"/>
      <c r="WSA225" s="1311"/>
      <c r="WSB225" s="1311"/>
      <c r="WSC225" s="1311"/>
      <c r="WSD225" s="1311"/>
      <c r="WSE225" s="1311"/>
      <c r="WSF225" s="1311"/>
      <c r="WSG225" s="1311"/>
      <c r="WSH225" s="1311"/>
      <c r="WSI225" s="1311"/>
      <c r="WSJ225" s="1311"/>
      <c r="WSK225" s="1311"/>
      <c r="WSL225" s="1311"/>
      <c r="WSM225" s="1311"/>
      <c r="WSN225" s="1311"/>
      <c r="WSO225" s="1311"/>
      <c r="WSP225" s="1311"/>
      <c r="WSQ225" s="1311"/>
      <c r="WSR225" s="1311"/>
      <c r="WSS225" s="1311"/>
      <c r="WST225" s="1311"/>
      <c r="WSU225" s="1311"/>
      <c r="WSV225" s="1311"/>
      <c r="WSW225" s="1311"/>
      <c r="WSX225" s="1311"/>
      <c r="WSY225" s="1311"/>
      <c r="WSZ225" s="1311"/>
      <c r="WTA225" s="1311"/>
      <c r="WTB225" s="1311"/>
      <c r="WTC225" s="1311"/>
      <c r="WTD225" s="1311"/>
      <c r="WTE225" s="1311"/>
      <c r="WTF225" s="1311"/>
      <c r="WTG225" s="1311"/>
      <c r="WTH225" s="1311"/>
      <c r="WTI225" s="1311"/>
      <c r="WTJ225" s="1311"/>
      <c r="WTK225" s="1311"/>
      <c r="WTL225" s="1311"/>
      <c r="WTM225" s="1311"/>
      <c r="WTN225" s="1311"/>
      <c r="WTO225" s="1311"/>
      <c r="WTP225" s="1311"/>
      <c r="WTQ225" s="1311"/>
      <c r="WTR225" s="1311"/>
      <c r="WTS225" s="1311"/>
      <c r="WTT225" s="1311"/>
      <c r="WTU225" s="1311"/>
      <c r="WTV225" s="1311"/>
      <c r="WTW225" s="1311"/>
      <c r="WTX225" s="1311"/>
      <c r="WTY225" s="1311"/>
      <c r="WTZ225" s="1311"/>
      <c r="WUA225" s="1311"/>
      <c r="WUB225" s="1311"/>
      <c r="WUC225" s="1311"/>
      <c r="WUD225" s="1311"/>
      <c r="WUE225" s="1311"/>
      <c r="WUF225" s="1311"/>
      <c r="WUG225" s="1311"/>
      <c r="WUH225" s="1311"/>
      <c r="WUI225" s="1311"/>
      <c r="WUJ225" s="1311"/>
      <c r="WUK225" s="1311"/>
      <c r="WUL225" s="1311"/>
      <c r="WUM225" s="1311"/>
      <c r="WUN225" s="1311"/>
      <c r="WUO225" s="1311"/>
      <c r="WUP225" s="1311"/>
      <c r="WUQ225" s="1311"/>
      <c r="WUR225" s="1311"/>
      <c r="WUS225" s="1311"/>
      <c r="WUT225" s="1311"/>
      <c r="WUU225" s="1311"/>
      <c r="WUV225" s="1311"/>
      <c r="WUW225" s="1311"/>
      <c r="WUX225" s="1311"/>
      <c r="WUY225" s="1311"/>
      <c r="WUZ225" s="1311"/>
      <c r="WVA225" s="1311"/>
      <c r="WVB225" s="1311"/>
      <c r="WVC225" s="1311"/>
      <c r="WVD225" s="1311"/>
      <c r="WVE225" s="1311"/>
      <c r="WVF225" s="1311"/>
      <c r="WVG225" s="1311"/>
      <c r="WVH225" s="1311"/>
      <c r="WVI225" s="1311"/>
      <c r="WVJ225" s="1311"/>
      <c r="WVK225" s="1311"/>
      <c r="WVL225" s="1311"/>
      <c r="WVM225" s="1311"/>
      <c r="WVN225" s="1311"/>
      <c r="WVO225" s="1311"/>
      <c r="WVP225" s="1311"/>
      <c r="WVQ225" s="1311"/>
      <c r="WVR225" s="1311"/>
      <c r="WVS225" s="1311"/>
      <c r="WVT225" s="1311"/>
      <c r="WVU225" s="1311"/>
      <c r="WVV225" s="1311"/>
      <c r="WVW225" s="1311"/>
      <c r="WVX225" s="1311"/>
      <c r="WVY225" s="1311"/>
      <c r="WVZ225" s="1311"/>
      <c r="WWA225" s="1311"/>
      <c r="WWB225" s="1311"/>
      <c r="WWC225" s="1311"/>
      <c r="WWD225" s="1311"/>
      <c r="WWE225" s="1311"/>
      <c r="WWF225" s="1311"/>
      <c r="WWG225" s="1311"/>
      <c r="WWH225" s="1311"/>
      <c r="WWI225" s="1311"/>
      <c r="WWJ225" s="1311"/>
      <c r="WWK225" s="1311"/>
      <c r="WWL225" s="1311"/>
      <c r="WWM225" s="1311"/>
      <c r="WWN225" s="1311"/>
      <c r="WWO225" s="1311"/>
      <c r="WWP225" s="1311"/>
      <c r="WWQ225" s="1311"/>
      <c r="WWR225" s="1311"/>
      <c r="WWS225" s="1311"/>
      <c r="WWT225" s="1311"/>
      <c r="WWU225" s="1311"/>
      <c r="WWV225" s="1311"/>
      <c r="WWW225" s="1311"/>
      <c r="WWX225" s="1311"/>
      <c r="WWY225" s="1311"/>
      <c r="WWZ225" s="1311"/>
      <c r="WXA225" s="1311"/>
      <c r="WXB225" s="1311"/>
      <c r="WXC225" s="1311"/>
      <c r="WXD225" s="1311"/>
      <c r="WXE225" s="1311"/>
      <c r="WXF225" s="1311"/>
      <c r="WXG225" s="1311"/>
      <c r="WXH225" s="1311"/>
      <c r="WXI225" s="1311"/>
      <c r="WXJ225" s="1311"/>
      <c r="WXK225" s="1311"/>
      <c r="WXL225" s="1311"/>
      <c r="WXM225" s="1311"/>
      <c r="WXN225" s="1311"/>
      <c r="WXO225" s="1311"/>
      <c r="WXP225" s="1311"/>
      <c r="WXQ225" s="1311"/>
      <c r="WXR225" s="1311"/>
      <c r="WXS225" s="1311"/>
      <c r="WXT225" s="1311"/>
      <c r="WXU225" s="1311"/>
      <c r="WXV225" s="1311"/>
      <c r="WXW225" s="1311"/>
      <c r="WXX225" s="1311"/>
      <c r="WXY225" s="1311"/>
      <c r="WXZ225" s="1311"/>
      <c r="WYA225" s="1311"/>
      <c r="WYB225" s="1311"/>
      <c r="WYC225" s="1311"/>
      <c r="WYD225" s="1311"/>
      <c r="WYE225" s="1311"/>
      <c r="WYF225" s="1311"/>
      <c r="WYG225" s="1311"/>
      <c r="WYH225" s="1311"/>
      <c r="WYI225" s="1311"/>
      <c r="WYJ225" s="1311"/>
      <c r="WYK225" s="1311"/>
      <c r="WYL225" s="1311"/>
      <c r="WYM225" s="1311"/>
      <c r="WYN225" s="1311"/>
      <c r="WYO225" s="1311"/>
      <c r="WYP225" s="1311"/>
      <c r="WYQ225" s="1311"/>
      <c r="WYR225" s="1311"/>
      <c r="WYS225" s="1311"/>
      <c r="WYT225" s="1311"/>
      <c r="WYU225" s="1311"/>
      <c r="WYV225" s="1311"/>
      <c r="WYW225" s="1311"/>
      <c r="WYX225" s="1311"/>
      <c r="WYY225" s="1311"/>
      <c r="WYZ225" s="1311"/>
      <c r="WZA225" s="1311"/>
      <c r="WZB225" s="1311"/>
      <c r="WZC225" s="1311"/>
      <c r="WZD225" s="1311"/>
      <c r="WZE225" s="1311"/>
      <c r="WZF225" s="1311"/>
      <c r="WZG225" s="1311"/>
      <c r="WZH225" s="1311"/>
      <c r="WZI225" s="1311"/>
      <c r="WZJ225" s="1311"/>
      <c r="WZK225" s="1311"/>
      <c r="WZL225" s="1311"/>
      <c r="WZM225" s="1311"/>
      <c r="WZN225" s="1311"/>
      <c r="WZO225" s="1311"/>
      <c r="WZP225" s="1311"/>
      <c r="WZQ225" s="1311"/>
      <c r="WZR225" s="1311"/>
      <c r="WZS225" s="1311"/>
      <c r="WZT225" s="1311"/>
      <c r="WZU225" s="1311"/>
      <c r="WZV225" s="1311"/>
      <c r="WZW225" s="1311"/>
      <c r="WZX225" s="1311"/>
      <c r="WZY225" s="1311"/>
      <c r="WZZ225" s="1311"/>
      <c r="XAA225" s="1311"/>
      <c r="XAB225" s="1311"/>
      <c r="XAC225" s="1311"/>
      <c r="XAD225" s="1311"/>
      <c r="XAE225" s="1311"/>
      <c r="XAF225" s="1311"/>
      <c r="XAG225" s="1311"/>
      <c r="XAH225" s="1311"/>
      <c r="XAI225" s="1311"/>
      <c r="XAJ225" s="1311"/>
      <c r="XAK225" s="1311"/>
      <c r="XAL225" s="1311"/>
      <c r="XAM225" s="1311"/>
      <c r="XAN225" s="1311"/>
      <c r="XAO225" s="1311"/>
      <c r="XAP225" s="1311"/>
      <c r="XAQ225" s="1311"/>
      <c r="XAR225" s="1311"/>
      <c r="XAS225" s="1311"/>
      <c r="XAT225" s="1311"/>
      <c r="XAU225" s="1311"/>
      <c r="XAV225" s="1311"/>
      <c r="XAW225" s="1311"/>
      <c r="XAX225" s="1311"/>
      <c r="XAY225" s="1311"/>
      <c r="XAZ225" s="1311"/>
      <c r="XBA225" s="1311"/>
      <c r="XBB225" s="1311"/>
      <c r="XBC225" s="1311"/>
      <c r="XBD225" s="1311"/>
      <c r="XBE225" s="1311"/>
      <c r="XBF225" s="1311"/>
      <c r="XBG225" s="1311"/>
      <c r="XBH225" s="1311"/>
      <c r="XBI225" s="1311"/>
      <c r="XBJ225" s="1311"/>
      <c r="XBK225" s="1311"/>
      <c r="XBL225" s="1311"/>
      <c r="XBM225" s="1311"/>
      <c r="XBN225" s="1311"/>
      <c r="XBO225" s="1311"/>
      <c r="XBP225" s="1311"/>
      <c r="XBQ225" s="1311"/>
      <c r="XBR225" s="1311"/>
      <c r="XBS225" s="1311"/>
      <c r="XBT225" s="1311"/>
      <c r="XBU225" s="1311"/>
      <c r="XBV225" s="1311"/>
      <c r="XBW225" s="1311"/>
      <c r="XBX225" s="1311"/>
      <c r="XBY225" s="1311"/>
      <c r="XBZ225" s="1311"/>
      <c r="XCA225" s="1311"/>
      <c r="XCB225" s="1311"/>
      <c r="XCC225" s="1311"/>
      <c r="XCD225" s="1311"/>
      <c r="XCE225" s="1311"/>
      <c r="XCF225" s="1311"/>
      <c r="XCG225" s="1311"/>
      <c r="XCH225" s="1311"/>
      <c r="XCI225" s="1311"/>
      <c r="XCJ225" s="1311"/>
      <c r="XCK225" s="1311"/>
      <c r="XCL225" s="1311"/>
      <c r="XCM225" s="1311"/>
      <c r="XCN225" s="1311"/>
      <c r="XCO225" s="1311"/>
      <c r="XCP225" s="1311"/>
      <c r="XCQ225" s="1311"/>
      <c r="XCR225" s="1311"/>
      <c r="XCS225" s="1311"/>
      <c r="XCT225" s="1311"/>
      <c r="XCU225" s="1311"/>
      <c r="XCV225" s="1311"/>
      <c r="XCW225" s="1311"/>
      <c r="XCX225" s="1311"/>
      <c r="XCY225" s="1311"/>
      <c r="XCZ225" s="1311"/>
      <c r="XDA225" s="1311"/>
      <c r="XDB225" s="1311"/>
      <c r="XDC225" s="1311"/>
      <c r="XDD225" s="1311"/>
      <c r="XDE225" s="1311"/>
      <c r="XDF225" s="1311"/>
      <c r="XDG225" s="1311"/>
      <c r="XDH225" s="1311"/>
      <c r="XDI225" s="1311"/>
      <c r="XDJ225" s="1311"/>
      <c r="XDK225" s="1311"/>
      <c r="XDL225" s="1311"/>
      <c r="XDM225" s="1311"/>
      <c r="XDN225" s="1311"/>
      <c r="XDO225" s="1311"/>
      <c r="XDP225" s="1311"/>
      <c r="XDQ225" s="1311"/>
      <c r="XDR225" s="1311"/>
      <c r="XDS225" s="1311"/>
      <c r="XDT225" s="1311"/>
      <c r="XDU225" s="1311"/>
      <c r="XDV225" s="1311"/>
      <c r="XDW225" s="1311"/>
      <c r="XDX225" s="1311"/>
      <c r="XDY225" s="1311"/>
      <c r="XDZ225" s="1311"/>
      <c r="XEA225" s="1311"/>
      <c r="XEB225" s="1311"/>
      <c r="XEC225" s="1311"/>
      <c r="XED225" s="1311"/>
      <c r="XEE225" s="1311"/>
      <c r="XEF225" s="1311"/>
      <c r="XEG225" s="1311"/>
      <c r="XEH225" s="1311"/>
      <c r="XEI225" s="1311"/>
      <c r="XEJ225" s="1311"/>
      <c r="XEK225" s="1311"/>
      <c r="XEL225" s="1311"/>
      <c r="XEM225" s="1311"/>
      <c r="XEN225" s="1311"/>
      <c r="XEO225" s="1311"/>
      <c r="XEP225" s="1311"/>
      <c r="XEQ225" s="1311"/>
      <c r="XER225" s="1311"/>
      <c r="XES225" s="1311"/>
      <c r="XET225" s="1311"/>
      <c r="XEU225" s="1311"/>
      <c r="XEV225" s="1311"/>
      <c r="XEW225" s="1311"/>
      <c r="XEX225" s="1311"/>
      <c r="XEY225" s="1311"/>
      <c r="XEZ225" s="1311"/>
      <c r="XFA225" s="1311"/>
      <c r="XFB225" s="1311"/>
      <c r="XFC225" s="1311"/>
      <c r="XFD225" s="1311"/>
    </row>
    <row r="226" spans="1:16384" s="39" customFormat="1" ht="6" customHeight="1">
      <c r="A226" s="1282"/>
    </row>
    <row r="227" spans="1:16384" s="39" customFormat="1" ht="28.5" customHeight="1">
      <c r="A227" s="1282"/>
      <c r="D227" s="1311" t="s">
        <v>842</v>
      </c>
      <c r="E227" s="1306"/>
      <c r="F227" s="1306"/>
      <c r="G227" s="1306"/>
      <c r="H227" s="1306"/>
    </row>
    <row r="228" spans="1:16384" s="2" customFormat="1" ht="7.35" customHeight="1">
      <c r="A228" s="1282"/>
      <c r="B228" s="39"/>
      <c r="C228" s="39"/>
      <c r="D228" s="39"/>
      <c r="E228" s="39"/>
      <c r="F228" s="39"/>
      <c r="G228" s="39"/>
      <c r="H228" s="39"/>
    </row>
    <row r="229" spans="1:16384" s="2" customFormat="1" ht="12.75" customHeight="1">
      <c r="A229" s="46">
        <v>3</v>
      </c>
      <c r="B229" s="21" t="s">
        <v>843</v>
      </c>
      <c r="C229" s="39"/>
      <c r="D229" s="39"/>
      <c r="E229" s="39"/>
      <c r="F229" s="39"/>
      <c r="G229" s="39"/>
      <c r="H229" s="39"/>
    </row>
    <row r="230" spans="1:16384" s="2" customFormat="1" ht="7.35" customHeight="1">
      <c r="A230" s="1282"/>
      <c r="B230" s="39"/>
      <c r="C230" s="39"/>
      <c r="D230" s="39"/>
      <c r="E230" s="39"/>
      <c r="F230" s="39"/>
      <c r="G230" s="39"/>
      <c r="H230" s="39"/>
    </row>
    <row r="231" spans="1:16384" s="752" customFormat="1" ht="64.5" customHeight="1">
      <c r="A231" s="1282"/>
      <c r="B231" s="1304" t="s">
        <v>844</v>
      </c>
      <c r="C231" s="1304"/>
      <c r="D231" s="1304"/>
      <c r="E231" s="1304"/>
      <c r="F231" s="1304"/>
      <c r="G231" s="1304"/>
      <c r="H231" s="1304"/>
    </row>
    <row r="232" spans="1:16384" s="2" customFormat="1" ht="7.35" customHeight="1">
      <c r="A232" s="1282"/>
      <c r="B232" s="39"/>
      <c r="C232" s="39"/>
      <c r="D232" s="39"/>
      <c r="E232" s="39"/>
      <c r="F232" s="39"/>
      <c r="G232" s="39"/>
      <c r="H232" s="39"/>
    </row>
    <row r="233" spans="1:16384" s="2" customFormat="1" ht="25.5" customHeight="1">
      <c r="A233" s="1282"/>
      <c r="B233" s="46" t="s">
        <v>674</v>
      </c>
      <c r="C233" s="1308" t="s">
        <v>845</v>
      </c>
      <c r="D233" s="1308"/>
      <c r="E233" s="1308"/>
      <c r="F233" s="1308"/>
      <c r="G233" s="1308"/>
      <c r="H233" s="1308"/>
    </row>
    <row r="234" spans="1:16384" s="752" customFormat="1" ht="89.25" customHeight="1">
      <c r="A234" s="1282"/>
      <c r="B234" s="1282"/>
      <c r="C234" s="1304" t="s">
        <v>846</v>
      </c>
      <c r="D234" s="1304"/>
      <c r="E234" s="1304"/>
      <c r="F234" s="1304"/>
      <c r="G234" s="1304"/>
      <c r="H234" s="1304"/>
    </row>
    <row r="235" spans="1:16384" s="2" customFormat="1" ht="7.35" customHeight="1">
      <c r="A235" s="1282"/>
      <c r="B235" s="1282"/>
      <c r="C235" s="39"/>
      <c r="D235" s="39"/>
      <c r="E235" s="39"/>
      <c r="F235" s="39"/>
      <c r="G235" s="39"/>
      <c r="H235" s="39"/>
    </row>
    <row r="236" spans="1:16384" s="2" customFormat="1" ht="12.75" customHeight="1">
      <c r="A236" s="1282"/>
      <c r="B236" s="46" t="s">
        <v>692</v>
      </c>
      <c r="C236" s="21" t="s">
        <v>847</v>
      </c>
      <c r="D236" s="39"/>
      <c r="E236" s="1247"/>
      <c r="F236" s="1247"/>
      <c r="G236" s="1247"/>
      <c r="H236" s="1247"/>
    </row>
    <row r="237" spans="1:16384" s="2" customFormat="1" ht="63" customHeight="1">
      <c r="A237" s="1282"/>
      <c r="B237" s="46"/>
      <c r="C237" s="1304" t="s">
        <v>848</v>
      </c>
      <c r="D237" s="1304"/>
      <c r="E237" s="1304"/>
      <c r="F237" s="1304"/>
      <c r="G237" s="1304"/>
      <c r="H237" s="1304"/>
    </row>
    <row r="238" spans="1:16384" s="2" customFormat="1" ht="9.75" customHeight="1">
      <c r="A238" s="1282"/>
      <c r="B238" s="46"/>
      <c r="C238" s="39"/>
      <c r="D238" s="1240"/>
      <c r="E238" s="1240"/>
      <c r="F238" s="1240"/>
      <c r="G238" s="1240"/>
      <c r="H238" s="1240"/>
    </row>
    <row r="239" spans="1:16384" s="2" customFormat="1" ht="12.75" customHeight="1">
      <c r="A239" s="1282"/>
      <c r="B239" s="46" t="s">
        <v>849</v>
      </c>
      <c r="C239" s="1308" t="s">
        <v>850</v>
      </c>
      <c r="D239" s="1304"/>
      <c r="E239" s="1304"/>
      <c r="F239" s="1304"/>
      <c r="G239" s="1304"/>
      <c r="H239" s="1304"/>
    </row>
    <row r="240" spans="1:16384" s="752" customFormat="1" ht="51" customHeight="1">
      <c r="A240" s="1282"/>
      <c r="B240" s="1282"/>
      <c r="C240" s="1304" t="s">
        <v>851</v>
      </c>
      <c r="D240" s="1304"/>
      <c r="E240" s="1304"/>
      <c r="F240" s="1304"/>
      <c r="G240" s="1304"/>
      <c r="H240" s="1304"/>
    </row>
    <row r="241" spans="1:18" ht="7.35" customHeight="1">
      <c r="A241" s="1282"/>
      <c r="B241" s="1282"/>
    </row>
    <row r="242" spans="1:18" ht="12.75" customHeight="1">
      <c r="A242" s="1282"/>
      <c r="B242" s="46" t="s">
        <v>707</v>
      </c>
      <c r="C242" s="210" t="s">
        <v>852</v>
      </c>
      <c r="D242" s="210"/>
      <c r="E242" s="210"/>
      <c r="F242" s="210"/>
      <c r="G242" s="210"/>
    </row>
    <row r="243" spans="1:18" s="752" customFormat="1" ht="66.75" customHeight="1">
      <c r="A243" s="1282"/>
      <c r="B243" s="1282"/>
      <c r="C243" s="1304" t="s">
        <v>853</v>
      </c>
      <c r="D243" s="1304"/>
      <c r="E243" s="1304"/>
      <c r="F243" s="1304"/>
      <c r="G243" s="1304"/>
      <c r="H243" s="1304"/>
    </row>
    <row r="244" spans="1:18" ht="7.35" customHeight="1">
      <c r="A244" s="1282"/>
      <c r="B244" s="1282"/>
    </row>
    <row r="245" spans="1:18" ht="12.75" customHeight="1">
      <c r="A245" s="1282"/>
      <c r="B245" s="46" t="s">
        <v>715</v>
      </c>
      <c r="C245" s="21" t="s">
        <v>854</v>
      </c>
    </row>
    <row r="246" spans="1:18" s="752" customFormat="1" ht="130.5" customHeight="1">
      <c r="A246" s="1282"/>
      <c r="B246" s="1282"/>
      <c r="C246" s="1305" t="s">
        <v>855</v>
      </c>
      <c r="D246" s="1304"/>
      <c r="E246" s="1304"/>
      <c r="F246" s="1304"/>
      <c r="G246" s="1304"/>
      <c r="H246" s="1304"/>
      <c r="J246" s="755"/>
      <c r="K246" s="755"/>
      <c r="L246" s="755"/>
      <c r="M246" s="755"/>
      <c r="N246" s="755"/>
      <c r="O246" s="755"/>
      <c r="P246" s="755"/>
      <c r="Q246" s="755"/>
      <c r="R246" s="755"/>
    </row>
    <row r="247" spans="1:18" s="752" customFormat="1" ht="7.35" customHeight="1">
      <c r="A247" s="1282"/>
      <c r="B247" s="1282"/>
      <c r="D247" s="1240"/>
      <c r="E247" s="1240"/>
      <c r="F247" s="1240"/>
      <c r="G247" s="1240"/>
      <c r="H247" s="1240"/>
    </row>
    <row r="248" spans="1:18" s="752" customFormat="1" ht="77.25" customHeight="1">
      <c r="A248" s="1282"/>
      <c r="B248" s="1282"/>
      <c r="C248" s="1304" t="s">
        <v>856</v>
      </c>
      <c r="D248" s="1304"/>
      <c r="E248" s="1304"/>
      <c r="F248" s="1304"/>
      <c r="G248" s="1304"/>
      <c r="H248" s="1304"/>
      <c r="K248" s="756"/>
      <c r="L248" s="756"/>
      <c r="M248" s="756"/>
      <c r="N248" s="756"/>
      <c r="O248" s="756"/>
      <c r="P248" s="756"/>
    </row>
    <row r="249" spans="1:18" ht="7.35" customHeight="1">
      <c r="A249" s="1282"/>
      <c r="B249" s="1282"/>
    </row>
    <row r="250" spans="1:18" ht="12.75" customHeight="1">
      <c r="A250" s="1282"/>
      <c r="B250" s="46" t="s">
        <v>719</v>
      </c>
      <c r="C250" s="21" t="s">
        <v>857</v>
      </c>
    </row>
    <row r="251" spans="1:18" s="752" customFormat="1" ht="78" customHeight="1">
      <c r="A251" s="1282"/>
      <c r="B251" s="1282"/>
      <c r="C251" s="1305" t="s">
        <v>858</v>
      </c>
      <c r="D251" s="1304"/>
      <c r="E251" s="1304"/>
      <c r="F251" s="1304"/>
      <c r="G251" s="1304"/>
      <c r="H251" s="1304"/>
      <c r="J251" s="1247"/>
      <c r="K251" s="1247"/>
    </row>
    <row r="252" spans="1:18" ht="7.35" customHeight="1">
      <c r="A252" s="1282"/>
      <c r="B252" s="1282"/>
    </row>
    <row r="253" spans="1:18" ht="12.75" customHeight="1">
      <c r="A253" s="1282"/>
      <c r="B253" s="46" t="s">
        <v>725</v>
      </c>
      <c r="C253" s="21" t="s">
        <v>859</v>
      </c>
    </row>
    <row r="254" spans="1:18" ht="51" customHeight="1">
      <c r="A254" s="1282"/>
      <c r="B254" s="1282"/>
      <c r="C254" s="1304" t="s">
        <v>860</v>
      </c>
      <c r="D254" s="1304"/>
      <c r="E254" s="1304"/>
      <c r="F254" s="1304"/>
      <c r="G254" s="1304"/>
      <c r="H254" s="1304"/>
    </row>
    <row r="255" spans="1:18" ht="7.35" customHeight="1">
      <c r="A255" s="1282"/>
      <c r="B255" s="1282"/>
    </row>
    <row r="256" spans="1:18" ht="12.75" customHeight="1">
      <c r="A256" s="1282"/>
      <c r="B256" s="46" t="s">
        <v>730</v>
      </c>
      <c r="C256" s="21" t="s">
        <v>861</v>
      </c>
    </row>
    <row r="257" spans="1:8" ht="67.5" customHeight="1">
      <c r="A257" s="1282"/>
      <c r="B257" s="1282"/>
      <c r="C257" s="1304" t="s">
        <v>862</v>
      </c>
      <c r="D257" s="1304"/>
      <c r="E257" s="1304"/>
      <c r="F257" s="1304"/>
      <c r="G257" s="1304"/>
      <c r="H257" s="1304"/>
    </row>
    <row r="258" spans="1:8" ht="7.35" customHeight="1">
      <c r="A258" s="1282"/>
      <c r="B258" s="1282"/>
    </row>
    <row r="259" spans="1:8" ht="12.75" customHeight="1">
      <c r="A259" s="1282"/>
      <c r="B259" s="46" t="s">
        <v>742</v>
      </c>
      <c r="C259" s="21" t="s">
        <v>863</v>
      </c>
    </row>
    <row r="260" spans="1:8" ht="12.75" customHeight="1">
      <c r="A260" s="1282"/>
      <c r="C260" s="1304" t="s">
        <v>864</v>
      </c>
      <c r="D260" s="1304"/>
      <c r="E260" s="1304"/>
      <c r="F260" s="1304"/>
      <c r="G260" s="1304"/>
      <c r="H260" s="1304"/>
    </row>
    <row r="261" spans="1:8" s="39" customFormat="1" ht="7.35" customHeight="1">
      <c r="A261" s="1282"/>
      <c r="D261" s="1247"/>
      <c r="E261" s="1247"/>
      <c r="F261" s="1247"/>
      <c r="G261" s="1247"/>
      <c r="H261" s="1247"/>
    </row>
    <row r="262" spans="1:8" s="39" customFormat="1" ht="15" customHeight="1">
      <c r="A262" s="1282"/>
      <c r="B262" s="46"/>
      <c r="C262" s="210"/>
      <c r="D262" s="1241"/>
      <c r="E262" s="1241"/>
      <c r="F262" s="1241"/>
      <c r="G262" s="1241"/>
    </row>
    <row r="263" spans="1:8" ht="5.25" customHeight="1">
      <c r="A263" s="1282"/>
      <c r="D263" s="1247"/>
      <c r="E263" s="1247"/>
      <c r="F263" s="1247"/>
      <c r="G263" s="1247"/>
      <c r="H263" s="1247"/>
    </row>
    <row r="275" spans="3:8" ht="13.9">
      <c r="C275" s="1312"/>
      <c r="D275" s="1312"/>
      <c r="E275" s="1312"/>
      <c r="F275" s="1312"/>
      <c r="G275" s="1312"/>
      <c r="H275" s="1312"/>
    </row>
    <row r="322" spans="1:13" ht="12.75" customHeight="1">
      <c r="A322" s="46">
        <v>4</v>
      </c>
      <c r="B322" s="21" t="s">
        <v>865</v>
      </c>
      <c r="D322" s="1247"/>
      <c r="E322" s="1247"/>
      <c r="F322" s="1247"/>
      <c r="G322" s="1247"/>
      <c r="H322" s="1247"/>
    </row>
    <row r="323" spans="1:13" ht="12.75" customHeight="1">
      <c r="A323" s="1282"/>
      <c r="B323" s="21" t="s">
        <v>866</v>
      </c>
      <c r="C323" s="2"/>
      <c r="D323" s="1247"/>
      <c r="E323" s="1247"/>
      <c r="F323" s="1247"/>
      <c r="G323" s="1247"/>
      <c r="H323" s="1247"/>
    </row>
    <row r="324" spans="1:13" ht="54" customHeight="1">
      <c r="B324" s="21" t="s">
        <v>674</v>
      </c>
      <c r="C324" s="1304"/>
      <c r="D324" s="1304"/>
      <c r="E324" s="1304"/>
      <c r="F324" s="1304"/>
      <c r="G324" s="1304"/>
      <c r="H324" s="1304"/>
      <c r="M324" s="2">
        <v>37</v>
      </c>
    </row>
    <row r="326" spans="1:13" ht="26.25" customHeight="1">
      <c r="B326" s="21" t="s">
        <v>692</v>
      </c>
      <c r="C326" s="1309" t="s">
        <v>867</v>
      </c>
      <c r="D326" s="1309"/>
      <c r="E326" s="1309"/>
      <c r="F326" s="1309"/>
      <c r="G326" s="1309"/>
      <c r="H326" s="1309"/>
    </row>
    <row r="327" spans="1:13">
      <c r="C327" s="39" t="s">
        <v>868</v>
      </c>
    </row>
    <row r="328" spans="1:13">
      <c r="C328" s="39" t="s">
        <v>869</v>
      </c>
    </row>
  </sheetData>
  <sheetProtection algorithmName="SHA-512" hashValue="EYEeLTFAxA8OttQbFjiRh40mw/ONMnEpnAzfB6UVvmO/aLNsJNKWeKZafoP0nl0z1yYSaNIHrlogc0eFNqaOSw==" saltValue="VzH3j4oopmpeFe7zxf1Jlg==" spinCount="100000" sheet="1" objects="1" scenarios="1"/>
  <mergeCells count="4215">
    <mergeCell ref="C275:H275"/>
    <mergeCell ref="C324:H324"/>
    <mergeCell ref="C326:H326"/>
    <mergeCell ref="C246:H246"/>
    <mergeCell ref="C248:H248"/>
    <mergeCell ref="C251:H251"/>
    <mergeCell ref="C254:H254"/>
    <mergeCell ref="C257:H257"/>
    <mergeCell ref="C260:H260"/>
    <mergeCell ref="C233:H233"/>
    <mergeCell ref="C234:H234"/>
    <mergeCell ref="C237:H237"/>
    <mergeCell ref="C239:H239"/>
    <mergeCell ref="C240:H240"/>
    <mergeCell ref="C243:H243"/>
    <mergeCell ref="XEO225:XER225"/>
    <mergeCell ref="XES225:XEV225"/>
    <mergeCell ref="XAO225:XAR225"/>
    <mergeCell ref="XAS225:XAV225"/>
    <mergeCell ref="WZA225:WZD225"/>
    <mergeCell ref="WZE225:WZH225"/>
    <mergeCell ref="WZI225:WZL225"/>
    <mergeCell ref="WZM225:WZP225"/>
    <mergeCell ref="WZQ225:WZT225"/>
    <mergeCell ref="WZU225:WZX225"/>
    <mergeCell ref="WYC225:WYF225"/>
    <mergeCell ref="WYG225:WYJ225"/>
    <mergeCell ref="WYK225:WYN225"/>
    <mergeCell ref="WYO225:WYR225"/>
    <mergeCell ref="WYS225:WYV225"/>
    <mergeCell ref="WYW225:WYZ225"/>
    <mergeCell ref="WXE225:WXH225"/>
    <mergeCell ref="XEW225:XEZ225"/>
    <mergeCell ref="XFA225:XFD225"/>
    <mergeCell ref="D227:H227"/>
    <mergeCell ref="B231:H231"/>
    <mergeCell ref="XDQ225:XDT225"/>
    <mergeCell ref="XDU225:XDX225"/>
    <mergeCell ref="XDY225:XEB225"/>
    <mergeCell ref="XEC225:XEF225"/>
    <mergeCell ref="XEG225:XEJ225"/>
    <mergeCell ref="XEK225:XEN225"/>
    <mergeCell ref="XCS225:XCV225"/>
    <mergeCell ref="XCW225:XCZ225"/>
    <mergeCell ref="XDA225:XDD225"/>
    <mergeCell ref="XDE225:XDH225"/>
    <mergeCell ref="XDI225:XDL225"/>
    <mergeCell ref="XDM225:XDP225"/>
    <mergeCell ref="XBU225:XBX225"/>
    <mergeCell ref="XBY225:XCB225"/>
    <mergeCell ref="XCC225:XCF225"/>
    <mergeCell ref="XCG225:XCJ225"/>
    <mergeCell ref="XCK225:XCN225"/>
    <mergeCell ref="XCO225:XCR225"/>
    <mergeCell ref="XAW225:XAZ225"/>
    <mergeCell ref="XBA225:XBD225"/>
    <mergeCell ref="XBE225:XBH225"/>
    <mergeCell ref="XBI225:XBL225"/>
    <mergeCell ref="XBM225:XBP225"/>
    <mergeCell ref="XBQ225:XBT225"/>
    <mergeCell ref="WZY225:XAB225"/>
    <mergeCell ref="XAC225:XAF225"/>
    <mergeCell ref="XAG225:XAJ225"/>
    <mergeCell ref="XAK225:XAN225"/>
    <mergeCell ref="WXI225:WXL225"/>
    <mergeCell ref="WXM225:WXP225"/>
    <mergeCell ref="WXQ225:WXT225"/>
    <mergeCell ref="WXU225:WXX225"/>
    <mergeCell ref="WXY225:WYB225"/>
    <mergeCell ref="WWG225:WWJ225"/>
    <mergeCell ref="WWK225:WWN225"/>
    <mergeCell ref="WWO225:WWR225"/>
    <mergeCell ref="WWS225:WWV225"/>
    <mergeCell ref="WWW225:WWZ225"/>
    <mergeCell ref="WXA225:WXD225"/>
    <mergeCell ref="WVI225:WVL225"/>
    <mergeCell ref="WVM225:WVP225"/>
    <mergeCell ref="WVQ225:WVT225"/>
    <mergeCell ref="WVU225:WVX225"/>
    <mergeCell ref="WVY225:WWB225"/>
    <mergeCell ref="WWC225:WWF225"/>
    <mergeCell ref="WUK225:WUN225"/>
    <mergeCell ref="WUO225:WUR225"/>
    <mergeCell ref="WUS225:WUV225"/>
    <mergeCell ref="WUW225:WUZ225"/>
    <mergeCell ref="WVA225:WVD225"/>
    <mergeCell ref="WVE225:WVH225"/>
    <mergeCell ref="WTM225:WTP225"/>
    <mergeCell ref="WTQ225:WTT225"/>
    <mergeCell ref="WTU225:WTX225"/>
    <mergeCell ref="WTY225:WUB225"/>
    <mergeCell ref="WUC225:WUF225"/>
    <mergeCell ref="WUG225:WUJ225"/>
    <mergeCell ref="WSO225:WSR225"/>
    <mergeCell ref="WSS225:WSV225"/>
    <mergeCell ref="WSW225:WSZ225"/>
    <mergeCell ref="WTA225:WTD225"/>
    <mergeCell ref="WTE225:WTH225"/>
    <mergeCell ref="WTI225:WTL225"/>
    <mergeCell ref="WRQ225:WRT225"/>
    <mergeCell ref="WRU225:WRX225"/>
    <mergeCell ref="WRY225:WSB225"/>
    <mergeCell ref="WSC225:WSF225"/>
    <mergeCell ref="WSG225:WSJ225"/>
    <mergeCell ref="WSK225:WSN225"/>
    <mergeCell ref="WQS225:WQV225"/>
    <mergeCell ref="WQW225:WQZ225"/>
    <mergeCell ref="WRA225:WRD225"/>
    <mergeCell ref="WRE225:WRH225"/>
    <mergeCell ref="WRI225:WRL225"/>
    <mergeCell ref="WRM225:WRP225"/>
    <mergeCell ref="WPU225:WPX225"/>
    <mergeCell ref="WPY225:WQB225"/>
    <mergeCell ref="WQC225:WQF225"/>
    <mergeCell ref="WQG225:WQJ225"/>
    <mergeCell ref="WQK225:WQN225"/>
    <mergeCell ref="WQO225:WQR225"/>
    <mergeCell ref="WOW225:WOZ225"/>
    <mergeCell ref="WPA225:WPD225"/>
    <mergeCell ref="WPE225:WPH225"/>
    <mergeCell ref="WPI225:WPL225"/>
    <mergeCell ref="WPM225:WPP225"/>
    <mergeCell ref="WPQ225:WPT225"/>
    <mergeCell ref="WNY225:WOB225"/>
    <mergeCell ref="WOC225:WOF225"/>
    <mergeCell ref="WOG225:WOJ225"/>
    <mergeCell ref="WOK225:WON225"/>
    <mergeCell ref="WOO225:WOR225"/>
    <mergeCell ref="WOS225:WOV225"/>
    <mergeCell ref="WNA225:WND225"/>
    <mergeCell ref="WNE225:WNH225"/>
    <mergeCell ref="WNI225:WNL225"/>
    <mergeCell ref="WNM225:WNP225"/>
    <mergeCell ref="WNQ225:WNT225"/>
    <mergeCell ref="WNU225:WNX225"/>
    <mergeCell ref="WMC225:WMF225"/>
    <mergeCell ref="WMG225:WMJ225"/>
    <mergeCell ref="WMK225:WMN225"/>
    <mergeCell ref="WMO225:WMR225"/>
    <mergeCell ref="WMS225:WMV225"/>
    <mergeCell ref="WMW225:WMZ225"/>
    <mergeCell ref="WLE225:WLH225"/>
    <mergeCell ref="WLI225:WLL225"/>
    <mergeCell ref="WLM225:WLP225"/>
    <mergeCell ref="WLQ225:WLT225"/>
    <mergeCell ref="WLU225:WLX225"/>
    <mergeCell ref="WLY225:WMB225"/>
    <mergeCell ref="WKG225:WKJ225"/>
    <mergeCell ref="WKK225:WKN225"/>
    <mergeCell ref="WKO225:WKR225"/>
    <mergeCell ref="WKS225:WKV225"/>
    <mergeCell ref="WKW225:WKZ225"/>
    <mergeCell ref="WLA225:WLD225"/>
    <mergeCell ref="WJI225:WJL225"/>
    <mergeCell ref="WJM225:WJP225"/>
    <mergeCell ref="WJQ225:WJT225"/>
    <mergeCell ref="WJU225:WJX225"/>
    <mergeCell ref="WJY225:WKB225"/>
    <mergeCell ref="WKC225:WKF225"/>
    <mergeCell ref="WIK225:WIN225"/>
    <mergeCell ref="WIO225:WIR225"/>
    <mergeCell ref="WIS225:WIV225"/>
    <mergeCell ref="WIW225:WIZ225"/>
    <mergeCell ref="WJA225:WJD225"/>
    <mergeCell ref="WJE225:WJH225"/>
    <mergeCell ref="WHM225:WHP225"/>
    <mergeCell ref="WHQ225:WHT225"/>
    <mergeCell ref="WHU225:WHX225"/>
    <mergeCell ref="WHY225:WIB225"/>
    <mergeCell ref="WIC225:WIF225"/>
    <mergeCell ref="WIG225:WIJ225"/>
    <mergeCell ref="WGO225:WGR225"/>
    <mergeCell ref="WGS225:WGV225"/>
    <mergeCell ref="WGW225:WGZ225"/>
    <mergeCell ref="WHA225:WHD225"/>
    <mergeCell ref="WHE225:WHH225"/>
    <mergeCell ref="WHI225:WHL225"/>
    <mergeCell ref="WFQ225:WFT225"/>
    <mergeCell ref="WFU225:WFX225"/>
    <mergeCell ref="WFY225:WGB225"/>
    <mergeCell ref="WGC225:WGF225"/>
    <mergeCell ref="WGG225:WGJ225"/>
    <mergeCell ref="WGK225:WGN225"/>
    <mergeCell ref="WES225:WEV225"/>
    <mergeCell ref="WEW225:WEZ225"/>
    <mergeCell ref="WFA225:WFD225"/>
    <mergeCell ref="WFE225:WFH225"/>
    <mergeCell ref="WFI225:WFL225"/>
    <mergeCell ref="WFM225:WFP225"/>
    <mergeCell ref="WDU225:WDX225"/>
    <mergeCell ref="WDY225:WEB225"/>
    <mergeCell ref="WEC225:WEF225"/>
    <mergeCell ref="WEG225:WEJ225"/>
    <mergeCell ref="WEK225:WEN225"/>
    <mergeCell ref="WEO225:WER225"/>
    <mergeCell ref="WCW225:WCZ225"/>
    <mergeCell ref="WDA225:WDD225"/>
    <mergeCell ref="WDE225:WDH225"/>
    <mergeCell ref="WDI225:WDL225"/>
    <mergeCell ref="WDM225:WDP225"/>
    <mergeCell ref="WDQ225:WDT225"/>
    <mergeCell ref="WBY225:WCB225"/>
    <mergeCell ref="WCC225:WCF225"/>
    <mergeCell ref="WCG225:WCJ225"/>
    <mergeCell ref="WCK225:WCN225"/>
    <mergeCell ref="WCO225:WCR225"/>
    <mergeCell ref="WCS225:WCV225"/>
    <mergeCell ref="WBA225:WBD225"/>
    <mergeCell ref="WBE225:WBH225"/>
    <mergeCell ref="WBI225:WBL225"/>
    <mergeCell ref="WBM225:WBP225"/>
    <mergeCell ref="WBQ225:WBT225"/>
    <mergeCell ref="WBU225:WBX225"/>
    <mergeCell ref="WAC225:WAF225"/>
    <mergeCell ref="WAG225:WAJ225"/>
    <mergeCell ref="WAK225:WAN225"/>
    <mergeCell ref="WAO225:WAR225"/>
    <mergeCell ref="WAS225:WAV225"/>
    <mergeCell ref="WAW225:WAZ225"/>
    <mergeCell ref="VZE225:VZH225"/>
    <mergeCell ref="VZI225:VZL225"/>
    <mergeCell ref="VZM225:VZP225"/>
    <mergeCell ref="VZQ225:VZT225"/>
    <mergeCell ref="VZU225:VZX225"/>
    <mergeCell ref="VZY225:WAB225"/>
    <mergeCell ref="VYG225:VYJ225"/>
    <mergeCell ref="VYK225:VYN225"/>
    <mergeCell ref="VYO225:VYR225"/>
    <mergeCell ref="VYS225:VYV225"/>
    <mergeCell ref="VYW225:VYZ225"/>
    <mergeCell ref="VZA225:VZD225"/>
    <mergeCell ref="VXI225:VXL225"/>
    <mergeCell ref="VXM225:VXP225"/>
    <mergeCell ref="VXQ225:VXT225"/>
    <mergeCell ref="VXU225:VXX225"/>
    <mergeCell ref="VXY225:VYB225"/>
    <mergeCell ref="VYC225:VYF225"/>
    <mergeCell ref="VWK225:VWN225"/>
    <mergeCell ref="VWO225:VWR225"/>
    <mergeCell ref="VWS225:VWV225"/>
    <mergeCell ref="VWW225:VWZ225"/>
    <mergeCell ref="VXA225:VXD225"/>
    <mergeCell ref="VXE225:VXH225"/>
    <mergeCell ref="VVM225:VVP225"/>
    <mergeCell ref="VVQ225:VVT225"/>
    <mergeCell ref="VVU225:VVX225"/>
    <mergeCell ref="VVY225:VWB225"/>
    <mergeCell ref="VWC225:VWF225"/>
    <mergeCell ref="VWG225:VWJ225"/>
    <mergeCell ref="VUO225:VUR225"/>
    <mergeCell ref="VUS225:VUV225"/>
    <mergeCell ref="VUW225:VUZ225"/>
    <mergeCell ref="VVA225:VVD225"/>
    <mergeCell ref="VVE225:VVH225"/>
    <mergeCell ref="VVI225:VVL225"/>
    <mergeCell ref="VTQ225:VTT225"/>
    <mergeCell ref="VTU225:VTX225"/>
    <mergeCell ref="VTY225:VUB225"/>
    <mergeCell ref="VUC225:VUF225"/>
    <mergeCell ref="VUG225:VUJ225"/>
    <mergeCell ref="VUK225:VUN225"/>
    <mergeCell ref="VSS225:VSV225"/>
    <mergeCell ref="VSW225:VSZ225"/>
    <mergeCell ref="VTA225:VTD225"/>
    <mergeCell ref="VTE225:VTH225"/>
    <mergeCell ref="VTI225:VTL225"/>
    <mergeCell ref="VTM225:VTP225"/>
    <mergeCell ref="VRU225:VRX225"/>
    <mergeCell ref="VRY225:VSB225"/>
    <mergeCell ref="VSC225:VSF225"/>
    <mergeCell ref="VSG225:VSJ225"/>
    <mergeCell ref="VSK225:VSN225"/>
    <mergeCell ref="VSO225:VSR225"/>
    <mergeCell ref="VQW225:VQZ225"/>
    <mergeCell ref="VRA225:VRD225"/>
    <mergeCell ref="VRE225:VRH225"/>
    <mergeCell ref="VRI225:VRL225"/>
    <mergeCell ref="VRM225:VRP225"/>
    <mergeCell ref="VRQ225:VRT225"/>
    <mergeCell ref="VPY225:VQB225"/>
    <mergeCell ref="VQC225:VQF225"/>
    <mergeCell ref="VQG225:VQJ225"/>
    <mergeCell ref="VQK225:VQN225"/>
    <mergeCell ref="VQO225:VQR225"/>
    <mergeCell ref="VQS225:VQV225"/>
    <mergeCell ref="VPA225:VPD225"/>
    <mergeCell ref="VPE225:VPH225"/>
    <mergeCell ref="VPI225:VPL225"/>
    <mergeCell ref="VPM225:VPP225"/>
    <mergeCell ref="VPQ225:VPT225"/>
    <mergeCell ref="VPU225:VPX225"/>
    <mergeCell ref="VOC225:VOF225"/>
    <mergeCell ref="VOG225:VOJ225"/>
    <mergeCell ref="VOK225:VON225"/>
    <mergeCell ref="VOO225:VOR225"/>
    <mergeCell ref="VOS225:VOV225"/>
    <mergeCell ref="VOW225:VOZ225"/>
    <mergeCell ref="VNE225:VNH225"/>
    <mergeCell ref="VNI225:VNL225"/>
    <mergeCell ref="VNM225:VNP225"/>
    <mergeCell ref="VNQ225:VNT225"/>
    <mergeCell ref="VNU225:VNX225"/>
    <mergeCell ref="VNY225:VOB225"/>
    <mergeCell ref="VMG225:VMJ225"/>
    <mergeCell ref="VMK225:VMN225"/>
    <mergeCell ref="VMO225:VMR225"/>
    <mergeCell ref="VMS225:VMV225"/>
    <mergeCell ref="VMW225:VMZ225"/>
    <mergeCell ref="VNA225:VND225"/>
    <mergeCell ref="VLI225:VLL225"/>
    <mergeCell ref="VLM225:VLP225"/>
    <mergeCell ref="VLQ225:VLT225"/>
    <mergeCell ref="VLU225:VLX225"/>
    <mergeCell ref="VLY225:VMB225"/>
    <mergeCell ref="VMC225:VMF225"/>
    <mergeCell ref="VKK225:VKN225"/>
    <mergeCell ref="VKO225:VKR225"/>
    <mergeCell ref="VKS225:VKV225"/>
    <mergeCell ref="VKW225:VKZ225"/>
    <mergeCell ref="VLA225:VLD225"/>
    <mergeCell ref="VLE225:VLH225"/>
    <mergeCell ref="VJM225:VJP225"/>
    <mergeCell ref="VJQ225:VJT225"/>
    <mergeCell ref="VJU225:VJX225"/>
    <mergeCell ref="VJY225:VKB225"/>
    <mergeCell ref="VKC225:VKF225"/>
    <mergeCell ref="VKG225:VKJ225"/>
    <mergeCell ref="VIO225:VIR225"/>
    <mergeCell ref="VIS225:VIV225"/>
    <mergeCell ref="VIW225:VIZ225"/>
    <mergeCell ref="VJA225:VJD225"/>
    <mergeCell ref="VJE225:VJH225"/>
    <mergeCell ref="VJI225:VJL225"/>
    <mergeCell ref="VHQ225:VHT225"/>
    <mergeCell ref="VHU225:VHX225"/>
    <mergeCell ref="VHY225:VIB225"/>
    <mergeCell ref="VIC225:VIF225"/>
    <mergeCell ref="VIG225:VIJ225"/>
    <mergeCell ref="VIK225:VIN225"/>
    <mergeCell ref="VGS225:VGV225"/>
    <mergeCell ref="VGW225:VGZ225"/>
    <mergeCell ref="VHA225:VHD225"/>
    <mergeCell ref="VHE225:VHH225"/>
    <mergeCell ref="VHI225:VHL225"/>
    <mergeCell ref="VHM225:VHP225"/>
    <mergeCell ref="VFU225:VFX225"/>
    <mergeCell ref="VFY225:VGB225"/>
    <mergeCell ref="VGC225:VGF225"/>
    <mergeCell ref="VGG225:VGJ225"/>
    <mergeCell ref="VGK225:VGN225"/>
    <mergeCell ref="VGO225:VGR225"/>
    <mergeCell ref="VEW225:VEZ225"/>
    <mergeCell ref="VFA225:VFD225"/>
    <mergeCell ref="VFE225:VFH225"/>
    <mergeCell ref="VFI225:VFL225"/>
    <mergeCell ref="VFM225:VFP225"/>
    <mergeCell ref="VFQ225:VFT225"/>
    <mergeCell ref="VDY225:VEB225"/>
    <mergeCell ref="VEC225:VEF225"/>
    <mergeCell ref="VEG225:VEJ225"/>
    <mergeCell ref="VEK225:VEN225"/>
    <mergeCell ref="VEO225:VER225"/>
    <mergeCell ref="VES225:VEV225"/>
    <mergeCell ref="VDA225:VDD225"/>
    <mergeCell ref="VDE225:VDH225"/>
    <mergeCell ref="VDI225:VDL225"/>
    <mergeCell ref="VDM225:VDP225"/>
    <mergeCell ref="VDQ225:VDT225"/>
    <mergeCell ref="VDU225:VDX225"/>
    <mergeCell ref="VCC225:VCF225"/>
    <mergeCell ref="VCG225:VCJ225"/>
    <mergeCell ref="VCK225:VCN225"/>
    <mergeCell ref="VCO225:VCR225"/>
    <mergeCell ref="VCS225:VCV225"/>
    <mergeCell ref="VCW225:VCZ225"/>
    <mergeCell ref="VBE225:VBH225"/>
    <mergeCell ref="VBI225:VBL225"/>
    <mergeCell ref="VBM225:VBP225"/>
    <mergeCell ref="VBQ225:VBT225"/>
    <mergeCell ref="VBU225:VBX225"/>
    <mergeCell ref="VBY225:VCB225"/>
    <mergeCell ref="VAG225:VAJ225"/>
    <mergeCell ref="VAK225:VAN225"/>
    <mergeCell ref="VAO225:VAR225"/>
    <mergeCell ref="VAS225:VAV225"/>
    <mergeCell ref="VAW225:VAZ225"/>
    <mergeCell ref="VBA225:VBD225"/>
    <mergeCell ref="UZI225:UZL225"/>
    <mergeCell ref="UZM225:UZP225"/>
    <mergeCell ref="UZQ225:UZT225"/>
    <mergeCell ref="UZU225:UZX225"/>
    <mergeCell ref="UZY225:VAB225"/>
    <mergeCell ref="VAC225:VAF225"/>
    <mergeCell ref="UYK225:UYN225"/>
    <mergeCell ref="UYO225:UYR225"/>
    <mergeCell ref="UYS225:UYV225"/>
    <mergeCell ref="UYW225:UYZ225"/>
    <mergeCell ref="UZA225:UZD225"/>
    <mergeCell ref="UZE225:UZH225"/>
    <mergeCell ref="UXM225:UXP225"/>
    <mergeCell ref="UXQ225:UXT225"/>
    <mergeCell ref="UXU225:UXX225"/>
    <mergeCell ref="UXY225:UYB225"/>
    <mergeCell ref="UYC225:UYF225"/>
    <mergeCell ref="UYG225:UYJ225"/>
    <mergeCell ref="UWO225:UWR225"/>
    <mergeCell ref="UWS225:UWV225"/>
    <mergeCell ref="UWW225:UWZ225"/>
    <mergeCell ref="UXA225:UXD225"/>
    <mergeCell ref="UXE225:UXH225"/>
    <mergeCell ref="UXI225:UXL225"/>
    <mergeCell ref="UVQ225:UVT225"/>
    <mergeCell ref="UVU225:UVX225"/>
    <mergeCell ref="UVY225:UWB225"/>
    <mergeCell ref="UWC225:UWF225"/>
    <mergeCell ref="UWG225:UWJ225"/>
    <mergeCell ref="UWK225:UWN225"/>
    <mergeCell ref="UUS225:UUV225"/>
    <mergeCell ref="UUW225:UUZ225"/>
    <mergeCell ref="UVA225:UVD225"/>
    <mergeCell ref="UVE225:UVH225"/>
    <mergeCell ref="UVI225:UVL225"/>
    <mergeCell ref="UVM225:UVP225"/>
    <mergeCell ref="UTU225:UTX225"/>
    <mergeCell ref="UTY225:UUB225"/>
    <mergeCell ref="UUC225:UUF225"/>
    <mergeCell ref="UUG225:UUJ225"/>
    <mergeCell ref="UUK225:UUN225"/>
    <mergeCell ref="UUO225:UUR225"/>
    <mergeCell ref="USW225:USZ225"/>
    <mergeCell ref="UTA225:UTD225"/>
    <mergeCell ref="UTE225:UTH225"/>
    <mergeCell ref="UTI225:UTL225"/>
    <mergeCell ref="UTM225:UTP225"/>
    <mergeCell ref="UTQ225:UTT225"/>
    <mergeCell ref="URY225:USB225"/>
    <mergeCell ref="USC225:USF225"/>
    <mergeCell ref="USG225:USJ225"/>
    <mergeCell ref="USK225:USN225"/>
    <mergeCell ref="USO225:USR225"/>
    <mergeCell ref="USS225:USV225"/>
    <mergeCell ref="URA225:URD225"/>
    <mergeCell ref="URE225:URH225"/>
    <mergeCell ref="URI225:URL225"/>
    <mergeCell ref="URM225:URP225"/>
    <mergeCell ref="URQ225:URT225"/>
    <mergeCell ref="URU225:URX225"/>
    <mergeCell ref="UQC225:UQF225"/>
    <mergeCell ref="UQG225:UQJ225"/>
    <mergeCell ref="UQK225:UQN225"/>
    <mergeCell ref="UQO225:UQR225"/>
    <mergeCell ref="UQS225:UQV225"/>
    <mergeCell ref="UQW225:UQZ225"/>
    <mergeCell ref="UPE225:UPH225"/>
    <mergeCell ref="UPI225:UPL225"/>
    <mergeCell ref="UPM225:UPP225"/>
    <mergeCell ref="UPQ225:UPT225"/>
    <mergeCell ref="UPU225:UPX225"/>
    <mergeCell ref="UPY225:UQB225"/>
    <mergeCell ref="UOG225:UOJ225"/>
    <mergeCell ref="UOK225:UON225"/>
    <mergeCell ref="UOO225:UOR225"/>
    <mergeCell ref="UOS225:UOV225"/>
    <mergeCell ref="UOW225:UOZ225"/>
    <mergeCell ref="UPA225:UPD225"/>
    <mergeCell ref="UNI225:UNL225"/>
    <mergeCell ref="UNM225:UNP225"/>
    <mergeCell ref="UNQ225:UNT225"/>
    <mergeCell ref="UNU225:UNX225"/>
    <mergeCell ref="UNY225:UOB225"/>
    <mergeCell ref="UOC225:UOF225"/>
    <mergeCell ref="UMK225:UMN225"/>
    <mergeCell ref="UMO225:UMR225"/>
    <mergeCell ref="UMS225:UMV225"/>
    <mergeCell ref="UMW225:UMZ225"/>
    <mergeCell ref="UNA225:UND225"/>
    <mergeCell ref="UNE225:UNH225"/>
    <mergeCell ref="ULM225:ULP225"/>
    <mergeCell ref="ULQ225:ULT225"/>
    <mergeCell ref="ULU225:ULX225"/>
    <mergeCell ref="ULY225:UMB225"/>
    <mergeCell ref="UMC225:UMF225"/>
    <mergeCell ref="UMG225:UMJ225"/>
    <mergeCell ref="UKO225:UKR225"/>
    <mergeCell ref="UKS225:UKV225"/>
    <mergeCell ref="UKW225:UKZ225"/>
    <mergeCell ref="ULA225:ULD225"/>
    <mergeCell ref="ULE225:ULH225"/>
    <mergeCell ref="ULI225:ULL225"/>
    <mergeCell ref="UJQ225:UJT225"/>
    <mergeCell ref="UJU225:UJX225"/>
    <mergeCell ref="UJY225:UKB225"/>
    <mergeCell ref="UKC225:UKF225"/>
    <mergeCell ref="UKG225:UKJ225"/>
    <mergeCell ref="UKK225:UKN225"/>
    <mergeCell ref="UIS225:UIV225"/>
    <mergeCell ref="UIW225:UIZ225"/>
    <mergeCell ref="UJA225:UJD225"/>
    <mergeCell ref="UJE225:UJH225"/>
    <mergeCell ref="UJI225:UJL225"/>
    <mergeCell ref="UJM225:UJP225"/>
    <mergeCell ref="UHU225:UHX225"/>
    <mergeCell ref="UHY225:UIB225"/>
    <mergeCell ref="UIC225:UIF225"/>
    <mergeCell ref="UIG225:UIJ225"/>
    <mergeCell ref="UIK225:UIN225"/>
    <mergeCell ref="UIO225:UIR225"/>
    <mergeCell ref="UGW225:UGZ225"/>
    <mergeCell ref="UHA225:UHD225"/>
    <mergeCell ref="UHE225:UHH225"/>
    <mergeCell ref="UHI225:UHL225"/>
    <mergeCell ref="UHM225:UHP225"/>
    <mergeCell ref="UHQ225:UHT225"/>
    <mergeCell ref="UFY225:UGB225"/>
    <mergeCell ref="UGC225:UGF225"/>
    <mergeCell ref="UGG225:UGJ225"/>
    <mergeCell ref="UGK225:UGN225"/>
    <mergeCell ref="UGO225:UGR225"/>
    <mergeCell ref="UGS225:UGV225"/>
    <mergeCell ref="UFA225:UFD225"/>
    <mergeCell ref="UFE225:UFH225"/>
    <mergeCell ref="UFI225:UFL225"/>
    <mergeCell ref="UFM225:UFP225"/>
    <mergeCell ref="UFQ225:UFT225"/>
    <mergeCell ref="UFU225:UFX225"/>
    <mergeCell ref="UEC225:UEF225"/>
    <mergeCell ref="UEG225:UEJ225"/>
    <mergeCell ref="UEK225:UEN225"/>
    <mergeCell ref="UEO225:UER225"/>
    <mergeCell ref="UES225:UEV225"/>
    <mergeCell ref="UEW225:UEZ225"/>
    <mergeCell ref="UDE225:UDH225"/>
    <mergeCell ref="UDI225:UDL225"/>
    <mergeCell ref="UDM225:UDP225"/>
    <mergeCell ref="UDQ225:UDT225"/>
    <mergeCell ref="UDU225:UDX225"/>
    <mergeCell ref="UDY225:UEB225"/>
    <mergeCell ref="UCG225:UCJ225"/>
    <mergeCell ref="UCK225:UCN225"/>
    <mergeCell ref="UCO225:UCR225"/>
    <mergeCell ref="UCS225:UCV225"/>
    <mergeCell ref="UCW225:UCZ225"/>
    <mergeCell ref="UDA225:UDD225"/>
    <mergeCell ref="UBI225:UBL225"/>
    <mergeCell ref="UBM225:UBP225"/>
    <mergeCell ref="UBQ225:UBT225"/>
    <mergeCell ref="UBU225:UBX225"/>
    <mergeCell ref="UBY225:UCB225"/>
    <mergeCell ref="UCC225:UCF225"/>
    <mergeCell ref="UAK225:UAN225"/>
    <mergeCell ref="UAO225:UAR225"/>
    <mergeCell ref="UAS225:UAV225"/>
    <mergeCell ref="UAW225:UAZ225"/>
    <mergeCell ref="UBA225:UBD225"/>
    <mergeCell ref="UBE225:UBH225"/>
    <mergeCell ref="TZM225:TZP225"/>
    <mergeCell ref="TZQ225:TZT225"/>
    <mergeCell ref="TZU225:TZX225"/>
    <mergeCell ref="TZY225:UAB225"/>
    <mergeCell ref="UAC225:UAF225"/>
    <mergeCell ref="UAG225:UAJ225"/>
    <mergeCell ref="TYO225:TYR225"/>
    <mergeCell ref="TYS225:TYV225"/>
    <mergeCell ref="TYW225:TYZ225"/>
    <mergeCell ref="TZA225:TZD225"/>
    <mergeCell ref="TZE225:TZH225"/>
    <mergeCell ref="TZI225:TZL225"/>
    <mergeCell ref="TXQ225:TXT225"/>
    <mergeCell ref="TXU225:TXX225"/>
    <mergeCell ref="TXY225:TYB225"/>
    <mergeCell ref="TYC225:TYF225"/>
    <mergeCell ref="TYG225:TYJ225"/>
    <mergeCell ref="TYK225:TYN225"/>
    <mergeCell ref="TWS225:TWV225"/>
    <mergeCell ref="TWW225:TWZ225"/>
    <mergeCell ref="TXA225:TXD225"/>
    <mergeCell ref="TXE225:TXH225"/>
    <mergeCell ref="TXI225:TXL225"/>
    <mergeCell ref="TXM225:TXP225"/>
    <mergeCell ref="TVU225:TVX225"/>
    <mergeCell ref="TVY225:TWB225"/>
    <mergeCell ref="TWC225:TWF225"/>
    <mergeCell ref="TWG225:TWJ225"/>
    <mergeCell ref="TWK225:TWN225"/>
    <mergeCell ref="TWO225:TWR225"/>
    <mergeCell ref="TUW225:TUZ225"/>
    <mergeCell ref="TVA225:TVD225"/>
    <mergeCell ref="TVE225:TVH225"/>
    <mergeCell ref="TVI225:TVL225"/>
    <mergeCell ref="TVM225:TVP225"/>
    <mergeCell ref="TVQ225:TVT225"/>
    <mergeCell ref="TTY225:TUB225"/>
    <mergeCell ref="TUC225:TUF225"/>
    <mergeCell ref="TUG225:TUJ225"/>
    <mergeCell ref="TUK225:TUN225"/>
    <mergeCell ref="TUO225:TUR225"/>
    <mergeCell ref="TUS225:TUV225"/>
    <mergeCell ref="TTA225:TTD225"/>
    <mergeCell ref="TTE225:TTH225"/>
    <mergeCell ref="TTI225:TTL225"/>
    <mergeCell ref="TTM225:TTP225"/>
    <mergeCell ref="TTQ225:TTT225"/>
    <mergeCell ref="TTU225:TTX225"/>
    <mergeCell ref="TSC225:TSF225"/>
    <mergeCell ref="TSG225:TSJ225"/>
    <mergeCell ref="TSK225:TSN225"/>
    <mergeCell ref="TSO225:TSR225"/>
    <mergeCell ref="TSS225:TSV225"/>
    <mergeCell ref="TSW225:TSZ225"/>
    <mergeCell ref="TRE225:TRH225"/>
    <mergeCell ref="TRI225:TRL225"/>
    <mergeCell ref="TRM225:TRP225"/>
    <mergeCell ref="TRQ225:TRT225"/>
    <mergeCell ref="TRU225:TRX225"/>
    <mergeCell ref="TRY225:TSB225"/>
    <mergeCell ref="TQG225:TQJ225"/>
    <mergeCell ref="TQK225:TQN225"/>
    <mergeCell ref="TQO225:TQR225"/>
    <mergeCell ref="TQS225:TQV225"/>
    <mergeCell ref="TQW225:TQZ225"/>
    <mergeCell ref="TRA225:TRD225"/>
    <mergeCell ref="TPI225:TPL225"/>
    <mergeCell ref="TPM225:TPP225"/>
    <mergeCell ref="TPQ225:TPT225"/>
    <mergeCell ref="TPU225:TPX225"/>
    <mergeCell ref="TPY225:TQB225"/>
    <mergeCell ref="TQC225:TQF225"/>
    <mergeCell ref="TOK225:TON225"/>
    <mergeCell ref="TOO225:TOR225"/>
    <mergeCell ref="TOS225:TOV225"/>
    <mergeCell ref="TOW225:TOZ225"/>
    <mergeCell ref="TPA225:TPD225"/>
    <mergeCell ref="TPE225:TPH225"/>
    <mergeCell ref="TNM225:TNP225"/>
    <mergeCell ref="TNQ225:TNT225"/>
    <mergeCell ref="TNU225:TNX225"/>
    <mergeCell ref="TNY225:TOB225"/>
    <mergeCell ref="TOC225:TOF225"/>
    <mergeCell ref="TOG225:TOJ225"/>
    <mergeCell ref="TMO225:TMR225"/>
    <mergeCell ref="TMS225:TMV225"/>
    <mergeCell ref="TMW225:TMZ225"/>
    <mergeCell ref="TNA225:TND225"/>
    <mergeCell ref="TNE225:TNH225"/>
    <mergeCell ref="TNI225:TNL225"/>
    <mergeCell ref="TLQ225:TLT225"/>
    <mergeCell ref="TLU225:TLX225"/>
    <mergeCell ref="TLY225:TMB225"/>
    <mergeCell ref="TMC225:TMF225"/>
    <mergeCell ref="TMG225:TMJ225"/>
    <mergeCell ref="TMK225:TMN225"/>
    <mergeCell ref="TKS225:TKV225"/>
    <mergeCell ref="TKW225:TKZ225"/>
    <mergeCell ref="TLA225:TLD225"/>
    <mergeCell ref="TLE225:TLH225"/>
    <mergeCell ref="TLI225:TLL225"/>
    <mergeCell ref="TLM225:TLP225"/>
    <mergeCell ref="TJU225:TJX225"/>
    <mergeCell ref="TJY225:TKB225"/>
    <mergeCell ref="TKC225:TKF225"/>
    <mergeCell ref="TKG225:TKJ225"/>
    <mergeCell ref="TKK225:TKN225"/>
    <mergeCell ref="TKO225:TKR225"/>
    <mergeCell ref="TIW225:TIZ225"/>
    <mergeCell ref="TJA225:TJD225"/>
    <mergeCell ref="TJE225:TJH225"/>
    <mergeCell ref="TJI225:TJL225"/>
    <mergeCell ref="TJM225:TJP225"/>
    <mergeCell ref="TJQ225:TJT225"/>
    <mergeCell ref="THY225:TIB225"/>
    <mergeCell ref="TIC225:TIF225"/>
    <mergeCell ref="TIG225:TIJ225"/>
    <mergeCell ref="TIK225:TIN225"/>
    <mergeCell ref="TIO225:TIR225"/>
    <mergeCell ref="TIS225:TIV225"/>
    <mergeCell ref="THA225:THD225"/>
    <mergeCell ref="THE225:THH225"/>
    <mergeCell ref="THI225:THL225"/>
    <mergeCell ref="THM225:THP225"/>
    <mergeCell ref="THQ225:THT225"/>
    <mergeCell ref="THU225:THX225"/>
    <mergeCell ref="TGC225:TGF225"/>
    <mergeCell ref="TGG225:TGJ225"/>
    <mergeCell ref="TGK225:TGN225"/>
    <mergeCell ref="TGO225:TGR225"/>
    <mergeCell ref="TGS225:TGV225"/>
    <mergeCell ref="TGW225:TGZ225"/>
    <mergeCell ref="TFE225:TFH225"/>
    <mergeCell ref="TFI225:TFL225"/>
    <mergeCell ref="TFM225:TFP225"/>
    <mergeCell ref="TFQ225:TFT225"/>
    <mergeCell ref="TFU225:TFX225"/>
    <mergeCell ref="TFY225:TGB225"/>
    <mergeCell ref="TEG225:TEJ225"/>
    <mergeCell ref="TEK225:TEN225"/>
    <mergeCell ref="TEO225:TER225"/>
    <mergeCell ref="TES225:TEV225"/>
    <mergeCell ref="TEW225:TEZ225"/>
    <mergeCell ref="TFA225:TFD225"/>
    <mergeCell ref="TDI225:TDL225"/>
    <mergeCell ref="TDM225:TDP225"/>
    <mergeCell ref="TDQ225:TDT225"/>
    <mergeCell ref="TDU225:TDX225"/>
    <mergeCell ref="TDY225:TEB225"/>
    <mergeCell ref="TEC225:TEF225"/>
    <mergeCell ref="TCK225:TCN225"/>
    <mergeCell ref="TCO225:TCR225"/>
    <mergeCell ref="TCS225:TCV225"/>
    <mergeCell ref="TCW225:TCZ225"/>
    <mergeCell ref="TDA225:TDD225"/>
    <mergeCell ref="TDE225:TDH225"/>
    <mergeCell ref="TBM225:TBP225"/>
    <mergeCell ref="TBQ225:TBT225"/>
    <mergeCell ref="TBU225:TBX225"/>
    <mergeCell ref="TBY225:TCB225"/>
    <mergeCell ref="TCC225:TCF225"/>
    <mergeCell ref="TCG225:TCJ225"/>
    <mergeCell ref="TAO225:TAR225"/>
    <mergeCell ref="TAS225:TAV225"/>
    <mergeCell ref="TAW225:TAZ225"/>
    <mergeCell ref="TBA225:TBD225"/>
    <mergeCell ref="TBE225:TBH225"/>
    <mergeCell ref="TBI225:TBL225"/>
    <mergeCell ref="SZQ225:SZT225"/>
    <mergeCell ref="SZU225:SZX225"/>
    <mergeCell ref="SZY225:TAB225"/>
    <mergeCell ref="TAC225:TAF225"/>
    <mergeCell ref="TAG225:TAJ225"/>
    <mergeCell ref="TAK225:TAN225"/>
    <mergeCell ref="SYS225:SYV225"/>
    <mergeCell ref="SYW225:SYZ225"/>
    <mergeCell ref="SZA225:SZD225"/>
    <mergeCell ref="SZE225:SZH225"/>
    <mergeCell ref="SZI225:SZL225"/>
    <mergeCell ref="SZM225:SZP225"/>
    <mergeCell ref="SXU225:SXX225"/>
    <mergeCell ref="SXY225:SYB225"/>
    <mergeCell ref="SYC225:SYF225"/>
    <mergeCell ref="SYG225:SYJ225"/>
    <mergeCell ref="SYK225:SYN225"/>
    <mergeCell ref="SYO225:SYR225"/>
    <mergeCell ref="SWW225:SWZ225"/>
    <mergeCell ref="SXA225:SXD225"/>
    <mergeCell ref="SXE225:SXH225"/>
    <mergeCell ref="SXI225:SXL225"/>
    <mergeCell ref="SXM225:SXP225"/>
    <mergeCell ref="SXQ225:SXT225"/>
    <mergeCell ref="SVY225:SWB225"/>
    <mergeCell ref="SWC225:SWF225"/>
    <mergeCell ref="SWG225:SWJ225"/>
    <mergeCell ref="SWK225:SWN225"/>
    <mergeCell ref="SWO225:SWR225"/>
    <mergeCell ref="SWS225:SWV225"/>
    <mergeCell ref="SVA225:SVD225"/>
    <mergeCell ref="SVE225:SVH225"/>
    <mergeCell ref="SVI225:SVL225"/>
    <mergeCell ref="SVM225:SVP225"/>
    <mergeCell ref="SVQ225:SVT225"/>
    <mergeCell ref="SVU225:SVX225"/>
    <mergeCell ref="SUC225:SUF225"/>
    <mergeCell ref="SUG225:SUJ225"/>
    <mergeCell ref="SUK225:SUN225"/>
    <mergeCell ref="SUO225:SUR225"/>
    <mergeCell ref="SUS225:SUV225"/>
    <mergeCell ref="SUW225:SUZ225"/>
    <mergeCell ref="STE225:STH225"/>
    <mergeCell ref="STI225:STL225"/>
    <mergeCell ref="STM225:STP225"/>
    <mergeCell ref="STQ225:STT225"/>
    <mergeCell ref="STU225:STX225"/>
    <mergeCell ref="STY225:SUB225"/>
    <mergeCell ref="SSG225:SSJ225"/>
    <mergeCell ref="SSK225:SSN225"/>
    <mergeCell ref="SSO225:SSR225"/>
    <mergeCell ref="SSS225:SSV225"/>
    <mergeCell ref="SSW225:SSZ225"/>
    <mergeCell ref="STA225:STD225"/>
    <mergeCell ref="SRI225:SRL225"/>
    <mergeCell ref="SRM225:SRP225"/>
    <mergeCell ref="SRQ225:SRT225"/>
    <mergeCell ref="SRU225:SRX225"/>
    <mergeCell ref="SRY225:SSB225"/>
    <mergeCell ref="SSC225:SSF225"/>
    <mergeCell ref="SQK225:SQN225"/>
    <mergeCell ref="SQO225:SQR225"/>
    <mergeCell ref="SQS225:SQV225"/>
    <mergeCell ref="SQW225:SQZ225"/>
    <mergeCell ref="SRA225:SRD225"/>
    <mergeCell ref="SRE225:SRH225"/>
    <mergeCell ref="SPM225:SPP225"/>
    <mergeCell ref="SPQ225:SPT225"/>
    <mergeCell ref="SPU225:SPX225"/>
    <mergeCell ref="SPY225:SQB225"/>
    <mergeCell ref="SQC225:SQF225"/>
    <mergeCell ref="SQG225:SQJ225"/>
    <mergeCell ref="SOO225:SOR225"/>
    <mergeCell ref="SOS225:SOV225"/>
    <mergeCell ref="SOW225:SOZ225"/>
    <mergeCell ref="SPA225:SPD225"/>
    <mergeCell ref="SPE225:SPH225"/>
    <mergeCell ref="SPI225:SPL225"/>
    <mergeCell ref="SNQ225:SNT225"/>
    <mergeCell ref="SNU225:SNX225"/>
    <mergeCell ref="SNY225:SOB225"/>
    <mergeCell ref="SOC225:SOF225"/>
    <mergeCell ref="SOG225:SOJ225"/>
    <mergeCell ref="SOK225:SON225"/>
    <mergeCell ref="SMS225:SMV225"/>
    <mergeCell ref="SMW225:SMZ225"/>
    <mergeCell ref="SNA225:SND225"/>
    <mergeCell ref="SNE225:SNH225"/>
    <mergeCell ref="SNI225:SNL225"/>
    <mergeCell ref="SNM225:SNP225"/>
    <mergeCell ref="SLU225:SLX225"/>
    <mergeCell ref="SLY225:SMB225"/>
    <mergeCell ref="SMC225:SMF225"/>
    <mergeCell ref="SMG225:SMJ225"/>
    <mergeCell ref="SMK225:SMN225"/>
    <mergeCell ref="SMO225:SMR225"/>
    <mergeCell ref="SKW225:SKZ225"/>
    <mergeCell ref="SLA225:SLD225"/>
    <mergeCell ref="SLE225:SLH225"/>
    <mergeCell ref="SLI225:SLL225"/>
    <mergeCell ref="SLM225:SLP225"/>
    <mergeCell ref="SLQ225:SLT225"/>
    <mergeCell ref="SJY225:SKB225"/>
    <mergeCell ref="SKC225:SKF225"/>
    <mergeCell ref="SKG225:SKJ225"/>
    <mergeCell ref="SKK225:SKN225"/>
    <mergeCell ref="SKO225:SKR225"/>
    <mergeCell ref="SKS225:SKV225"/>
    <mergeCell ref="SJA225:SJD225"/>
    <mergeCell ref="SJE225:SJH225"/>
    <mergeCell ref="SJI225:SJL225"/>
    <mergeCell ref="SJM225:SJP225"/>
    <mergeCell ref="SJQ225:SJT225"/>
    <mergeCell ref="SJU225:SJX225"/>
    <mergeCell ref="SIC225:SIF225"/>
    <mergeCell ref="SIG225:SIJ225"/>
    <mergeCell ref="SIK225:SIN225"/>
    <mergeCell ref="SIO225:SIR225"/>
    <mergeCell ref="SIS225:SIV225"/>
    <mergeCell ref="SIW225:SIZ225"/>
    <mergeCell ref="SHE225:SHH225"/>
    <mergeCell ref="SHI225:SHL225"/>
    <mergeCell ref="SHM225:SHP225"/>
    <mergeCell ref="SHQ225:SHT225"/>
    <mergeCell ref="SHU225:SHX225"/>
    <mergeCell ref="SHY225:SIB225"/>
    <mergeCell ref="SGG225:SGJ225"/>
    <mergeCell ref="SGK225:SGN225"/>
    <mergeCell ref="SGO225:SGR225"/>
    <mergeCell ref="SGS225:SGV225"/>
    <mergeCell ref="SGW225:SGZ225"/>
    <mergeCell ref="SHA225:SHD225"/>
    <mergeCell ref="SFI225:SFL225"/>
    <mergeCell ref="SFM225:SFP225"/>
    <mergeCell ref="SFQ225:SFT225"/>
    <mergeCell ref="SFU225:SFX225"/>
    <mergeCell ref="SFY225:SGB225"/>
    <mergeCell ref="SGC225:SGF225"/>
    <mergeCell ref="SEK225:SEN225"/>
    <mergeCell ref="SEO225:SER225"/>
    <mergeCell ref="SES225:SEV225"/>
    <mergeCell ref="SEW225:SEZ225"/>
    <mergeCell ref="SFA225:SFD225"/>
    <mergeCell ref="SFE225:SFH225"/>
    <mergeCell ref="SDM225:SDP225"/>
    <mergeCell ref="SDQ225:SDT225"/>
    <mergeCell ref="SDU225:SDX225"/>
    <mergeCell ref="SDY225:SEB225"/>
    <mergeCell ref="SEC225:SEF225"/>
    <mergeCell ref="SEG225:SEJ225"/>
    <mergeCell ref="SCO225:SCR225"/>
    <mergeCell ref="SCS225:SCV225"/>
    <mergeCell ref="SCW225:SCZ225"/>
    <mergeCell ref="SDA225:SDD225"/>
    <mergeCell ref="SDE225:SDH225"/>
    <mergeCell ref="SDI225:SDL225"/>
    <mergeCell ref="SBQ225:SBT225"/>
    <mergeCell ref="SBU225:SBX225"/>
    <mergeCell ref="SBY225:SCB225"/>
    <mergeCell ref="SCC225:SCF225"/>
    <mergeCell ref="SCG225:SCJ225"/>
    <mergeCell ref="SCK225:SCN225"/>
    <mergeCell ref="SAS225:SAV225"/>
    <mergeCell ref="SAW225:SAZ225"/>
    <mergeCell ref="SBA225:SBD225"/>
    <mergeCell ref="SBE225:SBH225"/>
    <mergeCell ref="SBI225:SBL225"/>
    <mergeCell ref="SBM225:SBP225"/>
    <mergeCell ref="RZU225:RZX225"/>
    <mergeCell ref="RZY225:SAB225"/>
    <mergeCell ref="SAC225:SAF225"/>
    <mergeCell ref="SAG225:SAJ225"/>
    <mergeCell ref="SAK225:SAN225"/>
    <mergeCell ref="SAO225:SAR225"/>
    <mergeCell ref="RYW225:RYZ225"/>
    <mergeCell ref="RZA225:RZD225"/>
    <mergeCell ref="RZE225:RZH225"/>
    <mergeCell ref="RZI225:RZL225"/>
    <mergeCell ref="RZM225:RZP225"/>
    <mergeCell ref="RZQ225:RZT225"/>
    <mergeCell ref="RXY225:RYB225"/>
    <mergeCell ref="RYC225:RYF225"/>
    <mergeCell ref="RYG225:RYJ225"/>
    <mergeCell ref="RYK225:RYN225"/>
    <mergeCell ref="RYO225:RYR225"/>
    <mergeCell ref="RYS225:RYV225"/>
    <mergeCell ref="RXA225:RXD225"/>
    <mergeCell ref="RXE225:RXH225"/>
    <mergeCell ref="RXI225:RXL225"/>
    <mergeCell ref="RXM225:RXP225"/>
    <mergeCell ref="RXQ225:RXT225"/>
    <mergeCell ref="RXU225:RXX225"/>
    <mergeCell ref="RWC225:RWF225"/>
    <mergeCell ref="RWG225:RWJ225"/>
    <mergeCell ref="RWK225:RWN225"/>
    <mergeCell ref="RWO225:RWR225"/>
    <mergeCell ref="RWS225:RWV225"/>
    <mergeCell ref="RWW225:RWZ225"/>
    <mergeCell ref="RVE225:RVH225"/>
    <mergeCell ref="RVI225:RVL225"/>
    <mergeCell ref="RVM225:RVP225"/>
    <mergeCell ref="RVQ225:RVT225"/>
    <mergeCell ref="RVU225:RVX225"/>
    <mergeCell ref="RVY225:RWB225"/>
    <mergeCell ref="RUG225:RUJ225"/>
    <mergeCell ref="RUK225:RUN225"/>
    <mergeCell ref="RUO225:RUR225"/>
    <mergeCell ref="RUS225:RUV225"/>
    <mergeCell ref="RUW225:RUZ225"/>
    <mergeCell ref="RVA225:RVD225"/>
    <mergeCell ref="RTI225:RTL225"/>
    <mergeCell ref="RTM225:RTP225"/>
    <mergeCell ref="RTQ225:RTT225"/>
    <mergeCell ref="RTU225:RTX225"/>
    <mergeCell ref="RTY225:RUB225"/>
    <mergeCell ref="RUC225:RUF225"/>
    <mergeCell ref="RSK225:RSN225"/>
    <mergeCell ref="RSO225:RSR225"/>
    <mergeCell ref="RSS225:RSV225"/>
    <mergeCell ref="RSW225:RSZ225"/>
    <mergeCell ref="RTA225:RTD225"/>
    <mergeCell ref="RTE225:RTH225"/>
    <mergeCell ref="RRM225:RRP225"/>
    <mergeCell ref="RRQ225:RRT225"/>
    <mergeCell ref="RRU225:RRX225"/>
    <mergeCell ref="RRY225:RSB225"/>
    <mergeCell ref="RSC225:RSF225"/>
    <mergeCell ref="RSG225:RSJ225"/>
    <mergeCell ref="RQO225:RQR225"/>
    <mergeCell ref="RQS225:RQV225"/>
    <mergeCell ref="RQW225:RQZ225"/>
    <mergeCell ref="RRA225:RRD225"/>
    <mergeCell ref="RRE225:RRH225"/>
    <mergeCell ref="RRI225:RRL225"/>
    <mergeCell ref="RPQ225:RPT225"/>
    <mergeCell ref="RPU225:RPX225"/>
    <mergeCell ref="RPY225:RQB225"/>
    <mergeCell ref="RQC225:RQF225"/>
    <mergeCell ref="RQG225:RQJ225"/>
    <mergeCell ref="RQK225:RQN225"/>
    <mergeCell ref="ROS225:ROV225"/>
    <mergeCell ref="ROW225:ROZ225"/>
    <mergeCell ref="RPA225:RPD225"/>
    <mergeCell ref="RPE225:RPH225"/>
    <mergeCell ref="RPI225:RPL225"/>
    <mergeCell ref="RPM225:RPP225"/>
    <mergeCell ref="RNU225:RNX225"/>
    <mergeCell ref="RNY225:ROB225"/>
    <mergeCell ref="ROC225:ROF225"/>
    <mergeCell ref="ROG225:ROJ225"/>
    <mergeCell ref="ROK225:RON225"/>
    <mergeCell ref="ROO225:ROR225"/>
    <mergeCell ref="RMW225:RMZ225"/>
    <mergeCell ref="RNA225:RND225"/>
    <mergeCell ref="RNE225:RNH225"/>
    <mergeCell ref="RNI225:RNL225"/>
    <mergeCell ref="RNM225:RNP225"/>
    <mergeCell ref="RNQ225:RNT225"/>
    <mergeCell ref="RLY225:RMB225"/>
    <mergeCell ref="RMC225:RMF225"/>
    <mergeCell ref="RMG225:RMJ225"/>
    <mergeCell ref="RMK225:RMN225"/>
    <mergeCell ref="RMO225:RMR225"/>
    <mergeCell ref="RMS225:RMV225"/>
    <mergeCell ref="RLA225:RLD225"/>
    <mergeCell ref="RLE225:RLH225"/>
    <mergeCell ref="RLI225:RLL225"/>
    <mergeCell ref="RLM225:RLP225"/>
    <mergeCell ref="RLQ225:RLT225"/>
    <mergeCell ref="RLU225:RLX225"/>
    <mergeCell ref="RKC225:RKF225"/>
    <mergeCell ref="RKG225:RKJ225"/>
    <mergeCell ref="RKK225:RKN225"/>
    <mergeCell ref="RKO225:RKR225"/>
    <mergeCell ref="RKS225:RKV225"/>
    <mergeCell ref="RKW225:RKZ225"/>
    <mergeCell ref="RJE225:RJH225"/>
    <mergeCell ref="RJI225:RJL225"/>
    <mergeCell ref="RJM225:RJP225"/>
    <mergeCell ref="RJQ225:RJT225"/>
    <mergeCell ref="RJU225:RJX225"/>
    <mergeCell ref="RJY225:RKB225"/>
    <mergeCell ref="RIG225:RIJ225"/>
    <mergeCell ref="RIK225:RIN225"/>
    <mergeCell ref="RIO225:RIR225"/>
    <mergeCell ref="RIS225:RIV225"/>
    <mergeCell ref="RIW225:RIZ225"/>
    <mergeCell ref="RJA225:RJD225"/>
    <mergeCell ref="RHI225:RHL225"/>
    <mergeCell ref="RHM225:RHP225"/>
    <mergeCell ref="RHQ225:RHT225"/>
    <mergeCell ref="RHU225:RHX225"/>
    <mergeCell ref="RHY225:RIB225"/>
    <mergeCell ref="RIC225:RIF225"/>
    <mergeCell ref="RGK225:RGN225"/>
    <mergeCell ref="RGO225:RGR225"/>
    <mergeCell ref="RGS225:RGV225"/>
    <mergeCell ref="RGW225:RGZ225"/>
    <mergeCell ref="RHA225:RHD225"/>
    <mergeCell ref="RHE225:RHH225"/>
    <mergeCell ref="RFM225:RFP225"/>
    <mergeCell ref="RFQ225:RFT225"/>
    <mergeCell ref="RFU225:RFX225"/>
    <mergeCell ref="RFY225:RGB225"/>
    <mergeCell ref="RGC225:RGF225"/>
    <mergeCell ref="RGG225:RGJ225"/>
    <mergeCell ref="REO225:RER225"/>
    <mergeCell ref="RES225:REV225"/>
    <mergeCell ref="REW225:REZ225"/>
    <mergeCell ref="RFA225:RFD225"/>
    <mergeCell ref="RFE225:RFH225"/>
    <mergeCell ref="RFI225:RFL225"/>
    <mergeCell ref="RDQ225:RDT225"/>
    <mergeCell ref="RDU225:RDX225"/>
    <mergeCell ref="RDY225:REB225"/>
    <mergeCell ref="REC225:REF225"/>
    <mergeCell ref="REG225:REJ225"/>
    <mergeCell ref="REK225:REN225"/>
    <mergeCell ref="RCS225:RCV225"/>
    <mergeCell ref="RCW225:RCZ225"/>
    <mergeCell ref="RDA225:RDD225"/>
    <mergeCell ref="RDE225:RDH225"/>
    <mergeCell ref="RDI225:RDL225"/>
    <mergeCell ref="RDM225:RDP225"/>
    <mergeCell ref="RBU225:RBX225"/>
    <mergeCell ref="RBY225:RCB225"/>
    <mergeCell ref="RCC225:RCF225"/>
    <mergeCell ref="RCG225:RCJ225"/>
    <mergeCell ref="RCK225:RCN225"/>
    <mergeCell ref="RCO225:RCR225"/>
    <mergeCell ref="RAW225:RAZ225"/>
    <mergeCell ref="RBA225:RBD225"/>
    <mergeCell ref="RBE225:RBH225"/>
    <mergeCell ref="RBI225:RBL225"/>
    <mergeCell ref="RBM225:RBP225"/>
    <mergeCell ref="RBQ225:RBT225"/>
    <mergeCell ref="QZY225:RAB225"/>
    <mergeCell ref="RAC225:RAF225"/>
    <mergeCell ref="RAG225:RAJ225"/>
    <mergeCell ref="RAK225:RAN225"/>
    <mergeCell ref="RAO225:RAR225"/>
    <mergeCell ref="RAS225:RAV225"/>
    <mergeCell ref="QZA225:QZD225"/>
    <mergeCell ref="QZE225:QZH225"/>
    <mergeCell ref="QZI225:QZL225"/>
    <mergeCell ref="QZM225:QZP225"/>
    <mergeCell ref="QZQ225:QZT225"/>
    <mergeCell ref="QZU225:QZX225"/>
    <mergeCell ref="QYC225:QYF225"/>
    <mergeCell ref="QYG225:QYJ225"/>
    <mergeCell ref="QYK225:QYN225"/>
    <mergeCell ref="QYO225:QYR225"/>
    <mergeCell ref="QYS225:QYV225"/>
    <mergeCell ref="QYW225:QYZ225"/>
    <mergeCell ref="QXE225:QXH225"/>
    <mergeCell ref="QXI225:QXL225"/>
    <mergeCell ref="QXM225:QXP225"/>
    <mergeCell ref="QXQ225:QXT225"/>
    <mergeCell ref="QXU225:QXX225"/>
    <mergeCell ref="QXY225:QYB225"/>
    <mergeCell ref="QWG225:QWJ225"/>
    <mergeCell ref="QWK225:QWN225"/>
    <mergeCell ref="QWO225:QWR225"/>
    <mergeCell ref="QWS225:QWV225"/>
    <mergeCell ref="QWW225:QWZ225"/>
    <mergeCell ref="QXA225:QXD225"/>
    <mergeCell ref="QVI225:QVL225"/>
    <mergeCell ref="QVM225:QVP225"/>
    <mergeCell ref="QVQ225:QVT225"/>
    <mergeCell ref="QVU225:QVX225"/>
    <mergeCell ref="QVY225:QWB225"/>
    <mergeCell ref="QWC225:QWF225"/>
    <mergeCell ref="QUK225:QUN225"/>
    <mergeCell ref="QUO225:QUR225"/>
    <mergeCell ref="QUS225:QUV225"/>
    <mergeCell ref="QUW225:QUZ225"/>
    <mergeCell ref="QVA225:QVD225"/>
    <mergeCell ref="QVE225:QVH225"/>
    <mergeCell ref="QTM225:QTP225"/>
    <mergeCell ref="QTQ225:QTT225"/>
    <mergeCell ref="QTU225:QTX225"/>
    <mergeCell ref="QTY225:QUB225"/>
    <mergeCell ref="QUC225:QUF225"/>
    <mergeCell ref="QUG225:QUJ225"/>
    <mergeCell ref="QSO225:QSR225"/>
    <mergeCell ref="QSS225:QSV225"/>
    <mergeCell ref="QSW225:QSZ225"/>
    <mergeCell ref="QTA225:QTD225"/>
    <mergeCell ref="QTE225:QTH225"/>
    <mergeCell ref="QTI225:QTL225"/>
    <mergeCell ref="QRQ225:QRT225"/>
    <mergeCell ref="QRU225:QRX225"/>
    <mergeCell ref="QRY225:QSB225"/>
    <mergeCell ref="QSC225:QSF225"/>
    <mergeCell ref="QSG225:QSJ225"/>
    <mergeCell ref="QSK225:QSN225"/>
    <mergeCell ref="QQS225:QQV225"/>
    <mergeCell ref="QQW225:QQZ225"/>
    <mergeCell ref="QRA225:QRD225"/>
    <mergeCell ref="QRE225:QRH225"/>
    <mergeCell ref="QRI225:QRL225"/>
    <mergeCell ref="QRM225:QRP225"/>
    <mergeCell ref="QPU225:QPX225"/>
    <mergeCell ref="QPY225:QQB225"/>
    <mergeCell ref="QQC225:QQF225"/>
    <mergeCell ref="QQG225:QQJ225"/>
    <mergeCell ref="QQK225:QQN225"/>
    <mergeCell ref="QQO225:QQR225"/>
    <mergeCell ref="QOW225:QOZ225"/>
    <mergeCell ref="QPA225:QPD225"/>
    <mergeCell ref="QPE225:QPH225"/>
    <mergeCell ref="QPI225:QPL225"/>
    <mergeCell ref="QPM225:QPP225"/>
    <mergeCell ref="QPQ225:QPT225"/>
    <mergeCell ref="QNY225:QOB225"/>
    <mergeCell ref="QOC225:QOF225"/>
    <mergeCell ref="QOG225:QOJ225"/>
    <mergeCell ref="QOK225:QON225"/>
    <mergeCell ref="QOO225:QOR225"/>
    <mergeCell ref="QOS225:QOV225"/>
    <mergeCell ref="QNA225:QND225"/>
    <mergeCell ref="QNE225:QNH225"/>
    <mergeCell ref="QNI225:QNL225"/>
    <mergeCell ref="QNM225:QNP225"/>
    <mergeCell ref="QNQ225:QNT225"/>
    <mergeCell ref="QNU225:QNX225"/>
    <mergeCell ref="QMC225:QMF225"/>
    <mergeCell ref="QMG225:QMJ225"/>
    <mergeCell ref="QMK225:QMN225"/>
    <mergeCell ref="QMO225:QMR225"/>
    <mergeCell ref="QMS225:QMV225"/>
    <mergeCell ref="QMW225:QMZ225"/>
    <mergeCell ref="QLE225:QLH225"/>
    <mergeCell ref="QLI225:QLL225"/>
    <mergeCell ref="QLM225:QLP225"/>
    <mergeCell ref="QLQ225:QLT225"/>
    <mergeCell ref="QLU225:QLX225"/>
    <mergeCell ref="QLY225:QMB225"/>
    <mergeCell ref="QKG225:QKJ225"/>
    <mergeCell ref="QKK225:QKN225"/>
    <mergeCell ref="QKO225:QKR225"/>
    <mergeCell ref="QKS225:QKV225"/>
    <mergeCell ref="QKW225:QKZ225"/>
    <mergeCell ref="QLA225:QLD225"/>
    <mergeCell ref="QJI225:QJL225"/>
    <mergeCell ref="QJM225:QJP225"/>
    <mergeCell ref="QJQ225:QJT225"/>
    <mergeCell ref="QJU225:QJX225"/>
    <mergeCell ref="QJY225:QKB225"/>
    <mergeCell ref="QKC225:QKF225"/>
    <mergeCell ref="QIK225:QIN225"/>
    <mergeCell ref="QIO225:QIR225"/>
    <mergeCell ref="QIS225:QIV225"/>
    <mergeCell ref="QIW225:QIZ225"/>
    <mergeCell ref="QJA225:QJD225"/>
    <mergeCell ref="QJE225:QJH225"/>
    <mergeCell ref="QHM225:QHP225"/>
    <mergeCell ref="QHQ225:QHT225"/>
    <mergeCell ref="QHU225:QHX225"/>
    <mergeCell ref="QHY225:QIB225"/>
    <mergeCell ref="QIC225:QIF225"/>
    <mergeCell ref="QIG225:QIJ225"/>
    <mergeCell ref="QGO225:QGR225"/>
    <mergeCell ref="QGS225:QGV225"/>
    <mergeCell ref="QGW225:QGZ225"/>
    <mergeCell ref="QHA225:QHD225"/>
    <mergeCell ref="QHE225:QHH225"/>
    <mergeCell ref="QHI225:QHL225"/>
    <mergeCell ref="QFQ225:QFT225"/>
    <mergeCell ref="QFU225:QFX225"/>
    <mergeCell ref="QFY225:QGB225"/>
    <mergeCell ref="QGC225:QGF225"/>
    <mergeCell ref="QGG225:QGJ225"/>
    <mergeCell ref="QGK225:QGN225"/>
    <mergeCell ref="QES225:QEV225"/>
    <mergeCell ref="QEW225:QEZ225"/>
    <mergeCell ref="QFA225:QFD225"/>
    <mergeCell ref="QFE225:QFH225"/>
    <mergeCell ref="QFI225:QFL225"/>
    <mergeCell ref="QFM225:QFP225"/>
    <mergeCell ref="QDU225:QDX225"/>
    <mergeCell ref="QDY225:QEB225"/>
    <mergeCell ref="QEC225:QEF225"/>
    <mergeCell ref="QEG225:QEJ225"/>
    <mergeCell ref="QEK225:QEN225"/>
    <mergeCell ref="QEO225:QER225"/>
    <mergeCell ref="QCW225:QCZ225"/>
    <mergeCell ref="QDA225:QDD225"/>
    <mergeCell ref="QDE225:QDH225"/>
    <mergeCell ref="QDI225:QDL225"/>
    <mergeCell ref="QDM225:QDP225"/>
    <mergeCell ref="QDQ225:QDT225"/>
    <mergeCell ref="QBY225:QCB225"/>
    <mergeCell ref="QCC225:QCF225"/>
    <mergeCell ref="QCG225:QCJ225"/>
    <mergeCell ref="QCK225:QCN225"/>
    <mergeCell ref="QCO225:QCR225"/>
    <mergeCell ref="QCS225:QCV225"/>
    <mergeCell ref="QBA225:QBD225"/>
    <mergeCell ref="QBE225:QBH225"/>
    <mergeCell ref="QBI225:QBL225"/>
    <mergeCell ref="QBM225:QBP225"/>
    <mergeCell ref="QBQ225:QBT225"/>
    <mergeCell ref="QBU225:QBX225"/>
    <mergeCell ref="QAC225:QAF225"/>
    <mergeCell ref="QAG225:QAJ225"/>
    <mergeCell ref="QAK225:QAN225"/>
    <mergeCell ref="QAO225:QAR225"/>
    <mergeCell ref="QAS225:QAV225"/>
    <mergeCell ref="QAW225:QAZ225"/>
    <mergeCell ref="PZE225:PZH225"/>
    <mergeCell ref="PZI225:PZL225"/>
    <mergeCell ref="PZM225:PZP225"/>
    <mergeCell ref="PZQ225:PZT225"/>
    <mergeCell ref="PZU225:PZX225"/>
    <mergeCell ref="PZY225:QAB225"/>
    <mergeCell ref="PYG225:PYJ225"/>
    <mergeCell ref="PYK225:PYN225"/>
    <mergeCell ref="PYO225:PYR225"/>
    <mergeCell ref="PYS225:PYV225"/>
    <mergeCell ref="PYW225:PYZ225"/>
    <mergeCell ref="PZA225:PZD225"/>
    <mergeCell ref="PXI225:PXL225"/>
    <mergeCell ref="PXM225:PXP225"/>
    <mergeCell ref="PXQ225:PXT225"/>
    <mergeCell ref="PXU225:PXX225"/>
    <mergeCell ref="PXY225:PYB225"/>
    <mergeCell ref="PYC225:PYF225"/>
    <mergeCell ref="PWK225:PWN225"/>
    <mergeCell ref="PWO225:PWR225"/>
    <mergeCell ref="PWS225:PWV225"/>
    <mergeCell ref="PWW225:PWZ225"/>
    <mergeCell ref="PXA225:PXD225"/>
    <mergeCell ref="PXE225:PXH225"/>
    <mergeCell ref="PVM225:PVP225"/>
    <mergeCell ref="PVQ225:PVT225"/>
    <mergeCell ref="PVU225:PVX225"/>
    <mergeCell ref="PVY225:PWB225"/>
    <mergeCell ref="PWC225:PWF225"/>
    <mergeCell ref="PWG225:PWJ225"/>
    <mergeCell ref="PUO225:PUR225"/>
    <mergeCell ref="PUS225:PUV225"/>
    <mergeCell ref="PUW225:PUZ225"/>
    <mergeCell ref="PVA225:PVD225"/>
    <mergeCell ref="PVE225:PVH225"/>
    <mergeCell ref="PVI225:PVL225"/>
    <mergeCell ref="PTQ225:PTT225"/>
    <mergeCell ref="PTU225:PTX225"/>
    <mergeCell ref="PTY225:PUB225"/>
    <mergeCell ref="PUC225:PUF225"/>
    <mergeCell ref="PUG225:PUJ225"/>
    <mergeCell ref="PUK225:PUN225"/>
    <mergeCell ref="PSS225:PSV225"/>
    <mergeCell ref="PSW225:PSZ225"/>
    <mergeCell ref="PTA225:PTD225"/>
    <mergeCell ref="PTE225:PTH225"/>
    <mergeCell ref="PTI225:PTL225"/>
    <mergeCell ref="PTM225:PTP225"/>
    <mergeCell ref="PRU225:PRX225"/>
    <mergeCell ref="PRY225:PSB225"/>
    <mergeCell ref="PSC225:PSF225"/>
    <mergeCell ref="PSG225:PSJ225"/>
    <mergeCell ref="PSK225:PSN225"/>
    <mergeCell ref="PSO225:PSR225"/>
    <mergeCell ref="PQW225:PQZ225"/>
    <mergeCell ref="PRA225:PRD225"/>
    <mergeCell ref="PRE225:PRH225"/>
    <mergeCell ref="PRI225:PRL225"/>
    <mergeCell ref="PRM225:PRP225"/>
    <mergeCell ref="PRQ225:PRT225"/>
    <mergeCell ref="PPY225:PQB225"/>
    <mergeCell ref="PQC225:PQF225"/>
    <mergeCell ref="PQG225:PQJ225"/>
    <mergeCell ref="PQK225:PQN225"/>
    <mergeCell ref="PQO225:PQR225"/>
    <mergeCell ref="PQS225:PQV225"/>
    <mergeCell ref="PPA225:PPD225"/>
    <mergeCell ref="PPE225:PPH225"/>
    <mergeCell ref="PPI225:PPL225"/>
    <mergeCell ref="PPM225:PPP225"/>
    <mergeCell ref="PPQ225:PPT225"/>
    <mergeCell ref="PPU225:PPX225"/>
    <mergeCell ref="POC225:POF225"/>
    <mergeCell ref="POG225:POJ225"/>
    <mergeCell ref="POK225:PON225"/>
    <mergeCell ref="POO225:POR225"/>
    <mergeCell ref="POS225:POV225"/>
    <mergeCell ref="POW225:POZ225"/>
    <mergeCell ref="PNE225:PNH225"/>
    <mergeCell ref="PNI225:PNL225"/>
    <mergeCell ref="PNM225:PNP225"/>
    <mergeCell ref="PNQ225:PNT225"/>
    <mergeCell ref="PNU225:PNX225"/>
    <mergeCell ref="PNY225:POB225"/>
    <mergeCell ref="PMG225:PMJ225"/>
    <mergeCell ref="PMK225:PMN225"/>
    <mergeCell ref="PMO225:PMR225"/>
    <mergeCell ref="PMS225:PMV225"/>
    <mergeCell ref="PMW225:PMZ225"/>
    <mergeCell ref="PNA225:PND225"/>
    <mergeCell ref="PLI225:PLL225"/>
    <mergeCell ref="PLM225:PLP225"/>
    <mergeCell ref="PLQ225:PLT225"/>
    <mergeCell ref="PLU225:PLX225"/>
    <mergeCell ref="PLY225:PMB225"/>
    <mergeCell ref="PMC225:PMF225"/>
    <mergeCell ref="PKK225:PKN225"/>
    <mergeCell ref="PKO225:PKR225"/>
    <mergeCell ref="PKS225:PKV225"/>
    <mergeCell ref="PKW225:PKZ225"/>
    <mergeCell ref="PLA225:PLD225"/>
    <mergeCell ref="PLE225:PLH225"/>
    <mergeCell ref="PJM225:PJP225"/>
    <mergeCell ref="PJQ225:PJT225"/>
    <mergeCell ref="PJU225:PJX225"/>
    <mergeCell ref="PJY225:PKB225"/>
    <mergeCell ref="PKC225:PKF225"/>
    <mergeCell ref="PKG225:PKJ225"/>
    <mergeCell ref="PIO225:PIR225"/>
    <mergeCell ref="PIS225:PIV225"/>
    <mergeCell ref="PIW225:PIZ225"/>
    <mergeCell ref="PJA225:PJD225"/>
    <mergeCell ref="PJE225:PJH225"/>
    <mergeCell ref="PJI225:PJL225"/>
    <mergeCell ref="PHQ225:PHT225"/>
    <mergeCell ref="PHU225:PHX225"/>
    <mergeCell ref="PHY225:PIB225"/>
    <mergeCell ref="PIC225:PIF225"/>
    <mergeCell ref="PIG225:PIJ225"/>
    <mergeCell ref="PIK225:PIN225"/>
    <mergeCell ref="PGS225:PGV225"/>
    <mergeCell ref="PGW225:PGZ225"/>
    <mergeCell ref="PHA225:PHD225"/>
    <mergeCell ref="PHE225:PHH225"/>
    <mergeCell ref="PHI225:PHL225"/>
    <mergeCell ref="PHM225:PHP225"/>
    <mergeCell ref="PFU225:PFX225"/>
    <mergeCell ref="PFY225:PGB225"/>
    <mergeCell ref="PGC225:PGF225"/>
    <mergeCell ref="PGG225:PGJ225"/>
    <mergeCell ref="PGK225:PGN225"/>
    <mergeCell ref="PGO225:PGR225"/>
    <mergeCell ref="PEW225:PEZ225"/>
    <mergeCell ref="PFA225:PFD225"/>
    <mergeCell ref="PFE225:PFH225"/>
    <mergeCell ref="PFI225:PFL225"/>
    <mergeCell ref="PFM225:PFP225"/>
    <mergeCell ref="PFQ225:PFT225"/>
    <mergeCell ref="PDY225:PEB225"/>
    <mergeCell ref="PEC225:PEF225"/>
    <mergeCell ref="PEG225:PEJ225"/>
    <mergeCell ref="PEK225:PEN225"/>
    <mergeCell ref="PEO225:PER225"/>
    <mergeCell ref="PES225:PEV225"/>
    <mergeCell ref="PDA225:PDD225"/>
    <mergeCell ref="PDE225:PDH225"/>
    <mergeCell ref="PDI225:PDL225"/>
    <mergeCell ref="PDM225:PDP225"/>
    <mergeCell ref="PDQ225:PDT225"/>
    <mergeCell ref="PDU225:PDX225"/>
    <mergeCell ref="PCC225:PCF225"/>
    <mergeCell ref="PCG225:PCJ225"/>
    <mergeCell ref="PCK225:PCN225"/>
    <mergeCell ref="PCO225:PCR225"/>
    <mergeCell ref="PCS225:PCV225"/>
    <mergeCell ref="PCW225:PCZ225"/>
    <mergeCell ref="PBE225:PBH225"/>
    <mergeCell ref="PBI225:PBL225"/>
    <mergeCell ref="PBM225:PBP225"/>
    <mergeCell ref="PBQ225:PBT225"/>
    <mergeCell ref="PBU225:PBX225"/>
    <mergeCell ref="PBY225:PCB225"/>
    <mergeCell ref="PAG225:PAJ225"/>
    <mergeCell ref="PAK225:PAN225"/>
    <mergeCell ref="PAO225:PAR225"/>
    <mergeCell ref="PAS225:PAV225"/>
    <mergeCell ref="PAW225:PAZ225"/>
    <mergeCell ref="PBA225:PBD225"/>
    <mergeCell ref="OZI225:OZL225"/>
    <mergeCell ref="OZM225:OZP225"/>
    <mergeCell ref="OZQ225:OZT225"/>
    <mergeCell ref="OZU225:OZX225"/>
    <mergeCell ref="OZY225:PAB225"/>
    <mergeCell ref="PAC225:PAF225"/>
    <mergeCell ref="OYK225:OYN225"/>
    <mergeCell ref="OYO225:OYR225"/>
    <mergeCell ref="OYS225:OYV225"/>
    <mergeCell ref="OYW225:OYZ225"/>
    <mergeCell ref="OZA225:OZD225"/>
    <mergeCell ref="OZE225:OZH225"/>
    <mergeCell ref="OXM225:OXP225"/>
    <mergeCell ref="OXQ225:OXT225"/>
    <mergeCell ref="OXU225:OXX225"/>
    <mergeCell ref="OXY225:OYB225"/>
    <mergeCell ref="OYC225:OYF225"/>
    <mergeCell ref="OYG225:OYJ225"/>
    <mergeCell ref="OWO225:OWR225"/>
    <mergeCell ref="OWS225:OWV225"/>
    <mergeCell ref="OWW225:OWZ225"/>
    <mergeCell ref="OXA225:OXD225"/>
    <mergeCell ref="OXE225:OXH225"/>
    <mergeCell ref="OXI225:OXL225"/>
    <mergeCell ref="OVQ225:OVT225"/>
    <mergeCell ref="OVU225:OVX225"/>
    <mergeCell ref="OVY225:OWB225"/>
    <mergeCell ref="OWC225:OWF225"/>
    <mergeCell ref="OWG225:OWJ225"/>
    <mergeCell ref="OWK225:OWN225"/>
    <mergeCell ref="OUS225:OUV225"/>
    <mergeCell ref="OUW225:OUZ225"/>
    <mergeCell ref="OVA225:OVD225"/>
    <mergeCell ref="OVE225:OVH225"/>
    <mergeCell ref="OVI225:OVL225"/>
    <mergeCell ref="OVM225:OVP225"/>
    <mergeCell ref="OTU225:OTX225"/>
    <mergeCell ref="OTY225:OUB225"/>
    <mergeCell ref="OUC225:OUF225"/>
    <mergeCell ref="OUG225:OUJ225"/>
    <mergeCell ref="OUK225:OUN225"/>
    <mergeCell ref="OUO225:OUR225"/>
    <mergeCell ref="OSW225:OSZ225"/>
    <mergeCell ref="OTA225:OTD225"/>
    <mergeCell ref="OTE225:OTH225"/>
    <mergeCell ref="OTI225:OTL225"/>
    <mergeCell ref="OTM225:OTP225"/>
    <mergeCell ref="OTQ225:OTT225"/>
    <mergeCell ref="ORY225:OSB225"/>
    <mergeCell ref="OSC225:OSF225"/>
    <mergeCell ref="OSG225:OSJ225"/>
    <mergeCell ref="OSK225:OSN225"/>
    <mergeCell ref="OSO225:OSR225"/>
    <mergeCell ref="OSS225:OSV225"/>
    <mergeCell ref="ORA225:ORD225"/>
    <mergeCell ref="ORE225:ORH225"/>
    <mergeCell ref="ORI225:ORL225"/>
    <mergeCell ref="ORM225:ORP225"/>
    <mergeCell ref="ORQ225:ORT225"/>
    <mergeCell ref="ORU225:ORX225"/>
    <mergeCell ref="OQC225:OQF225"/>
    <mergeCell ref="OQG225:OQJ225"/>
    <mergeCell ref="OQK225:OQN225"/>
    <mergeCell ref="OQO225:OQR225"/>
    <mergeCell ref="OQS225:OQV225"/>
    <mergeCell ref="OQW225:OQZ225"/>
    <mergeCell ref="OPE225:OPH225"/>
    <mergeCell ref="OPI225:OPL225"/>
    <mergeCell ref="OPM225:OPP225"/>
    <mergeCell ref="OPQ225:OPT225"/>
    <mergeCell ref="OPU225:OPX225"/>
    <mergeCell ref="OPY225:OQB225"/>
    <mergeCell ref="OOG225:OOJ225"/>
    <mergeCell ref="OOK225:OON225"/>
    <mergeCell ref="OOO225:OOR225"/>
    <mergeCell ref="OOS225:OOV225"/>
    <mergeCell ref="OOW225:OOZ225"/>
    <mergeCell ref="OPA225:OPD225"/>
    <mergeCell ref="ONI225:ONL225"/>
    <mergeCell ref="ONM225:ONP225"/>
    <mergeCell ref="ONQ225:ONT225"/>
    <mergeCell ref="ONU225:ONX225"/>
    <mergeCell ref="ONY225:OOB225"/>
    <mergeCell ref="OOC225:OOF225"/>
    <mergeCell ref="OMK225:OMN225"/>
    <mergeCell ref="OMO225:OMR225"/>
    <mergeCell ref="OMS225:OMV225"/>
    <mergeCell ref="OMW225:OMZ225"/>
    <mergeCell ref="ONA225:OND225"/>
    <mergeCell ref="ONE225:ONH225"/>
    <mergeCell ref="OLM225:OLP225"/>
    <mergeCell ref="OLQ225:OLT225"/>
    <mergeCell ref="OLU225:OLX225"/>
    <mergeCell ref="OLY225:OMB225"/>
    <mergeCell ref="OMC225:OMF225"/>
    <mergeCell ref="OMG225:OMJ225"/>
    <mergeCell ref="OKO225:OKR225"/>
    <mergeCell ref="OKS225:OKV225"/>
    <mergeCell ref="OKW225:OKZ225"/>
    <mergeCell ref="OLA225:OLD225"/>
    <mergeCell ref="OLE225:OLH225"/>
    <mergeCell ref="OLI225:OLL225"/>
    <mergeCell ref="OJQ225:OJT225"/>
    <mergeCell ref="OJU225:OJX225"/>
    <mergeCell ref="OJY225:OKB225"/>
    <mergeCell ref="OKC225:OKF225"/>
    <mergeCell ref="OKG225:OKJ225"/>
    <mergeCell ref="OKK225:OKN225"/>
    <mergeCell ref="OIS225:OIV225"/>
    <mergeCell ref="OIW225:OIZ225"/>
    <mergeCell ref="OJA225:OJD225"/>
    <mergeCell ref="OJE225:OJH225"/>
    <mergeCell ref="OJI225:OJL225"/>
    <mergeCell ref="OJM225:OJP225"/>
    <mergeCell ref="OHU225:OHX225"/>
    <mergeCell ref="OHY225:OIB225"/>
    <mergeCell ref="OIC225:OIF225"/>
    <mergeCell ref="OIG225:OIJ225"/>
    <mergeCell ref="OIK225:OIN225"/>
    <mergeCell ref="OIO225:OIR225"/>
    <mergeCell ref="OGW225:OGZ225"/>
    <mergeCell ref="OHA225:OHD225"/>
    <mergeCell ref="OHE225:OHH225"/>
    <mergeCell ref="OHI225:OHL225"/>
    <mergeCell ref="OHM225:OHP225"/>
    <mergeCell ref="OHQ225:OHT225"/>
    <mergeCell ref="OFY225:OGB225"/>
    <mergeCell ref="OGC225:OGF225"/>
    <mergeCell ref="OGG225:OGJ225"/>
    <mergeCell ref="OGK225:OGN225"/>
    <mergeCell ref="OGO225:OGR225"/>
    <mergeCell ref="OGS225:OGV225"/>
    <mergeCell ref="OFA225:OFD225"/>
    <mergeCell ref="OFE225:OFH225"/>
    <mergeCell ref="OFI225:OFL225"/>
    <mergeCell ref="OFM225:OFP225"/>
    <mergeCell ref="OFQ225:OFT225"/>
    <mergeCell ref="OFU225:OFX225"/>
    <mergeCell ref="OEC225:OEF225"/>
    <mergeCell ref="OEG225:OEJ225"/>
    <mergeCell ref="OEK225:OEN225"/>
    <mergeCell ref="OEO225:OER225"/>
    <mergeCell ref="OES225:OEV225"/>
    <mergeCell ref="OEW225:OEZ225"/>
    <mergeCell ref="ODE225:ODH225"/>
    <mergeCell ref="ODI225:ODL225"/>
    <mergeCell ref="ODM225:ODP225"/>
    <mergeCell ref="ODQ225:ODT225"/>
    <mergeCell ref="ODU225:ODX225"/>
    <mergeCell ref="ODY225:OEB225"/>
    <mergeCell ref="OCG225:OCJ225"/>
    <mergeCell ref="OCK225:OCN225"/>
    <mergeCell ref="OCO225:OCR225"/>
    <mergeCell ref="OCS225:OCV225"/>
    <mergeCell ref="OCW225:OCZ225"/>
    <mergeCell ref="ODA225:ODD225"/>
    <mergeCell ref="OBI225:OBL225"/>
    <mergeCell ref="OBM225:OBP225"/>
    <mergeCell ref="OBQ225:OBT225"/>
    <mergeCell ref="OBU225:OBX225"/>
    <mergeCell ref="OBY225:OCB225"/>
    <mergeCell ref="OCC225:OCF225"/>
    <mergeCell ref="OAK225:OAN225"/>
    <mergeCell ref="OAO225:OAR225"/>
    <mergeCell ref="OAS225:OAV225"/>
    <mergeCell ref="OAW225:OAZ225"/>
    <mergeCell ref="OBA225:OBD225"/>
    <mergeCell ref="OBE225:OBH225"/>
    <mergeCell ref="NZM225:NZP225"/>
    <mergeCell ref="NZQ225:NZT225"/>
    <mergeCell ref="NZU225:NZX225"/>
    <mergeCell ref="NZY225:OAB225"/>
    <mergeCell ref="OAC225:OAF225"/>
    <mergeCell ref="OAG225:OAJ225"/>
    <mergeCell ref="NYO225:NYR225"/>
    <mergeCell ref="NYS225:NYV225"/>
    <mergeCell ref="NYW225:NYZ225"/>
    <mergeCell ref="NZA225:NZD225"/>
    <mergeCell ref="NZE225:NZH225"/>
    <mergeCell ref="NZI225:NZL225"/>
    <mergeCell ref="NXQ225:NXT225"/>
    <mergeCell ref="NXU225:NXX225"/>
    <mergeCell ref="NXY225:NYB225"/>
    <mergeCell ref="NYC225:NYF225"/>
    <mergeCell ref="NYG225:NYJ225"/>
    <mergeCell ref="NYK225:NYN225"/>
    <mergeCell ref="NWS225:NWV225"/>
    <mergeCell ref="NWW225:NWZ225"/>
    <mergeCell ref="NXA225:NXD225"/>
    <mergeCell ref="NXE225:NXH225"/>
    <mergeCell ref="NXI225:NXL225"/>
    <mergeCell ref="NXM225:NXP225"/>
    <mergeCell ref="NVU225:NVX225"/>
    <mergeCell ref="NVY225:NWB225"/>
    <mergeCell ref="NWC225:NWF225"/>
    <mergeCell ref="NWG225:NWJ225"/>
    <mergeCell ref="NWK225:NWN225"/>
    <mergeCell ref="NWO225:NWR225"/>
    <mergeCell ref="NUW225:NUZ225"/>
    <mergeCell ref="NVA225:NVD225"/>
    <mergeCell ref="NVE225:NVH225"/>
    <mergeCell ref="NVI225:NVL225"/>
    <mergeCell ref="NVM225:NVP225"/>
    <mergeCell ref="NVQ225:NVT225"/>
    <mergeCell ref="NTY225:NUB225"/>
    <mergeCell ref="NUC225:NUF225"/>
    <mergeCell ref="NUG225:NUJ225"/>
    <mergeCell ref="NUK225:NUN225"/>
    <mergeCell ref="NUO225:NUR225"/>
    <mergeCell ref="NUS225:NUV225"/>
    <mergeCell ref="NTA225:NTD225"/>
    <mergeCell ref="NTE225:NTH225"/>
    <mergeCell ref="NTI225:NTL225"/>
    <mergeCell ref="NTM225:NTP225"/>
    <mergeCell ref="NTQ225:NTT225"/>
    <mergeCell ref="NTU225:NTX225"/>
    <mergeCell ref="NSC225:NSF225"/>
    <mergeCell ref="NSG225:NSJ225"/>
    <mergeCell ref="NSK225:NSN225"/>
    <mergeCell ref="NSO225:NSR225"/>
    <mergeCell ref="NSS225:NSV225"/>
    <mergeCell ref="NSW225:NSZ225"/>
    <mergeCell ref="NRE225:NRH225"/>
    <mergeCell ref="NRI225:NRL225"/>
    <mergeCell ref="NRM225:NRP225"/>
    <mergeCell ref="NRQ225:NRT225"/>
    <mergeCell ref="NRU225:NRX225"/>
    <mergeCell ref="NRY225:NSB225"/>
    <mergeCell ref="NQG225:NQJ225"/>
    <mergeCell ref="NQK225:NQN225"/>
    <mergeCell ref="NQO225:NQR225"/>
    <mergeCell ref="NQS225:NQV225"/>
    <mergeCell ref="NQW225:NQZ225"/>
    <mergeCell ref="NRA225:NRD225"/>
    <mergeCell ref="NPI225:NPL225"/>
    <mergeCell ref="NPM225:NPP225"/>
    <mergeCell ref="NPQ225:NPT225"/>
    <mergeCell ref="NPU225:NPX225"/>
    <mergeCell ref="NPY225:NQB225"/>
    <mergeCell ref="NQC225:NQF225"/>
    <mergeCell ref="NOK225:NON225"/>
    <mergeCell ref="NOO225:NOR225"/>
    <mergeCell ref="NOS225:NOV225"/>
    <mergeCell ref="NOW225:NOZ225"/>
    <mergeCell ref="NPA225:NPD225"/>
    <mergeCell ref="NPE225:NPH225"/>
    <mergeCell ref="NNM225:NNP225"/>
    <mergeCell ref="NNQ225:NNT225"/>
    <mergeCell ref="NNU225:NNX225"/>
    <mergeCell ref="NNY225:NOB225"/>
    <mergeCell ref="NOC225:NOF225"/>
    <mergeCell ref="NOG225:NOJ225"/>
    <mergeCell ref="NMO225:NMR225"/>
    <mergeCell ref="NMS225:NMV225"/>
    <mergeCell ref="NMW225:NMZ225"/>
    <mergeCell ref="NNA225:NND225"/>
    <mergeCell ref="NNE225:NNH225"/>
    <mergeCell ref="NNI225:NNL225"/>
    <mergeCell ref="NLQ225:NLT225"/>
    <mergeCell ref="NLU225:NLX225"/>
    <mergeCell ref="NLY225:NMB225"/>
    <mergeCell ref="NMC225:NMF225"/>
    <mergeCell ref="NMG225:NMJ225"/>
    <mergeCell ref="NMK225:NMN225"/>
    <mergeCell ref="NKS225:NKV225"/>
    <mergeCell ref="NKW225:NKZ225"/>
    <mergeCell ref="NLA225:NLD225"/>
    <mergeCell ref="NLE225:NLH225"/>
    <mergeCell ref="NLI225:NLL225"/>
    <mergeCell ref="NLM225:NLP225"/>
    <mergeCell ref="NJU225:NJX225"/>
    <mergeCell ref="NJY225:NKB225"/>
    <mergeCell ref="NKC225:NKF225"/>
    <mergeCell ref="NKG225:NKJ225"/>
    <mergeCell ref="NKK225:NKN225"/>
    <mergeCell ref="NKO225:NKR225"/>
    <mergeCell ref="NIW225:NIZ225"/>
    <mergeCell ref="NJA225:NJD225"/>
    <mergeCell ref="NJE225:NJH225"/>
    <mergeCell ref="NJI225:NJL225"/>
    <mergeCell ref="NJM225:NJP225"/>
    <mergeCell ref="NJQ225:NJT225"/>
    <mergeCell ref="NHY225:NIB225"/>
    <mergeCell ref="NIC225:NIF225"/>
    <mergeCell ref="NIG225:NIJ225"/>
    <mergeCell ref="NIK225:NIN225"/>
    <mergeCell ref="NIO225:NIR225"/>
    <mergeCell ref="NIS225:NIV225"/>
    <mergeCell ref="NHA225:NHD225"/>
    <mergeCell ref="NHE225:NHH225"/>
    <mergeCell ref="NHI225:NHL225"/>
    <mergeCell ref="NHM225:NHP225"/>
    <mergeCell ref="NHQ225:NHT225"/>
    <mergeCell ref="NHU225:NHX225"/>
    <mergeCell ref="NGC225:NGF225"/>
    <mergeCell ref="NGG225:NGJ225"/>
    <mergeCell ref="NGK225:NGN225"/>
    <mergeCell ref="NGO225:NGR225"/>
    <mergeCell ref="NGS225:NGV225"/>
    <mergeCell ref="NGW225:NGZ225"/>
    <mergeCell ref="NFE225:NFH225"/>
    <mergeCell ref="NFI225:NFL225"/>
    <mergeCell ref="NFM225:NFP225"/>
    <mergeCell ref="NFQ225:NFT225"/>
    <mergeCell ref="NFU225:NFX225"/>
    <mergeCell ref="NFY225:NGB225"/>
    <mergeCell ref="NEG225:NEJ225"/>
    <mergeCell ref="NEK225:NEN225"/>
    <mergeCell ref="NEO225:NER225"/>
    <mergeCell ref="NES225:NEV225"/>
    <mergeCell ref="NEW225:NEZ225"/>
    <mergeCell ref="NFA225:NFD225"/>
    <mergeCell ref="NDI225:NDL225"/>
    <mergeCell ref="NDM225:NDP225"/>
    <mergeCell ref="NDQ225:NDT225"/>
    <mergeCell ref="NDU225:NDX225"/>
    <mergeCell ref="NDY225:NEB225"/>
    <mergeCell ref="NEC225:NEF225"/>
    <mergeCell ref="NCK225:NCN225"/>
    <mergeCell ref="NCO225:NCR225"/>
    <mergeCell ref="NCS225:NCV225"/>
    <mergeCell ref="NCW225:NCZ225"/>
    <mergeCell ref="NDA225:NDD225"/>
    <mergeCell ref="NDE225:NDH225"/>
    <mergeCell ref="NBM225:NBP225"/>
    <mergeCell ref="NBQ225:NBT225"/>
    <mergeCell ref="NBU225:NBX225"/>
    <mergeCell ref="NBY225:NCB225"/>
    <mergeCell ref="NCC225:NCF225"/>
    <mergeCell ref="NCG225:NCJ225"/>
    <mergeCell ref="NAO225:NAR225"/>
    <mergeCell ref="NAS225:NAV225"/>
    <mergeCell ref="NAW225:NAZ225"/>
    <mergeCell ref="NBA225:NBD225"/>
    <mergeCell ref="NBE225:NBH225"/>
    <mergeCell ref="NBI225:NBL225"/>
    <mergeCell ref="MZQ225:MZT225"/>
    <mergeCell ref="MZU225:MZX225"/>
    <mergeCell ref="MZY225:NAB225"/>
    <mergeCell ref="NAC225:NAF225"/>
    <mergeCell ref="NAG225:NAJ225"/>
    <mergeCell ref="NAK225:NAN225"/>
    <mergeCell ref="MYS225:MYV225"/>
    <mergeCell ref="MYW225:MYZ225"/>
    <mergeCell ref="MZA225:MZD225"/>
    <mergeCell ref="MZE225:MZH225"/>
    <mergeCell ref="MZI225:MZL225"/>
    <mergeCell ref="MZM225:MZP225"/>
    <mergeCell ref="MXU225:MXX225"/>
    <mergeCell ref="MXY225:MYB225"/>
    <mergeCell ref="MYC225:MYF225"/>
    <mergeCell ref="MYG225:MYJ225"/>
    <mergeCell ref="MYK225:MYN225"/>
    <mergeCell ref="MYO225:MYR225"/>
    <mergeCell ref="MWW225:MWZ225"/>
    <mergeCell ref="MXA225:MXD225"/>
    <mergeCell ref="MXE225:MXH225"/>
    <mergeCell ref="MXI225:MXL225"/>
    <mergeCell ref="MXM225:MXP225"/>
    <mergeCell ref="MXQ225:MXT225"/>
    <mergeCell ref="MVY225:MWB225"/>
    <mergeCell ref="MWC225:MWF225"/>
    <mergeCell ref="MWG225:MWJ225"/>
    <mergeCell ref="MWK225:MWN225"/>
    <mergeCell ref="MWO225:MWR225"/>
    <mergeCell ref="MWS225:MWV225"/>
    <mergeCell ref="MVA225:MVD225"/>
    <mergeCell ref="MVE225:MVH225"/>
    <mergeCell ref="MVI225:MVL225"/>
    <mergeCell ref="MVM225:MVP225"/>
    <mergeCell ref="MVQ225:MVT225"/>
    <mergeCell ref="MVU225:MVX225"/>
    <mergeCell ref="MUC225:MUF225"/>
    <mergeCell ref="MUG225:MUJ225"/>
    <mergeCell ref="MUK225:MUN225"/>
    <mergeCell ref="MUO225:MUR225"/>
    <mergeCell ref="MUS225:MUV225"/>
    <mergeCell ref="MUW225:MUZ225"/>
    <mergeCell ref="MTE225:MTH225"/>
    <mergeCell ref="MTI225:MTL225"/>
    <mergeCell ref="MTM225:MTP225"/>
    <mergeCell ref="MTQ225:MTT225"/>
    <mergeCell ref="MTU225:MTX225"/>
    <mergeCell ref="MTY225:MUB225"/>
    <mergeCell ref="MSG225:MSJ225"/>
    <mergeCell ref="MSK225:MSN225"/>
    <mergeCell ref="MSO225:MSR225"/>
    <mergeCell ref="MSS225:MSV225"/>
    <mergeCell ref="MSW225:MSZ225"/>
    <mergeCell ref="MTA225:MTD225"/>
    <mergeCell ref="MRI225:MRL225"/>
    <mergeCell ref="MRM225:MRP225"/>
    <mergeCell ref="MRQ225:MRT225"/>
    <mergeCell ref="MRU225:MRX225"/>
    <mergeCell ref="MRY225:MSB225"/>
    <mergeCell ref="MSC225:MSF225"/>
    <mergeCell ref="MQK225:MQN225"/>
    <mergeCell ref="MQO225:MQR225"/>
    <mergeCell ref="MQS225:MQV225"/>
    <mergeCell ref="MQW225:MQZ225"/>
    <mergeCell ref="MRA225:MRD225"/>
    <mergeCell ref="MRE225:MRH225"/>
    <mergeCell ref="MPM225:MPP225"/>
    <mergeCell ref="MPQ225:MPT225"/>
    <mergeCell ref="MPU225:MPX225"/>
    <mergeCell ref="MPY225:MQB225"/>
    <mergeCell ref="MQC225:MQF225"/>
    <mergeCell ref="MQG225:MQJ225"/>
    <mergeCell ref="MOO225:MOR225"/>
    <mergeCell ref="MOS225:MOV225"/>
    <mergeCell ref="MOW225:MOZ225"/>
    <mergeCell ref="MPA225:MPD225"/>
    <mergeCell ref="MPE225:MPH225"/>
    <mergeCell ref="MPI225:MPL225"/>
    <mergeCell ref="MNQ225:MNT225"/>
    <mergeCell ref="MNU225:MNX225"/>
    <mergeCell ref="MNY225:MOB225"/>
    <mergeCell ref="MOC225:MOF225"/>
    <mergeCell ref="MOG225:MOJ225"/>
    <mergeCell ref="MOK225:MON225"/>
    <mergeCell ref="MMS225:MMV225"/>
    <mergeCell ref="MMW225:MMZ225"/>
    <mergeCell ref="MNA225:MND225"/>
    <mergeCell ref="MNE225:MNH225"/>
    <mergeCell ref="MNI225:MNL225"/>
    <mergeCell ref="MNM225:MNP225"/>
    <mergeCell ref="MLU225:MLX225"/>
    <mergeCell ref="MLY225:MMB225"/>
    <mergeCell ref="MMC225:MMF225"/>
    <mergeCell ref="MMG225:MMJ225"/>
    <mergeCell ref="MMK225:MMN225"/>
    <mergeCell ref="MMO225:MMR225"/>
    <mergeCell ref="MKW225:MKZ225"/>
    <mergeCell ref="MLA225:MLD225"/>
    <mergeCell ref="MLE225:MLH225"/>
    <mergeCell ref="MLI225:MLL225"/>
    <mergeCell ref="MLM225:MLP225"/>
    <mergeCell ref="MLQ225:MLT225"/>
    <mergeCell ref="MJY225:MKB225"/>
    <mergeCell ref="MKC225:MKF225"/>
    <mergeCell ref="MKG225:MKJ225"/>
    <mergeCell ref="MKK225:MKN225"/>
    <mergeCell ref="MKO225:MKR225"/>
    <mergeCell ref="MKS225:MKV225"/>
    <mergeCell ref="MJA225:MJD225"/>
    <mergeCell ref="MJE225:MJH225"/>
    <mergeCell ref="MJI225:MJL225"/>
    <mergeCell ref="MJM225:MJP225"/>
    <mergeCell ref="MJQ225:MJT225"/>
    <mergeCell ref="MJU225:MJX225"/>
    <mergeCell ref="MIC225:MIF225"/>
    <mergeCell ref="MIG225:MIJ225"/>
    <mergeCell ref="MIK225:MIN225"/>
    <mergeCell ref="MIO225:MIR225"/>
    <mergeCell ref="MIS225:MIV225"/>
    <mergeCell ref="MIW225:MIZ225"/>
    <mergeCell ref="MHE225:MHH225"/>
    <mergeCell ref="MHI225:MHL225"/>
    <mergeCell ref="MHM225:MHP225"/>
    <mergeCell ref="MHQ225:MHT225"/>
    <mergeCell ref="MHU225:MHX225"/>
    <mergeCell ref="MHY225:MIB225"/>
    <mergeCell ref="MGG225:MGJ225"/>
    <mergeCell ref="MGK225:MGN225"/>
    <mergeCell ref="MGO225:MGR225"/>
    <mergeCell ref="MGS225:MGV225"/>
    <mergeCell ref="MGW225:MGZ225"/>
    <mergeCell ref="MHA225:MHD225"/>
    <mergeCell ref="MFI225:MFL225"/>
    <mergeCell ref="MFM225:MFP225"/>
    <mergeCell ref="MFQ225:MFT225"/>
    <mergeCell ref="MFU225:MFX225"/>
    <mergeCell ref="MFY225:MGB225"/>
    <mergeCell ref="MGC225:MGF225"/>
    <mergeCell ref="MEK225:MEN225"/>
    <mergeCell ref="MEO225:MER225"/>
    <mergeCell ref="MES225:MEV225"/>
    <mergeCell ref="MEW225:MEZ225"/>
    <mergeCell ref="MFA225:MFD225"/>
    <mergeCell ref="MFE225:MFH225"/>
    <mergeCell ref="MDM225:MDP225"/>
    <mergeCell ref="MDQ225:MDT225"/>
    <mergeCell ref="MDU225:MDX225"/>
    <mergeCell ref="MDY225:MEB225"/>
    <mergeCell ref="MEC225:MEF225"/>
    <mergeCell ref="MEG225:MEJ225"/>
    <mergeCell ref="MCO225:MCR225"/>
    <mergeCell ref="MCS225:MCV225"/>
    <mergeCell ref="MCW225:MCZ225"/>
    <mergeCell ref="MDA225:MDD225"/>
    <mergeCell ref="MDE225:MDH225"/>
    <mergeCell ref="MDI225:MDL225"/>
    <mergeCell ref="MBQ225:MBT225"/>
    <mergeCell ref="MBU225:MBX225"/>
    <mergeCell ref="MBY225:MCB225"/>
    <mergeCell ref="MCC225:MCF225"/>
    <mergeCell ref="MCG225:MCJ225"/>
    <mergeCell ref="MCK225:MCN225"/>
    <mergeCell ref="MAS225:MAV225"/>
    <mergeCell ref="MAW225:MAZ225"/>
    <mergeCell ref="MBA225:MBD225"/>
    <mergeCell ref="MBE225:MBH225"/>
    <mergeCell ref="MBI225:MBL225"/>
    <mergeCell ref="MBM225:MBP225"/>
    <mergeCell ref="LZU225:LZX225"/>
    <mergeCell ref="LZY225:MAB225"/>
    <mergeCell ref="MAC225:MAF225"/>
    <mergeCell ref="MAG225:MAJ225"/>
    <mergeCell ref="MAK225:MAN225"/>
    <mergeCell ref="MAO225:MAR225"/>
    <mergeCell ref="LYW225:LYZ225"/>
    <mergeCell ref="LZA225:LZD225"/>
    <mergeCell ref="LZE225:LZH225"/>
    <mergeCell ref="LZI225:LZL225"/>
    <mergeCell ref="LZM225:LZP225"/>
    <mergeCell ref="LZQ225:LZT225"/>
    <mergeCell ref="LXY225:LYB225"/>
    <mergeCell ref="LYC225:LYF225"/>
    <mergeCell ref="LYG225:LYJ225"/>
    <mergeCell ref="LYK225:LYN225"/>
    <mergeCell ref="LYO225:LYR225"/>
    <mergeCell ref="LYS225:LYV225"/>
    <mergeCell ref="LXA225:LXD225"/>
    <mergeCell ref="LXE225:LXH225"/>
    <mergeCell ref="LXI225:LXL225"/>
    <mergeCell ref="LXM225:LXP225"/>
    <mergeCell ref="LXQ225:LXT225"/>
    <mergeCell ref="LXU225:LXX225"/>
    <mergeCell ref="LWC225:LWF225"/>
    <mergeCell ref="LWG225:LWJ225"/>
    <mergeCell ref="LWK225:LWN225"/>
    <mergeCell ref="LWO225:LWR225"/>
    <mergeCell ref="LWS225:LWV225"/>
    <mergeCell ref="LWW225:LWZ225"/>
    <mergeCell ref="LVE225:LVH225"/>
    <mergeCell ref="LVI225:LVL225"/>
    <mergeCell ref="LVM225:LVP225"/>
    <mergeCell ref="LVQ225:LVT225"/>
    <mergeCell ref="LVU225:LVX225"/>
    <mergeCell ref="LVY225:LWB225"/>
    <mergeCell ref="LUG225:LUJ225"/>
    <mergeCell ref="LUK225:LUN225"/>
    <mergeCell ref="LUO225:LUR225"/>
    <mergeCell ref="LUS225:LUV225"/>
    <mergeCell ref="LUW225:LUZ225"/>
    <mergeCell ref="LVA225:LVD225"/>
    <mergeCell ref="LTI225:LTL225"/>
    <mergeCell ref="LTM225:LTP225"/>
    <mergeCell ref="LTQ225:LTT225"/>
    <mergeCell ref="LTU225:LTX225"/>
    <mergeCell ref="LTY225:LUB225"/>
    <mergeCell ref="LUC225:LUF225"/>
    <mergeCell ref="LSK225:LSN225"/>
    <mergeCell ref="LSO225:LSR225"/>
    <mergeCell ref="LSS225:LSV225"/>
    <mergeCell ref="LSW225:LSZ225"/>
    <mergeCell ref="LTA225:LTD225"/>
    <mergeCell ref="LTE225:LTH225"/>
    <mergeCell ref="LRM225:LRP225"/>
    <mergeCell ref="LRQ225:LRT225"/>
    <mergeCell ref="LRU225:LRX225"/>
    <mergeCell ref="LRY225:LSB225"/>
    <mergeCell ref="LSC225:LSF225"/>
    <mergeCell ref="LSG225:LSJ225"/>
    <mergeCell ref="LQO225:LQR225"/>
    <mergeCell ref="LQS225:LQV225"/>
    <mergeCell ref="LQW225:LQZ225"/>
    <mergeCell ref="LRA225:LRD225"/>
    <mergeCell ref="LRE225:LRH225"/>
    <mergeCell ref="LRI225:LRL225"/>
    <mergeCell ref="LPQ225:LPT225"/>
    <mergeCell ref="LPU225:LPX225"/>
    <mergeCell ref="LPY225:LQB225"/>
    <mergeCell ref="LQC225:LQF225"/>
    <mergeCell ref="LQG225:LQJ225"/>
    <mergeCell ref="LQK225:LQN225"/>
    <mergeCell ref="LOS225:LOV225"/>
    <mergeCell ref="LOW225:LOZ225"/>
    <mergeCell ref="LPA225:LPD225"/>
    <mergeCell ref="LPE225:LPH225"/>
    <mergeCell ref="LPI225:LPL225"/>
    <mergeCell ref="LPM225:LPP225"/>
    <mergeCell ref="LNU225:LNX225"/>
    <mergeCell ref="LNY225:LOB225"/>
    <mergeCell ref="LOC225:LOF225"/>
    <mergeCell ref="LOG225:LOJ225"/>
    <mergeCell ref="LOK225:LON225"/>
    <mergeCell ref="LOO225:LOR225"/>
    <mergeCell ref="LMW225:LMZ225"/>
    <mergeCell ref="LNA225:LND225"/>
    <mergeCell ref="LNE225:LNH225"/>
    <mergeCell ref="LNI225:LNL225"/>
    <mergeCell ref="LNM225:LNP225"/>
    <mergeCell ref="LNQ225:LNT225"/>
    <mergeCell ref="LLY225:LMB225"/>
    <mergeCell ref="LMC225:LMF225"/>
    <mergeCell ref="LMG225:LMJ225"/>
    <mergeCell ref="LMK225:LMN225"/>
    <mergeCell ref="LMO225:LMR225"/>
    <mergeCell ref="LMS225:LMV225"/>
    <mergeCell ref="LLA225:LLD225"/>
    <mergeCell ref="LLE225:LLH225"/>
    <mergeCell ref="LLI225:LLL225"/>
    <mergeCell ref="LLM225:LLP225"/>
    <mergeCell ref="LLQ225:LLT225"/>
    <mergeCell ref="LLU225:LLX225"/>
    <mergeCell ref="LKC225:LKF225"/>
    <mergeCell ref="LKG225:LKJ225"/>
    <mergeCell ref="LKK225:LKN225"/>
    <mergeCell ref="LKO225:LKR225"/>
    <mergeCell ref="LKS225:LKV225"/>
    <mergeCell ref="LKW225:LKZ225"/>
    <mergeCell ref="LJE225:LJH225"/>
    <mergeCell ref="LJI225:LJL225"/>
    <mergeCell ref="LJM225:LJP225"/>
    <mergeCell ref="LJQ225:LJT225"/>
    <mergeCell ref="LJU225:LJX225"/>
    <mergeCell ref="LJY225:LKB225"/>
    <mergeCell ref="LIG225:LIJ225"/>
    <mergeCell ref="LIK225:LIN225"/>
    <mergeCell ref="LIO225:LIR225"/>
    <mergeCell ref="LIS225:LIV225"/>
    <mergeCell ref="LIW225:LIZ225"/>
    <mergeCell ref="LJA225:LJD225"/>
    <mergeCell ref="LHI225:LHL225"/>
    <mergeCell ref="LHM225:LHP225"/>
    <mergeCell ref="LHQ225:LHT225"/>
    <mergeCell ref="LHU225:LHX225"/>
    <mergeCell ref="LHY225:LIB225"/>
    <mergeCell ref="LIC225:LIF225"/>
    <mergeCell ref="LGK225:LGN225"/>
    <mergeCell ref="LGO225:LGR225"/>
    <mergeCell ref="LGS225:LGV225"/>
    <mergeCell ref="LGW225:LGZ225"/>
    <mergeCell ref="LHA225:LHD225"/>
    <mergeCell ref="LHE225:LHH225"/>
    <mergeCell ref="LFM225:LFP225"/>
    <mergeCell ref="LFQ225:LFT225"/>
    <mergeCell ref="LFU225:LFX225"/>
    <mergeCell ref="LFY225:LGB225"/>
    <mergeCell ref="LGC225:LGF225"/>
    <mergeCell ref="LGG225:LGJ225"/>
    <mergeCell ref="LEO225:LER225"/>
    <mergeCell ref="LES225:LEV225"/>
    <mergeCell ref="LEW225:LEZ225"/>
    <mergeCell ref="LFA225:LFD225"/>
    <mergeCell ref="LFE225:LFH225"/>
    <mergeCell ref="LFI225:LFL225"/>
    <mergeCell ref="LDQ225:LDT225"/>
    <mergeCell ref="LDU225:LDX225"/>
    <mergeCell ref="LDY225:LEB225"/>
    <mergeCell ref="LEC225:LEF225"/>
    <mergeCell ref="LEG225:LEJ225"/>
    <mergeCell ref="LEK225:LEN225"/>
    <mergeCell ref="LCS225:LCV225"/>
    <mergeCell ref="LCW225:LCZ225"/>
    <mergeCell ref="LDA225:LDD225"/>
    <mergeCell ref="LDE225:LDH225"/>
    <mergeCell ref="LDI225:LDL225"/>
    <mergeCell ref="LDM225:LDP225"/>
    <mergeCell ref="LBU225:LBX225"/>
    <mergeCell ref="LBY225:LCB225"/>
    <mergeCell ref="LCC225:LCF225"/>
    <mergeCell ref="LCG225:LCJ225"/>
    <mergeCell ref="LCK225:LCN225"/>
    <mergeCell ref="LCO225:LCR225"/>
    <mergeCell ref="LAW225:LAZ225"/>
    <mergeCell ref="LBA225:LBD225"/>
    <mergeCell ref="LBE225:LBH225"/>
    <mergeCell ref="LBI225:LBL225"/>
    <mergeCell ref="LBM225:LBP225"/>
    <mergeCell ref="LBQ225:LBT225"/>
    <mergeCell ref="KZY225:LAB225"/>
    <mergeCell ref="LAC225:LAF225"/>
    <mergeCell ref="LAG225:LAJ225"/>
    <mergeCell ref="LAK225:LAN225"/>
    <mergeCell ref="LAO225:LAR225"/>
    <mergeCell ref="LAS225:LAV225"/>
    <mergeCell ref="KZA225:KZD225"/>
    <mergeCell ref="KZE225:KZH225"/>
    <mergeCell ref="KZI225:KZL225"/>
    <mergeCell ref="KZM225:KZP225"/>
    <mergeCell ref="KZQ225:KZT225"/>
    <mergeCell ref="KZU225:KZX225"/>
    <mergeCell ref="KYC225:KYF225"/>
    <mergeCell ref="KYG225:KYJ225"/>
    <mergeCell ref="KYK225:KYN225"/>
    <mergeCell ref="KYO225:KYR225"/>
    <mergeCell ref="KYS225:KYV225"/>
    <mergeCell ref="KYW225:KYZ225"/>
    <mergeCell ref="KXE225:KXH225"/>
    <mergeCell ref="KXI225:KXL225"/>
    <mergeCell ref="KXM225:KXP225"/>
    <mergeCell ref="KXQ225:KXT225"/>
    <mergeCell ref="KXU225:KXX225"/>
    <mergeCell ref="KXY225:KYB225"/>
    <mergeCell ref="KWG225:KWJ225"/>
    <mergeCell ref="KWK225:KWN225"/>
    <mergeCell ref="KWO225:KWR225"/>
    <mergeCell ref="KWS225:KWV225"/>
    <mergeCell ref="KWW225:KWZ225"/>
    <mergeCell ref="KXA225:KXD225"/>
    <mergeCell ref="KVI225:KVL225"/>
    <mergeCell ref="KVM225:KVP225"/>
    <mergeCell ref="KVQ225:KVT225"/>
    <mergeCell ref="KVU225:KVX225"/>
    <mergeCell ref="KVY225:KWB225"/>
    <mergeCell ref="KWC225:KWF225"/>
    <mergeCell ref="KUK225:KUN225"/>
    <mergeCell ref="KUO225:KUR225"/>
    <mergeCell ref="KUS225:KUV225"/>
    <mergeCell ref="KUW225:KUZ225"/>
    <mergeCell ref="KVA225:KVD225"/>
    <mergeCell ref="KVE225:KVH225"/>
    <mergeCell ref="KTM225:KTP225"/>
    <mergeCell ref="KTQ225:KTT225"/>
    <mergeCell ref="KTU225:KTX225"/>
    <mergeCell ref="KTY225:KUB225"/>
    <mergeCell ref="KUC225:KUF225"/>
    <mergeCell ref="KUG225:KUJ225"/>
    <mergeCell ref="KSO225:KSR225"/>
    <mergeCell ref="KSS225:KSV225"/>
    <mergeCell ref="KSW225:KSZ225"/>
    <mergeCell ref="KTA225:KTD225"/>
    <mergeCell ref="KTE225:KTH225"/>
    <mergeCell ref="KTI225:KTL225"/>
    <mergeCell ref="KRQ225:KRT225"/>
    <mergeCell ref="KRU225:KRX225"/>
    <mergeCell ref="KRY225:KSB225"/>
    <mergeCell ref="KSC225:KSF225"/>
    <mergeCell ref="KSG225:KSJ225"/>
    <mergeCell ref="KSK225:KSN225"/>
    <mergeCell ref="KQS225:KQV225"/>
    <mergeCell ref="KQW225:KQZ225"/>
    <mergeCell ref="KRA225:KRD225"/>
    <mergeCell ref="KRE225:KRH225"/>
    <mergeCell ref="KRI225:KRL225"/>
    <mergeCell ref="KRM225:KRP225"/>
    <mergeCell ref="KPU225:KPX225"/>
    <mergeCell ref="KPY225:KQB225"/>
    <mergeCell ref="KQC225:KQF225"/>
    <mergeCell ref="KQG225:KQJ225"/>
    <mergeCell ref="KQK225:KQN225"/>
    <mergeCell ref="KQO225:KQR225"/>
    <mergeCell ref="KOW225:KOZ225"/>
    <mergeCell ref="KPA225:KPD225"/>
    <mergeCell ref="KPE225:KPH225"/>
    <mergeCell ref="KPI225:KPL225"/>
    <mergeCell ref="KPM225:KPP225"/>
    <mergeCell ref="KPQ225:KPT225"/>
    <mergeCell ref="KNY225:KOB225"/>
    <mergeCell ref="KOC225:KOF225"/>
    <mergeCell ref="KOG225:KOJ225"/>
    <mergeCell ref="KOK225:KON225"/>
    <mergeCell ref="KOO225:KOR225"/>
    <mergeCell ref="KOS225:KOV225"/>
    <mergeCell ref="KNA225:KND225"/>
    <mergeCell ref="KNE225:KNH225"/>
    <mergeCell ref="KNI225:KNL225"/>
    <mergeCell ref="KNM225:KNP225"/>
    <mergeCell ref="KNQ225:KNT225"/>
    <mergeCell ref="KNU225:KNX225"/>
    <mergeCell ref="KMC225:KMF225"/>
    <mergeCell ref="KMG225:KMJ225"/>
    <mergeCell ref="KMK225:KMN225"/>
    <mergeCell ref="KMO225:KMR225"/>
    <mergeCell ref="KMS225:KMV225"/>
    <mergeCell ref="KMW225:KMZ225"/>
    <mergeCell ref="KLE225:KLH225"/>
    <mergeCell ref="KLI225:KLL225"/>
    <mergeCell ref="KLM225:KLP225"/>
    <mergeCell ref="KLQ225:KLT225"/>
    <mergeCell ref="KLU225:KLX225"/>
    <mergeCell ref="KLY225:KMB225"/>
    <mergeCell ref="KKG225:KKJ225"/>
    <mergeCell ref="KKK225:KKN225"/>
    <mergeCell ref="KKO225:KKR225"/>
    <mergeCell ref="KKS225:KKV225"/>
    <mergeCell ref="KKW225:KKZ225"/>
    <mergeCell ref="KLA225:KLD225"/>
    <mergeCell ref="KJI225:KJL225"/>
    <mergeCell ref="KJM225:KJP225"/>
    <mergeCell ref="KJQ225:KJT225"/>
    <mergeCell ref="KJU225:KJX225"/>
    <mergeCell ref="KJY225:KKB225"/>
    <mergeCell ref="KKC225:KKF225"/>
    <mergeCell ref="KIK225:KIN225"/>
    <mergeCell ref="KIO225:KIR225"/>
    <mergeCell ref="KIS225:KIV225"/>
    <mergeCell ref="KIW225:KIZ225"/>
    <mergeCell ref="KJA225:KJD225"/>
    <mergeCell ref="KJE225:KJH225"/>
    <mergeCell ref="KHM225:KHP225"/>
    <mergeCell ref="KHQ225:KHT225"/>
    <mergeCell ref="KHU225:KHX225"/>
    <mergeCell ref="KHY225:KIB225"/>
    <mergeCell ref="KIC225:KIF225"/>
    <mergeCell ref="KIG225:KIJ225"/>
    <mergeCell ref="KGO225:KGR225"/>
    <mergeCell ref="KGS225:KGV225"/>
    <mergeCell ref="KGW225:KGZ225"/>
    <mergeCell ref="KHA225:KHD225"/>
    <mergeCell ref="KHE225:KHH225"/>
    <mergeCell ref="KHI225:KHL225"/>
    <mergeCell ref="KFQ225:KFT225"/>
    <mergeCell ref="KFU225:KFX225"/>
    <mergeCell ref="KFY225:KGB225"/>
    <mergeCell ref="KGC225:KGF225"/>
    <mergeCell ref="KGG225:KGJ225"/>
    <mergeCell ref="KGK225:KGN225"/>
    <mergeCell ref="KES225:KEV225"/>
    <mergeCell ref="KEW225:KEZ225"/>
    <mergeCell ref="KFA225:KFD225"/>
    <mergeCell ref="KFE225:KFH225"/>
    <mergeCell ref="KFI225:KFL225"/>
    <mergeCell ref="KFM225:KFP225"/>
    <mergeCell ref="KDU225:KDX225"/>
    <mergeCell ref="KDY225:KEB225"/>
    <mergeCell ref="KEC225:KEF225"/>
    <mergeCell ref="KEG225:KEJ225"/>
    <mergeCell ref="KEK225:KEN225"/>
    <mergeCell ref="KEO225:KER225"/>
    <mergeCell ref="KCW225:KCZ225"/>
    <mergeCell ref="KDA225:KDD225"/>
    <mergeCell ref="KDE225:KDH225"/>
    <mergeCell ref="KDI225:KDL225"/>
    <mergeCell ref="KDM225:KDP225"/>
    <mergeCell ref="KDQ225:KDT225"/>
    <mergeCell ref="KBY225:KCB225"/>
    <mergeCell ref="KCC225:KCF225"/>
    <mergeCell ref="KCG225:KCJ225"/>
    <mergeCell ref="KCK225:KCN225"/>
    <mergeCell ref="KCO225:KCR225"/>
    <mergeCell ref="KCS225:KCV225"/>
    <mergeCell ref="KBA225:KBD225"/>
    <mergeCell ref="KBE225:KBH225"/>
    <mergeCell ref="KBI225:KBL225"/>
    <mergeCell ref="KBM225:KBP225"/>
    <mergeCell ref="KBQ225:KBT225"/>
    <mergeCell ref="KBU225:KBX225"/>
    <mergeCell ref="KAC225:KAF225"/>
    <mergeCell ref="KAG225:KAJ225"/>
    <mergeCell ref="KAK225:KAN225"/>
    <mergeCell ref="KAO225:KAR225"/>
    <mergeCell ref="KAS225:KAV225"/>
    <mergeCell ref="KAW225:KAZ225"/>
    <mergeCell ref="JZE225:JZH225"/>
    <mergeCell ref="JZI225:JZL225"/>
    <mergeCell ref="JZM225:JZP225"/>
    <mergeCell ref="JZQ225:JZT225"/>
    <mergeCell ref="JZU225:JZX225"/>
    <mergeCell ref="JZY225:KAB225"/>
    <mergeCell ref="JYG225:JYJ225"/>
    <mergeCell ref="JYK225:JYN225"/>
    <mergeCell ref="JYO225:JYR225"/>
    <mergeCell ref="JYS225:JYV225"/>
    <mergeCell ref="JYW225:JYZ225"/>
    <mergeCell ref="JZA225:JZD225"/>
    <mergeCell ref="JXI225:JXL225"/>
    <mergeCell ref="JXM225:JXP225"/>
    <mergeCell ref="JXQ225:JXT225"/>
    <mergeCell ref="JXU225:JXX225"/>
    <mergeCell ref="JXY225:JYB225"/>
    <mergeCell ref="JYC225:JYF225"/>
    <mergeCell ref="JWK225:JWN225"/>
    <mergeCell ref="JWO225:JWR225"/>
    <mergeCell ref="JWS225:JWV225"/>
    <mergeCell ref="JWW225:JWZ225"/>
    <mergeCell ref="JXA225:JXD225"/>
    <mergeCell ref="JXE225:JXH225"/>
    <mergeCell ref="JVM225:JVP225"/>
    <mergeCell ref="JVQ225:JVT225"/>
    <mergeCell ref="JVU225:JVX225"/>
    <mergeCell ref="JVY225:JWB225"/>
    <mergeCell ref="JWC225:JWF225"/>
    <mergeCell ref="JWG225:JWJ225"/>
    <mergeCell ref="JUO225:JUR225"/>
    <mergeCell ref="JUS225:JUV225"/>
    <mergeCell ref="JUW225:JUZ225"/>
    <mergeCell ref="JVA225:JVD225"/>
    <mergeCell ref="JVE225:JVH225"/>
    <mergeCell ref="JVI225:JVL225"/>
    <mergeCell ref="JTQ225:JTT225"/>
    <mergeCell ref="JTU225:JTX225"/>
    <mergeCell ref="JTY225:JUB225"/>
    <mergeCell ref="JUC225:JUF225"/>
    <mergeCell ref="JUG225:JUJ225"/>
    <mergeCell ref="JUK225:JUN225"/>
    <mergeCell ref="JSS225:JSV225"/>
    <mergeCell ref="JSW225:JSZ225"/>
    <mergeCell ref="JTA225:JTD225"/>
    <mergeCell ref="JTE225:JTH225"/>
    <mergeCell ref="JTI225:JTL225"/>
    <mergeCell ref="JTM225:JTP225"/>
    <mergeCell ref="JRU225:JRX225"/>
    <mergeCell ref="JRY225:JSB225"/>
    <mergeCell ref="JSC225:JSF225"/>
    <mergeCell ref="JSG225:JSJ225"/>
    <mergeCell ref="JSK225:JSN225"/>
    <mergeCell ref="JSO225:JSR225"/>
    <mergeCell ref="JQW225:JQZ225"/>
    <mergeCell ref="JRA225:JRD225"/>
    <mergeCell ref="JRE225:JRH225"/>
    <mergeCell ref="JRI225:JRL225"/>
    <mergeCell ref="JRM225:JRP225"/>
    <mergeCell ref="JRQ225:JRT225"/>
    <mergeCell ref="JPY225:JQB225"/>
    <mergeCell ref="JQC225:JQF225"/>
    <mergeCell ref="JQG225:JQJ225"/>
    <mergeCell ref="JQK225:JQN225"/>
    <mergeCell ref="JQO225:JQR225"/>
    <mergeCell ref="JQS225:JQV225"/>
    <mergeCell ref="JPA225:JPD225"/>
    <mergeCell ref="JPE225:JPH225"/>
    <mergeCell ref="JPI225:JPL225"/>
    <mergeCell ref="JPM225:JPP225"/>
    <mergeCell ref="JPQ225:JPT225"/>
    <mergeCell ref="JPU225:JPX225"/>
    <mergeCell ref="JOC225:JOF225"/>
    <mergeCell ref="JOG225:JOJ225"/>
    <mergeCell ref="JOK225:JON225"/>
    <mergeCell ref="JOO225:JOR225"/>
    <mergeCell ref="JOS225:JOV225"/>
    <mergeCell ref="JOW225:JOZ225"/>
    <mergeCell ref="JNE225:JNH225"/>
    <mergeCell ref="JNI225:JNL225"/>
    <mergeCell ref="JNM225:JNP225"/>
    <mergeCell ref="JNQ225:JNT225"/>
    <mergeCell ref="JNU225:JNX225"/>
    <mergeCell ref="JNY225:JOB225"/>
    <mergeCell ref="JMG225:JMJ225"/>
    <mergeCell ref="JMK225:JMN225"/>
    <mergeCell ref="JMO225:JMR225"/>
    <mergeCell ref="JMS225:JMV225"/>
    <mergeCell ref="JMW225:JMZ225"/>
    <mergeCell ref="JNA225:JND225"/>
    <mergeCell ref="JLI225:JLL225"/>
    <mergeCell ref="JLM225:JLP225"/>
    <mergeCell ref="JLQ225:JLT225"/>
    <mergeCell ref="JLU225:JLX225"/>
    <mergeCell ref="JLY225:JMB225"/>
    <mergeCell ref="JMC225:JMF225"/>
    <mergeCell ref="JKK225:JKN225"/>
    <mergeCell ref="JKO225:JKR225"/>
    <mergeCell ref="JKS225:JKV225"/>
    <mergeCell ref="JKW225:JKZ225"/>
    <mergeCell ref="JLA225:JLD225"/>
    <mergeCell ref="JLE225:JLH225"/>
    <mergeCell ref="JJM225:JJP225"/>
    <mergeCell ref="JJQ225:JJT225"/>
    <mergeCell ref="JJU225:JJX225"/>
    <mergeCell ref="JJY225:JKB225"/>
    <mergeCell ref="JKC225:JKF225"/>
    <mergeCell ref="JKG225:JKJ225"/>
    <mergeCell ref="JIO225:JIR225"/>
    <mergeCell ref="JIS225:JIV225"/>
    <mergeCell ref="JIW225:JIZ225"/>
    <mergeCell ref="JJA225:JJD225"/>
    <mergeCell ref="JJE225:JJH225"/>
    <mergeCell ref="JJI225:JJL225"/>
    <mergeCell ref="JHQ225:JHT225"/>
    <mergeCell ref="JHU225:JHX225"/>
    <mergeCell ref="JHY225:JIB225"/>
    <mergeCell ref="JIC225:JIF225"/>
    <mergeCell ref="JIG225:JIJ225"/>
    <mergeCell ref="JIK225:JIN225"/>
    <mergeCell ref="JGS225:JGV225"/>
    <mergeCell ref="JGW225:JGZ225"/>
    <mergeCell ref="JHA225:JHD225"/>
    <mergeCell ref="JHE225:JHH225"/>
    <mergeCell ref="JHI225:JHL225"/>
    <mergeCell ref="JHM225:JHP225"/>
    <mergeCell ref="JFU225:JFX225"/>
    <mergeCell ref="JFY225:JGB225"/>
    <mergeCell ref="JGC225:JGF225"/>
    <mergeCell ref="JGG225:JGJ225"/>
    <mergeCell ref="JGK225:JGN225"/>
    <mergeCell ref="JGO225:JGR225"/>
    <mergeCell ref="JEW225:JEZ225"/>
    <mergeCell ref="JFA225:JFD225"/>
    <mergeCell ref="JFE225:JFH225"/>
    <mergeCell ref="JFI225:JFL225"/>
    <mergeCell ref="JFM225:JFP225"/>
    <mergeCell ref="JFQ225:JFT225"/>
    <mergeCell ref="JDY225:JEB225"/>
    <mergeCell ref="JEC225:JEF225"/>
    <mergeCell ref="JEG225:JEJ225"/>
    <mergeCell ref="JEK225:JEN225"/>
    <mergeCell ref="JEO225:JER225"/>
    <mergeCell ref="JES225:JEV225"/>
    <mergeCell ref="JDA225:JDD225"/>
    <mergeCell ref="JDE225:JDH225"/>
    <mergeCell ref="JDI225:JDL225"/>
    <mergeCell ref="JDM225:JDP225"/>
    <mergeCell ref="JDQ225:JDT225"/>
    <mergeCell ref="JDU225:JDX225"/>
    <mergeCell ref="JCC225:JCF225"/>
    <mergeCell ref="JCG225:JCJ225"/>
    <mergeCell ref="JCK225:JCN225"/>
    <mergeCell ref="JCO225:JCR225"/>
    <mergeCell ref="JCS225:JCV225"/>
    <mergeCell ref="JCW225:JCZ225"/>
    <mergeCell ref="JBE225:JBH225"/>
    <mergeCell ref="JBI225:JBL225"/>
    <mergeCell ref="JBM225:JBP225"/>
    <mergeCell ref="JBQ225:JBT225"/>
    <mergeCell ref="JBU225:JBX225"/>
    <mergeCell ref="JBY225:JCB225"/>
    <mergeCell ref="JAG225:JAJ225"/>
    <mergeCell ref="JAK225:JAN225"/>
    <mergeCell ref="JAO225:JAR225"/>
    <mergeCell ref="JAS225:JAV225"/>
    <mergeCell ref="JAW225:JAZ225"/>
    <mergeCell ref="JBA225:JBD225"/>
    <mergeCell ref="IZI225:IZL225"/>
    <mergeCell ref="IZM225:IZP225"/>
    <mergeCell ref="IZQ225:IZT225"/>
    <mergeCell ref="IZU225:IZX225"/>
    <mergeCell ref="IZY225:JAB225"/>
    <mergeCell ref="JAC225:JAF225"/>
    <mergeCell ref="IYK225:IYN225"/>
    <mergeCell ref="IYO225:IYR225"/>
    <mergeCell ref="IYS225:IYV225"/>
    <mergeCell ref="IYW225:IYZ225"/>
    <mergeCell ref="IZA225:IZD225"/>
    <mergeCell ref="IZE225:IZH225"/>
    <mergeCell ref="IXM225:IXP225"/>
    <mergeCell ref="IXQ225:IXT225"/>
    <mergeCell ref="IXU225:IXX225"/>
    <mergeCell ref="IXY225:IYB225"/>
    <mergeCell ref="IYC225:IYF225"/>
    <mergeCell ref="IYG225:IYJ225"/>
    <mergeCell ref="IWO225:IWR225"/>
    <mergeCell ref="IWS225:IWV225"/>
    <mergeCell ref="IWW225:IWZ225"/>
    <mergeCell ref="IXA225:IXD225"/>
    <mergeCell ref="IXE225:IXH225"/>
    <mergeCell ref="IXI225:IXL225"/>
    <mergeCell ref="IVQ225:IVT225"/>
    <mergeCell ref="IVU225:IVX225"/>
    <mergeCell ref="IVY225:IWB225"/>
    <mergeCell ref="IWC225:IWF225"/>
    <mergeCell ref="IWG225:IWJ225"/>
    <mergeCell ref="IWK225:IWN225"/>
    <mergeCell ref="IUS225:IUV225"/>
    <mergeCell ref="IUW225:IUZ225"/>
    <mergeCell ref="IVA225:IVD225"/>
    <mergeCell ref="IVE225:IVH225"/>
    <mergeCell ref="IVI225:IVL225"/>
    <mergeCell ref="IVM225:IVP225"/>
    <mergeCell ref="ITU225:ITX225"/>
    <mergeCell ref="ITY225:IUB225"/>
    <mergeCell ref="IUC225:IUF225"/>
    <mergeCell ref="IUG225:IUJ225"/>
    <mergeCell ref="IUK225:IUN225"/>
    <mergeCell ref="IUO225:IUR225"/>
    <mergeCell ref="ISW225:ISZ225"/>
    <mergeCell ref="ITA225:ITD225"/>
    <mergeCell ref="ITE225:ITH225"/>
    <mergeCell ref="ITI225:ITL225"/>
    <mergeCell ref="ITM225:ITP225"/>
    <mergeCell ref="ITQ225:ITT225"/>
    <mergeCell ref="IRY225:ISB225"/>
    <mergeCell ref="ISC225:ISF225"/>
    <mergeCell ref="ISG225:ISJ225"/>
    <mergeCell ref="ISK225:ISN225"/>
    <mergeCell ref="ISO225:ISR225"/>
    <mergeCell ref="ISS225:ISV225"/>
    <mergeCell ref="IRA225:IRD225"/>
    <mergeCell ref="IRE225:IRH225"/>
    <mergeCell ref="IRI225:IRL225"/>
    <mergeCell ref="IRM225:IRP225"/>
    <mergeCell ref="IRQ225:IRT225"/>
    <mergeCell ref="IRU225:IRX225"/>
    <mergeCell ref="IQC225:IQF225"/>
    <mergeCell ref="IQG225:IQJ225"/>
    <mergeCell ref="IQK225:IQN225"/>
    <mergeCell ref="IQO225:IQR225"/>
    <mergeCell ref="IQS225:IQV225"/>
    <mergeCell ref="IQW225:IQZ225"/>
    <mergeCell ref="IPE225:IPH225"/>
    <mergeCell ref="IPI225:IPL225"/>
    <mergeCell ref="IPM225:IPP225"/>
    <mergeCell ref="IPQ225:IPT225"/>
    <mergeCell ref="IPU225:IPX225"/>
    <mergeCell ref="IPY225:IQB225"/>
    <mergeCell ref="IOG225:IOJ225"/>
    <mergeCell ref="IOK225:ION225"/>
    <mergeCell ref="IOO225:IOR225"/>
    <mergeCell ref="IOS225:IOV225"/>
    <mergeCell ref="IOW225:IOZ225"/>
    <mergeCell ref="IPA225:IPD225"/>
    <mergeCell ref="INI225:INL225"/>
    <mergeCell ref="INM225:INP225"/>
    <mergeCell ref="INQ225:INT225"/>
    <mergeCell ref="INU225:INX225"/>
    <mergeCell ref="INY225:IOB225"/>
    <mergeCell ref="IOC225:IOF225"/>
    <mergeCell ref="IMK225:IMN225"/>
    <mergeCell ref="IMO225:IMR225"/>
    <mergeCell ref="IMS225:IMV225"/>
    <mergeCell ref="IMW225:IMZ225"/>
    <mergeCell ref="INA225:IND225"/>
    <mergeCell ref="INE225:INH225"/>
    <mergeCell ref="ILM225:ILP225"/>
    <mergeCell ref="ILQ225:ILT225"/>
    <mergeCell ref="ILU225:ILX225"/>
    <mergeCell ref="ILY225:IMB225"/>
    <mergeCell ref="IMC225:IMF225"/>
    <mergeCell ref="IMG225:IMJ225"/>
    <mergeCell ref="IKO225:IKR225"/>
    <mergeCell ref="IKS225:IKV225"/>
    <mergeCell ref="IKW225:IKZ225"/>
    <mergeCell ref="ILA225:ILD225"/>
    <mergeCell ref="ILE225:ILH225"/>
    <mergeCell ref="ILI225:ILL225"/>
    <mergeCell ref="IJQ225:IJT225"/>
    <mergeCell ref="IJU225:IJX225"/>
    <mergeCell ref="IJY225:IKB225"/>
    <mergeCell ref="IKC225:IKF225"/>
    <mergeCell ref="IKG225:IKJ225"/>
    <mergeCell ref="IKK225:IKN225"/>
    <mergeCell ref="IIS225:IIV225"/>
    <mergeCell ref="IIW225:IIZ225"/>
    <mergeCell ref="IJA225:IJD225"/>
    <mergeCell ref="IJE225:IJH225"/>
    <mergeCell ref="IJI225:IJL225"/>
    <mergeCell ref="IJM225:IJP225"/>
    <mergeCell ref="IHU225:IHX225"/>
    <mergeCell ref="IHY225:IIB225"/>
    <mergeCell ref="IIC225:IIF225"/>
    <mergeCell ref="IIG225:IIJ225"/>
    <mergeCell ref="IIK225:IIN225"/>
    <mergeCell ref="IIO225:IIR225"/>
    <mergeCell ref="IGW225:IGZ225"/>
    <mergeCell ref="IHA225:IHD225"/>
    <mergeCell ref="IHE225:IHH225"/>
    <mergeCell ref="IHI225:IHL225"/>
    <mergeCell ref="IHM225:IHP225"/>
    <mergeCell ref="IHQ225:IHT225"/>
    <mergeCell ref="IFY225:IGB225"/>
    <mergeCell ref="IGC225:IGF225"/>
    <mergeCell ref="IGG225:IGJ225"/>
    <mergeCell ref="IGK225:IGN225"/>
    <mergeCell ref="IGO225:IGR225"/>
    <mergeCell ref="IGS225:IGV225"/>
    <mergeCell ref="IFA225:IFD225"/>
    <mergeCell ref="IFE225:IFH225"/>
    <mergeCell ref="IFI225:IFL225"/>
    <mergeCell ref="IFM225:IFP225"/>
    <mergeCell ref="IFQ225:IFT225"/>
    <mergeCell ref="IFU225:IFX225"/>
    <mergeCell ref="IEC225:IEF225"/>
    <mergeCell ref="IEG225:IEJ225"/>
    <mergeCell ref="IEK225:IEN225"/>
    <mergeCell ref="IEO225:IER225"/>
    <mergeCell ref="IES225:IEV225"/>
    <mergeCell ref="IEW225:IEZ225"/>
    <mergeCell ref="IDE225:IDH225"/>
    <mergeCell ref="IDI225:IDL225"/>
    <mergeCell ref="IDM225:IDP225"/>
    <mergeCell ref="IDQ225:IDT225"/>
    <mergeCell ref="IDU225:IDX225"/>
    <mergeCell ref="IDY225:IEB225"/>
    <mergeCell ref="ICG225:ICJ225"/>
    <mergeCell ref="ICK225:ICN225"/>
    <mergeCell ref="ICO225:ICR225"/>
    <mergeCell ref="ICS225:ICV225"/>
    <mergeCell ref="ICW225:ICZ225"/>
    <mergeCell ref="IDA225:IDD225"/>
    <mergeCell ref="IBI225:IBL225"/>
    <mergeCell ref="IBM225:IBP225"/>
    <mergeCell ref="IBQ225:IBT225"/>
    <mergeCell ref="IBU225:IBX225"/>
    <mergeCell ref="IBY225:ICB225"/>
    <mergeCell ref="ICC225:ICF225"/>
    <mergeCell ref="IAK225:IAN225"/>
    <mergeCell ref="IAO225:IAR225"/>
    <mergeCell ref="IAS225:IAV225"/>
    <mergeCell ref="IAW225:IAZ225"/>
    <mergeCell ref="IBA225:IBD225"/>
    <mergeCell ref="IBE225:IBH225"/>
    <mergeCell ref="HZM225:HZP225"/>
    <mergeCell ref="HZQ225:HZT225"/>
    <mergeCell ref="HZU225:HZX225"/>
    <mergeCell ref="HZY225:IAB225"/>
    <mergeCell ref="IAC225:IAF225"/>
    <mergeCell ref="IAG225:IAJ225"/>
    <mergeCell ref="HYO225:HYR225"/>
    <mergeCell ref="HYS225:HYV225"/>
    <mergeCell ref="HYW225:HYZ225"/>
    <mergeCell ref="HZA225:HZD225"/>
    <mergeCell ref="HZE225:HZH225"/>
    <mergeCell ref="HZI225:HZL225"/>
    <mergeCell ref="HXQ225:HXT225"/>
    <mergeCell ref="HXU225:HXX225"/>
    <mergeCell ref="HXY225:HYB225"/>
    <mergeCell ref="HYC225:HYF225"/>
    <mergeCell ref="HYG225:HYJ225"/>
    <mergeCell ref="HYK225:HYN225"/>
    <mergeCell ref="HWS225:HWV225"/>
    <mergeCell ref="HWW225:HWZ225"/>
    <mergeCell ref="HXA225:HXD225"/>
    <mergeCell ref="HXE225:HXH225"/>
    <mergeCell ref="HXI225:HXL225"/>
    <mergeCell ref="HXM225:HXP225"/>
    <mergeCell ref="HVU225:HVX225"/>
    <mergeCell ref="HVY225:HWB225"/>
    <mergeCell ref="HWC225:HWF225"/>
    <mergeCell ref="HWG225:HWJ225"/>
    <mergeCell ref="HWK225:HWN225"/>
    <mergeCell ref="HWO225:HWR225"/>
    <mergeCell ref="HUW225:HUZ225"/>
    <mergeCell ref="HVA225:HVD225"/>
    <mergeCell ref="HVE225:HVH225"/>
    <mergeCell ref="HVI225:HVL225"/>
    <mergeCell ref="HVM225:HVP225"/>
    <mergeCell ref="HVQ225:HVT225"/>
    <mergeCell ref="HTY225:HUB225"/>
    <mergeCell ref="HUC225:HUF225"/>
    <mergeCell ref="HUG225:HUJ225"/>
    <mergeCell ref="HUK225:HUN225"/>
    <mergeCell ref="HUO225:HUR225"/>
    <mergeCell ref="HUS225:HUV225"/>
    <mergeCell ref="HTA225:HTD225"/>
    <mergeCell ref="HTE225:HTH225"/>
    <mergeCell ref="HTI225:HTL225"/>
    <mergeCell ref="HTM225:HTP225"/>
    <mergeCell ref="HTQ225:HTT225"/>
    <mergeCell ref="HTU225:HTX225"/>
    <mergeCell ref="HSC225:HSF225"/>
    <mergeCell ref="HSG225:HSJ225"/>
    <mergeCell ref="HSK225:HSN225"/>
    <mergeCell ref="HSO225:HSR225"/>
    <mergeCell ref="HSS225:HSV225"/>
    <mergeCell ref="HSW225:HSZ225"/>
    <mergeCell ref="HRE225:HRH225"/>
    <mergeCell ref="HRI225:HRL225"/>
    <mergeCell ref="HRM225:HRP225"/>
    <mergeCell ref="HRQ225:HRT225"/>
    <mergeCell ref="HRU225:HRX225"/>
    <mergeCell ref="HRY225:HSB225"/>
    <mergeCell ref="HQG225:HQJ225"/>
    <mergeCell ref="HQK225:HQN225"/>
    <mergeCell ref="HQO225:HQR225"/>
    <mergeCell ref="HQS225:HQV225"/>
    <mergeCell ref="HQW225:HQZ225"/>
    <mergeCell ref="HRA225:HRD225"/>
    <mergeCell ref="HPI225:HPL225"/>
    <mergeCell ref="HPM225:HPP225"/>
    <mergeCell ref="HPQ225:HPT225"/>
    <mergeCell ref="HPU225:HPX225"/>
    <mergeCell ref="HPY225:HQB225"/>
    <mergeCell ref="HQC225:HQF225"/>
    <mergeCell ref="HOK225:HON225"/>
    <mergeCell ref="HOO225:HOR225"/>
    <mergeCell ref="HOS225:HOV225"/>
    <mergeCell ref="HOW225:HOZ225"/>
    <mergeCell ref="HPA225:HPD225"/>
    <mergeCell ref="HPE225:HPH225"/>
    <mergeCell ref="HNM225:HNP225"/>
    <mergeCell ref="HNQ225:HNT225"/>
    <mergeCell ref="HNU225:HNX225"/>
    <mergeCell ref="HNY225:HOB225"/>
    <mergeCell ref="HOC225:HOF225"/>
    <mergeCell ref="HOG225:HOJ225"/>
    <mergeCell ref="HMO225:HMR225"/>
    <mergeCell ref="HMS225:HMV225"/>
    <mergeCell ref="HMW225:HMZ225"/>
    <mergeCell ref="HNA225:HND225"/>
    <mergeCell ref="HNE225:HNH225"/>
    <mergeCell ref="HNI225:HNL225"/>
    <mergeCell ref="HLQ225:HLT225"/>
    <mergeCell ref="HLU225:HLX225"/>
    <mergeCell ref="HLY225:HMB225"/>
    <mergeCell ref="HMC225:HMF225"/>
    <mergeCell ref="HMG225:HMJ225"/>
    <mergeCell ref="HMK225:HMN225"/>
    <mergeCell ref="HKS225:HKV225"/>
    <mergeCell ref="HKW225:HKZ225"/>
    <mergeCell ref="HLA225:HLD225"/>
    <mergeCell ref="HLE225:HLH225"/>
    <mergeCell ref="HLI225:HLL225"/>
    <mergeCell ref="HLM225:HLP225"/>
    <mergeCell ref="HJU225:HJX225"/>
    <mergeCell ref="HJY225:HKB225"/>
    <mergeCell ref="HKC225:HKF225"/>
    <mergeCell ref="HKG225:HKJ225"/>
    <mergeCell ref="HKK225:HKN225"/>
    <mergeCell ref="HKO225:HKR225"/>
    <mergeCell ref="HIW225:HIZ225"/>
    <mergeCell ref="HJA225:HJD225"/>
    <mergeCell ref="HJE225:HJH225"/>
    <mergeCell ref="HJI225:HJL225"/>
    <mergeCell ref="HJM225:HJP225"/>
    <mergeCell ref="HJQ225:HJT225"/>
    <mergeCell ref="HHY225:HIB225"/>
    <mergeCell ref="HIC225:HIF225"/>
    <mergeCell ref="HIG225:HIJ225"/>
    <mergeCell ref="HIK225:HIN225"/>
    <mergeCell ref="HIO225:HIR225"/>
    <mergeCell ref="HIS225:HIV225"/>
    <mergeCell ref="HHA225:HHD225"/>
    <mergeCell ref="HHE225:HHH225"/>
    <mergeCell ref="HHI225:HHL225"/>
    <mergeCell ref="HHM225:HHP225"/>
    <mergeCell ref="HHQ225:HHT225"/>
    <mergeCell ref="HHU225:HHX225"/>
    <mergeCell ref="HGC225:HGF225"/>
    <mergeCell ref="HGG225:HGJ225"/>
    <mergeCell ref="HGK225:HGN225"/>
    <mergeCell ref="HGO225:HGR225"/>
    <mergeCell ref="HGS225:HGV225"/>
    <mergeCell ref="HGW225:HGZ225"/>
    <mergeCell ref="HFE225:HFH225"/>
    <mergeCell ref="HFI225:HFL225"/>
    <mergeCell ref="HFM225:HFP225"/>
    <mergeCell ref="HFQ225:HFT225"/>
    <mergeCell ref="HFU225:HFX225"/>
    <mergeCell ref="HFY225:HGB225"/>
    <mergeCell ref="HEG225:HEJ225"/>
    <mergeCell ref="HEK225:HEN225"/>
    <mergeCell ref="HEO225:HER225"/>
    <mergeCell ref="HES225:HEV225"/>
    <mergeCell ref="HEW225:HEZ225"/>
    <mergeCell ref="HFA225:HFD225"/>
    <mergeCell ref="HDI225:HDL225"/>
    <mergeCell ref="HDM225:HDP225"/>
    <mergeCell ref="HDQ225:HDT225"/>
    <mergeCell ref="HDU225:HDX225"/>
    <mergeCell ref="HDY225:HEB225"/>
    <mergeCell ref="HEC225:HEF225"/>
    <mergeCell ref="HCK225:HCN225"/>
    <mergeCell ref="HCO225:HCR225"/>
    <mergeCell ref="HCS225:HCV225"/>
    <mergeCell ref="HCW225:HCZ225"/>
    <mergeCell ref="HDA225:HDD225"/>
    <mergeCell ref="HDE225:HDH225"/>
    <mergeCell ref="HBM225:HBP225"/>
    <mergeCell ref="HBQ225:HBT225"/>
    <mergeCell ref="HBU225:HBX225"/>
    <mergeCell ref="HBY225:HCB225"/>
    <mergeCell ref="HCC225:HCF225"/>
    <mergeCell ref="HCG225:HCJ225"/>
    <mergeCell ref="HAO225:HAR225"/>
    <mergeCell ref="HAS225:HAV225"/>
    <mergeCell ref="HAW225:HAZ225"/>
    <mergeCell ref="HBA225:HBD225"/>
    <mergeCell ref="HBE225:HBH225"/>
    <mergeCell ref="HBI225:HBL225"/>
    <mergeCell ref="GZQ225:GZT225"/>
    <mergeCell ref="GZU225:GZX225"/>
    <mergeCell ref="GZY225:HAB225"/>
    <mergeCell ref="HAC225:HAF225"/>
    <mergeCell ref="HAG225:HAJ225"/>
    <mergeCell ref="HAK225:HAN225"/>
    <mergeCell ref="GYS225:GYV225"/>
    <mergeCell ref="GYW225:GYZ225"/>
    <mergeCell ref="GZA225:GZD225"/>
    <mergeCell ref="GZE225:GZH225"/>
    <mergeCell ref="GZI225:GZL225"/>
    <mergeCell ref="GZM225:GZP225"/>
    <mergeCell ref="GXU225:GXX225"/>
    <mergeCell ref="GXY225:GYB225"/>
    <mergeCell ref="GYC225:GYF225"/>
    <mergeCell ref="GYG225:GYJ225"/>
    <mergeCell ref="GYK225:GYN225"/>
    <mergeCell ref="GYO225:GYR225"/>
    <mergeCell ref="GWW225:GWZ225"/>
    <mergeCell ref="GXA225:GXD225"/>
    <mergeCell ref="GXE225:GXH225"/>
    <mergeCell ref="GXI225:GXL225"/>
    <mergeCell ref="GXM225:GXP225"/>
    <mergeCell ref="GXQ225:GXT225"/>
    <mergeCell ref="GVY225:GWB225"/>
    <mergeCell ref="GWC225:GWF225"/>
    <mergeCell ref="GWG225:GWJ225"/>
    <mergeCell ref="GWK225:GWN225"/>
    <mergeCell ref="GWO225:GWR225"/>
    <mergeCell ref="GWS225:GWV225"/>
    <mergeCell ref="GVA225:GVD225"/>
    <mergeCell ref="GVE225:GVH225"/>
    <mergeCell ref="GVI225:GVL225"/>
    <mergeCell ref="GVM225:GVP225"/>
    <mergeCell ref="GVQ225:GVT225"/>
    <mergeCell ref="GVU225:GVX225"/>
    <mergeCell ref="GUC225:GUF225"/>
    <mergeCell ref="GUG225:GUJ225"/>
    <mergeCell ref="GUK225:GUN225"/>
    <mergeCell ref="GUO225:GUR225"/>
    <mergeCell ref="GUS225:GUV225"/>
    <mergeCell ref="GUW225:GUZ225"/>
    <mergeCell ref="GTE225:GTH225"/>
    <mergeCell ref="GTI225:GTL225"/>
    <mergeCell ref="GTM225:GTP225"/>
    <mergeCell ref="GTQ225:GTT225"/>
    <mergeCell ref="GTU225:GTX225"/>
    <mergeCell ref="GTY225:GUB225"/>
    <mergeCell ref="GSG225:GSJ225"/>
    <mergeCell ref="GSK225:GSN225"/>
    <mergeCell ref="GSO225:GSR225"/>
    <mergeCell ref="GSS225:GSV225"/>
    <mergeCell ref="GSW225:GSZ225"/>
    <mergeCell ref="GTA225:GTD225"/>
    <mergeCell ref="GRI225:GRL225"/>
    <mergeCell ref="GRM225:GRP225"/>
    <mergeCell ref="GRQ225:GRT225"/>
    <mergeCell ref="GRU225:GRX225"/>
    <mergeCell ref="GRY225:GSB225"/>
    <mergeCell ref="GSC225:GSF225"/>
    <mergeCell ref="GQK225:GQN225"/>
    <mergeCell ref="GQO225:GQR225"/>
    <mergeCell ref="GQS225:GQV225"/>
    <mergeCell ref="GQW225:GQZ225"/>
    <mergeCell ref="GRA225:GRD225"/>
    <mergeCell ref="GRE225:GRH225"/>
    <mergeCell ref="GPM225:GPP225"/>
    <mergeCell ref="GPQ225:GPT225"/>
    <mergeCell ref="GPU225:GPX225"/>
    <mergeCell ref="GPY225:GQB225"/>
    <mergeCell ref="GQC225:GQF225"/>
    <mergeCell ref="GQG225:GQJ225"/>
    <mergeCell ref="GOO225:GOR225"/>
    <mergeCell ref="GOS225:GOV225"/>
    <mergeCell ref="GOW225:GOZ225"/>
    <mergeCell ref="GPA225:GPD225"/>
    <mergeCell ref="GPE225:GPH225"/>
    <mergeCell ref="GPI225:GPL225"/>
    <mergeCell ref="GNQ225:GNT225"/>
    <mergeCell ref="GNU225:GNX225"/>
    <mergeCell ref="GNY225:GOB225"/>
    <mergeCell ref="GOC225:GOF225"/>
    <mergeCell ref="GOG225:GOJ225"/>
    <mergeCell ref="GOK225:GON225"/>
    <mergeCell ref="GMS225:GMV225"/>
    <mergeCell ref="GMW225:GMZ225"/>
    <mergeCell ref="GNA225:GND225"/>
    <mergeCell ref="GNE225:GNH225"/>
    <mergeCell ref="GNI225:GNL225"/>
    <mergeCell ref="GNM225:GNP225"/>
    <mergeCell ref="GLU225:GLX225"/>
    <mergeCell ref="GLY225:GMB225"/>
    <mergeCell ref="GMC225:GMF225"/>
    <mergeCell ref="GMG225:GMJ225"/>
    <mergeCell ref="GMK225:GMN225"/>
    <mergeCell ref="GMO225:GMR225"/>
    <mergeCell ref="GKW225:GKZ225"/>
    <mergeCell ref="GLA225:GLD225"/>
    <mergeCell ref="GLE225:GLH225"/>
    <mergeCell ref="GLI225:GLL225"/>
    <mergeCell ref="GLM225:GLP225"/>
    <mergeCell ref="GLQ225:GLT225"/>
    <mergeCell ref="GJY225:GKB225"/>
    <mergeCell ref="GKC225:GKF225"/>
    <mergeCell ref="GKG225:GKJ225"/>
    <mergeCell ref="GKK225:GKN225"/>
    <mergeCell ref="GKO225:GKR225"/>
    <mergeCell ref="GKS225:GKV225"/>
    <mergeCell ref="GJA225:GJD225"/>
    <mergeCell ref="GJE225:GJH225"/>
    <mergeCell ref="GJI225:GJL225"/>
    <mergeCell ref="GJM225:GJP225"/>
    <mergeCell ref="GJQ225:GJT225"/>
    <mergeCell ref="GJU225:GJX225"/>
    <mergeCell ref="GIC225:GIF225"/>
    <mergeCell ref="GIG225:GIJ225"/>
    <mergeCell ref="GIK225:GIN225"/>
    <mergeCell ref="GIO225:GIR225"/>
    <mergeCell ref="GIS225:GIV225"/>
    <mergeCell ref="GIW225:GIZ225"/>
    <mergeCell ref="GHE225:GHH225"/>
    <mergeCell ref="GHI225:GHL225"/>
    <mergeCell ref="GHM225:GHP225"/>
    <mergeCell ref="GHQ225:GHT225"/>
    <mergeCell ref="GHU225:GHX225"/>
    <mergeCell ref="GHY225:GIB225"/>
    <mergeCell ref="GGG225:GGJ225"/>
    <mergeCell ref="GGK225:GGN225"/>
    <mergeCell ref="GGO225:GGR225"/>
    <mergeCell ref="GGS225:GGV225"/>
    <mergeCell ref="GGW225:GGZ225"/>
    <mergeCell ref="GHA225:GHD225"/>
    <mergeCell ref="GFI225:GFL225"/>
    <mergeCell ref="GFM225:GFP225"/>
    <mergeCell ref="GFQ225:GFT225"/>
    <mergeCell ref="GFU225:GFX225"/>
    <mergeCell ref="GFY225:GGB225"/>
    <mergeCell ref="GGC225:GGF225"/>
    <mergeCell ref="GEK225:GEN225"/>
    <mergeCell ref="GEO225:GER225"/>
    <mergeCell ref="GES225:GEV225"/>
    <mergeCell ref="GEW225:GEZ225"/>
    <mergeCell ref="GFA225:GFD225"/>
    <mergeCell ref="GFE225:GFH225"/>
    <mergeCell ref="GDM225:GDP225"/>
    <mergeCell ref="GDQ225:GDT225"/>
    <mergeCell ref="GDU225:GDX225"/>
    <mergeCell ref="GDY225:GEB225"/>
    <mergeCell ref="GEC225:GEF225"/>
    <mergeCell ref="GEG225:GEJ225"/>
    <mergeCell ref="GCO225:GCR225"/>
    <mergeCell ref="GCS225:GCV225"/>
    <mergeCell ref="GCW225:GCZ225"/>
    <mergeCell ref="GDA225:GDD225"/>
    <mergeCell ref="GDE225:GDH225"/>
    <mergeCell ref="GDI225:GDL225"/>
    <mergeCell ref="GBQ225:GBT225"/>
    <mergeCell ref="GBU225:GBX225"/>
    <mergeCell ref="GBY225:GCB225"/>
    <mergeCell ref="GCC225:GCF225"/>
    <mergeCell ref="GCG225:GCJ225"/>
    <mergeCell ref="GCK225:GCN225"/>
    <mergeCell ref="GAS225:GAV225"/>
    <mergeCell ref="GAW225:GAZ225"/>
    <mergeCell ref="GBA225:GBD225"/>
    <mergeCell ref="GBE225:GBH225"/>
    <mergeCell ref="GBI225:GBL225"/>
    <mergeCell ref="GBM225:GBP225"/>
    <mergeCell ref="FZU225:FZX225"/>
    <mergeCell ref="FZY225:GAB225"/>
    <mergeCell ref="GAC225:GAF225"/>
    <mergeCell ref="GAG225:GAJ225"/>
    <mergeCell ref="GAK225:GAN225"/>
    <mergeCell ref="GAO225:GAR225"/>
    <mergeCell ref="FYW225:FYZ225"/>
    <mergeCell ref="FZA225:FZD225"/>
    <mergeCell ref="FZE225:FZH225"/>
    <mergeCell ref="FZI225:FZL225"/>
    <mergeCell ref="FZM225:FZP225"/>
    <mergeCell ref="FZQ225:FZT225"/>
    <mergeCell ref="FXY225:FYB225"/>
    <mergeCell ref="FYC225:FYF225"/>
    <mergeCell ref="FYG225:FYJ225"/>
    <mergeCell ref="FYK225:FYN225"/>
    <mergeCell ref="FYO225:FYR225"/>
    <mergeCell ref="FYS225:FYV225"/>
    <mergeCell ref="FXA225:FXD225"/>
    <mergeCell ref="FXE225:FXH225"/>
    <mergeCell ref="FXI225:FXL225"/>
    <mergeCell ref="FXM225:FXP225"/>
    <mergeCell ref="FXQ225:FXT225"/>
    <mergeCell ref="FXU225:FXX225"/>
    <mergeCell ref="FWC225:FWF225"/>
    <mergeCell ref="FWG225:FWJ225"/>
    <mergeCell ref="FWK225:FWN225"/>
    <mergeCell ref="FWO225:FWR225"/>
    <mergeCell ref="FWS225:FWV225"/>
    <mergeCell ref="FWW225:FWZ225"/>
    <mergeCell ref="FVE225:FVH225"/>
    <mergeCell ref="FVI225:FVL225"/>
    <mergeCell ref="FVM225:FVP225"/>
    <mergeCell ref="FVQ225:FVT225"/>
    <mergeCell ref="FVU225:FVX225"/>
    <mergeCell ref="FVY225:FWB225"/>
    <mergeCell ref="FUG225:FUJ225"/>
    <mergeCell ref="FUK225:FUN225"/>
    <mergeCell ref="FUO225:FUR225"/>
    <mergeCell ref="FUS225:FUV225"/>
    <mergeCell ref="FUW225:FUZ225"/>
    <mergeCell ref="FVA225:FVD225"/>
    <mergeCell ref="FTI225:FTL225"/>
    <mergeCell ref="FTM225:FTP225"/>
    <mergeCell ref="FTQ225:FTT225"/>
    <mergeCell ref="FTU225:FTX225"/>
    <mergeCell ref="FTY225:FUB225"/>
    <mergeCell ref="FUC225:FUF225"/>
    <mergeCell ref="FSK225:FSN225"/>
    <mergeCell ref="FSO225:FSR225"/>
    <mergeCell ref="FSS225:FSV225"/>
    <mergeCell ref="FSW225:FSZ225"/>
    <mergeCell ref="FTA225:FTD225"/>
    <mergeCell ref="FTE225:FTH225"/>
    <mergeCell ref="FRM225:FRP225"/>
    <mergeCell ref="FRQ225:FRT225"/>
    <mergeCell ref="FRU225:FRX225"/>
    <mergeCell ref="FRY225:FSB225"/>
    <mergeCell ref="FSC225:FSF225"/>
    <mergeCell ref="FSG225:FSJ225"/>
    <mergeCell ref="FQO225:FQR225"/>
    <mergeCell ref="FQS225:FQV225"/>
    <mergeCell ref="FQW225:FQZ225"/>
    <mergeCell ref="FRA225:FRD225"/>
    <mergeCell ref="FRE225:FRH225"/>
    <mergeCell ref="FRI225:FRL225"/>
    <mergeCell ref="FPQ225:FPT225"/>
    <mergeCell ref="FPU225:FPX225"/>
    <mergeCell ref="FPY225:FQB225"/>
    <mergeCell ref="FQC225:FQF225"/>
    <mergeCell ref="FQG225:FQJ225"/>
    <mergeCell ref="FQK225:FQN225"/>
    <mergeCell ref="FOS225:FOV225"/>
    <mergeCell ref="FOW225:FOZ225"/>
    <mergeCell ref="FPA225:FPD225"/>
    <mergeCell ref="FPE225:FPH225"/>
    <mergeCell ref="FPI225:FPL225"/>
    <mergeCell ref="FPM225:FPP225"/>
    <mergeCell ref="FNU225:FNX225"/>
    <mergeCell ref="FNY225:FOB225"/>
    <mergeCell ref="FOC225:FOF225"/>
    <mergeCell ref="FOG225:FOJ225"/>
    <mergeCell ref="FOK225:FON225"/>
    <mergeCell ref="FOO225:FOR225"/>
    <mergeCell ref="FMW225:FMZ225"/>
    <mergeCell ref="FNA225:FND225"/>
    <mergeCell ref="FNE225:FNH225"/>
    <mergeCell ref="FNI225:FNL225"/>
    <mergeCell ref="FNM225:FNP225"/>
    <mergeCell ref="FNQ225:FNT225"/>
    <mergeCell ref="FLY225:FMB225"/>
    <mergeCell ref="FMC225:FMF225"/>
    <mergeCell ref="FMG225:FMJ225"/>
    <mergeCell ref="FMK225:FMN225"/>
    <mergeCell ref="FMO225:FMR225"/>
    <mergeCell ref="FMS225:FMV225"/>
    <mergeCell ref="FLA225:FLD225"/>
    <mergeCell ref="FLE225:FLH225"/>
    <mergeCell ref="FLI225:FLL225"/>
    <mergeCell ref="FLM225:FLP225"/>
    <mergeCell ref="FLQ225:FLT225"/>
    <mergeCell ref="FLU225:FLX225"/>
    <mergeCell ref="FKC225:FKF225"/>
    <mergeCell ref="FKG225:FKJ225"/>
    <mergeCell ref="FKK225:FKN225"/>
    <mergeCell ref="FKO225:FKR225"/>
    <mergeCell ref="FKS225:FKV225"/>
    <mergeCell ref="FKW225:FKZ225"/>
    <mergeCell ref="FJE225:FJH225"/>
    <mergeCell ref="FJI225:FJL225"/>
    <mergeCell ref="FJM225:FJP225"/>
    <mergeCell ref="FJQ225:FJT225"/>
    <mergeCell ref="FJU225:FJX225"/>
    <mergeCell ref="FJY225:FKB225"/>
    <mergeCell ref="FIG225:FIJ225"/>
    <mergeCell ref="FIK225:FIN225"/>
    <mergeCell ref="FIO225:FIR225"/>
    <mergeCell ref="FIS225:FIV225"/>
    <mergeCell ref="FIW225:FIZ225"/>
    <mergeCell ref="FJA225:FJD225"/>
    <mergeCell ref="FHI225:FHL225"/>
    <mergeCell ref="FHM225:FHP225"/>
    <mergeCell ref="FHQ225:FHT225"/>
    <mergeCell ref="FHU225:FHX225"/>
    <mergeCell ref="FHY225:FIB225"/>
    <mergeCell ref="FIC225:FIF225"/>
    <mergeCell ref="FGK225:FGN225"/>
    <mergeCell ref="FGO225:FGR225"/>
    <mergeCell ref="FGS225:FGV225"/>
    <mergeCell ref="FGW225:FGZ225"/>
    <mergeCell ref="FHA225:FHD225"/>
    <mergeCell ref="FHE225:FHH225"/>
    <mergeCell ref="FFM225:FFP225"/>
    <mergeCell ref="FFQ225:FFT225"/>
    <mergeCell ref="FFU225:FFX225"/>
    <mergeCell ref="FFY225:FGB225"/>
    <mergeCell ref="FGC225:FGF225"/>
    <mergeCell ref="FGG225:FGJ225"/>
    <mergeCell ref="FEO225:FER225"/>
    <mergeCell ref="FES225:FEV225"/>
    <mergeCell ref="FEW225:FEZ225"/>
    <mergeCell ref="FFA225:FFD225"/>
    <mergeCell ref="FFE225:FFH225"/>
    <mergeCell ref="FFI225:FFL225"/>
    <mergeCell ref="FDQ225:FDT225"/>
    <mergeCell ref="FDU225:FDX225"/>
    <mergeCell ref="FDY225:FEB225"/>
    <mergeCell ref="FEC225:FEF225"/>
    <mergeCell ref="FEG225:FEJ225"/>
    <mergeCell ref="FEK225:FEN225"/>
    <mergeCell ref="FCS225:FCV225"/>
    <mergeCell ref="FCW225:FCZ225"/>
    <mergeCell ref="FDA225:FDD225"/>
    <mergeCell ref="FDE225:FDH225"/>
    <mergeCell ref="FDI225:FDL225"/>
    <mergeCell ref="FDM225:FDP225"/>
    <mergeCell ref="FBU225:FBX225"/>
    <mergeCell ref="FBY225:FCB225"/>
    <mergeCell ref="FCC225:FCF225"/>
    <mergeCell ref="FCG225:FCJ225"/>
    <mergeCell ref="FCK225:FCN225"/>
    <mergeCell ref="FCO225:FCR225"/>
    <mergeCell ref="FAW225:FAZ225"/>
    <mergeCell ref="FBA225:FBD225"/>
    <mergeCell ref="FBE225:FBH225"/>
    <mergeCell ref="FBI225:FBL225"/>
    <mergeCell ref="FBM225:FBP225"/>
    <mergeCell ref="FBQ225:FBT225"/>
    <mergeCell ref="EZY225:FAB225"/>
    <mergeCell ref="FAC225:FAF225"/>
    <mergeCell ref="FAG225:FAJ225"/>
    <mergeCell ref="FAK225:FAN225"/>
    <mergeCell ref="FAO225:FAR225"/>
    <mergeCell ref="FAS225:FAV225"/>
    <mergeCell ref="EZA225:EZD225"/>
    <mergeCell ref="EZE225:EZH225"/>
    <mergeCell ref="EZI225:EZL225"/>
    <mergeCell ref="EZM225:EZP225"/>
    <mergeCell ref="EZQ225:EZT225"/>
    <mergeCell ref="EZU225:EZX225"/>
    <mergeCell ref="EYC225:EYF225"/>
    <mergeCell ref="EYG225:EYJ225"/>
    <mergeCell ref="EYK225:EYN225"/>
    <mergeCell ref="EYO225:EYR225"/>
    <mergeCell ref="EYS225:EYV225"/>
    <mergeCell ref="EYW225:EYZ225"/>
    <mergeCell ref="EXE225:EXH225"/>
    <mergeCell ref="EXI225:EXL225"/>
    <mergeCell ref="EXM225:EXP225"/>
    <mergeCell ref="EXQ225:EXT225"/>
    <mergeCell ref="EXU225:EXX225"/>
    <mergeCell ref="EXY225:EYB225"/>
    <mergeCell ref="EWG225:EWJ225"/>
    <mergeCell ref="EWK225:EWN225"/>
    <mergeCell ref="EWO225:EWR225"/>
    <mergeCell ref="EWS225:EWV225"/>
    <mergeCell ref="EWW225:EWZ225"/>
    <mergeCell ref="EXA225:EXD225"/>
    <mergeCell ref="EVI225:EVL225"/>
    <mergeCell ref="EVM225:EVP225"/>
    <mergeCell ref="EVQ225:EVT225"/>
    <mergeCell ref="EVU225:EVX225"/>
    <mergeCell ref="EVY225:EWB225"/>
    <mergeCell ref="EWC225:EWF225"/>
    <mergeCell ref="EUK225:EUN225"/>
    <mergeCell ref="EUO225:EUR225"/>
    <mergeCell ref="EUS225:EUV225"/>
    <mergeCell ref="EUW225:EUZ225"/>
    <mergeCell ref="EVA225:EVD225"/>
    <mergeCell ref="EVE225:EVH225"/>
    <mergeCell ref="ETM225:ETP225"/>
    <mergeCell ref="ETQ225:ETT225"/>
    <mergeCell ref="ETU225:ETX225"/>
    <mergeCell ref="ETY225:EUB225"/>
    <mergeCell ref="EUC225:EUF225"/>
    <mergeCell ref="EUG225:EUJ225"/>
    <mergeCell ref="ESO225:ESR225"/>
    <mergeCell ref="ESS225:ESV225"/>
    <mergeCell ref="ESW225:ESZ225"/>
    <mergeCell ref="ETA225:ETD225"/>
    <mergeCell ref="ETE225:ETH225"/>
    <mergeCell ref="ETI225:ETL225"/>
    <mergeCell ref="ERQ225:ERT225"/>
    <mergeCell ref="ERU225:ERX225"/>
    <mergeCell ref="ERY225:ESB225"/>
    <mergeCell ref="ESC225:ESF225"/>
    <mergeCell ref="ESG225:ESJ225"/>
    <mergeCell ref="ESK225:ESN225"/>
    <mergeCell ref="EQS225:EQV225"/>
    <mergeCell ref="EQW225:EQZ225"/>
    <mergeCell ref="ERA225:ERD225"/>
    <mergeCell ref="ERE225:ERH225"/>
    <mergeCell ref="ERI225:ERL225"/>
    <mergeCell ref="ERM225:ERP225"/>
    <mergeCell ref="EPU225:EPX225"/>
    <mergeCell ref="EPY225:EQB225"/>
    <mergeCell ref="EQC225:EQF225"/>
    <mergeCell ref="EQG225:EQJ225"/>
    <mergeCell ref="EQK225:EQN225"/>
    <mergeCell ref="EQO225:EQR225"/>
    <mergeCell ref="EOW225:EOZ225"/>
    <mergeCell ref="EPA225:EPD225"/>
    <mergeCell ref="EPE225:EPH225"/>
    <mergeCell ref="EPI225:EPL225"/>
    <mergeCell ref="EPM225:EPP225"/>
    <mergeCell ref="EPQ225:EPT225"/>
    <mergeCell ref="ENY225:EOB225"/>
    <mergeCell ref="EOC225:EOF225"/>
    <mergeCell ref="EOG225:EOJ225"/>
    <mergeCell ref="EOK225:EON225"/>
    <mergeCell ref="EOO225:EOR225"/>
    <mergeCell ref="EOS225:EOV225"/>
    <mergeCell ref="ENA225:END225"/>
    <mergeCell ref="ENE225:ENH225"/>
    <mergeCell ref="ENI225:ENL225"/>
    <mergeCell ref="ENM225:ENP225"/>
    <mergeCell ref="ENQ225:ENT225"/>
    <mergeCell ref="ENU225:ENX225"/>
    <mergeCell ref="EMC225:EMF225"/>
    <mergeCell ref="EMG225:EMJ225"/>
    <mergeCell ref="EMK225:EMN225"/>
    <mergeCell ref="EMO225:EMR225"/>
    <mergeCell ref="EMS225:EMV225"/>
    <mergeCell ref="EMW225:EMZ225"/>
    <mergeCell ref="ELE225:ELH225"/>
    <mergeCell ref="ELI225:ELL225"/>
    <mergeCell ref="ELM225:ELP225"/>
    <mergeCell ref="ELQ225:ELT225"/>
    <mergeCell ref="ELU225:ELX225"/>
    <mergeCell ref="ELY225:EMB225"/>
    <mergeCell ref="EKG225:EKJ225"/>
    <mergeCell ref="EKK225:EKN225"/>
    <mergeCell ref="EKO225:EKR225"/>
    <mergeCell ref="EKS225:EKV225"/>
    <mergeCell ref="EKW225:EKZ225"/>
    <mergeCell ref="ELA225:ELD225"/>
    <mergeCell ref="EJI225:EJL225"/>
    <mergeCell ref="EJM225:EJP225"/>
    <mergeCell ref="EJQ225:EJT225"/>
    <mergeCell ref="EJU225:EJX225"/>
    <mergeCell ref="EJY225:EKB225"/>
    <mergeCell ref="EKC225:EKF225"/>
    <mergeCell ref="EIK225:EIN225"/>
    <mergeCell ref="EIO225:EIR225"/>
    <mergeCell ref="EIS225:EIV225"/>
    <mergeCell ref="EIW225:EIZ225"/>
    <mergeCell ref="EJA225:EJD225"/>
    <mergeCell ref="EJE225:EJH225"/>
    <mergeCell ref="EHM225:EHP225"/>
    <mergeCell ref="EHQ225:EHT225"/>
    <mergeCell ref="EHU225:EHX225"/>
    <mergeCell ref="EHY225:EIB225"/>
    <mergeCell ref="EIC225:EIF225"/>
    <mergeCell ref="EIG225:EIJ225"/>
    <mergeCell ref="EGO225:EGR225"/>
    <mergeCell ref="EGS225:EGV225"/>
    <mergeCell ref="EGW225:EGZ225"/>
    <mergeCell ref="EHA225:EHD225"/>
    <mergeCell ref="EHE225:EHH225"/>
    <mergeCell ref="EHI225:EHL225"/>
    <mergeCell ref="EFQ225:EFT225"/>
    <mergeCell ref="EFU225:EFX225"/>
    <mergeCell ref="EFY225:EGB225"/>
    <mergeCell ref="EGC225:EGF225"/>
    <mergeCell ref="EGG225:EGJ225"/>
    <mergeCell ref="EGK225:EGN225"/>
    <mergeCell ref="EES225:EEV225"/>
    <mergeCell ref="EEW225:EEZ225"/>
    <mergeCell ref="EFA225:EFD225"/>
    <mergeCell ref="EFE225:EFH225"/>
    <mergeCell ref="EFI225:EFL225"/>
    <mergeCell ref="EFM225:EFP225"/>
    <mergeCell ref="EDU225:EDX225"/>
    <mergeCell ref="EDY225:EEB225"/>
    <mergeCell ref="EEC225:EEF225"/>
    <mergeCell ref="EEG225:EEJ225"/>
    <mergeCell ref="EEK225:EEN225"/>
    <mergeCell ref="EEO225:EER225"/>
    <mergeCell ref="ECW225:ECZ225"/>
    <mergeCell ref="EDA225:EDD225"/>
    <mergeCell ref="EDE225:EDH225"/>
    <mergeCell ref="EDI225:EDL225"/>
    <mergeCell ref="EDM225:EDP225"/>
    <mergeCell ref="EDQ225:EDT225"/>
    <mergeCell ref="EBY225:ECB225"/>
    <mergeCell ref="ECC225:ECF225"/>
    <mergeCell ref="ECG225:ECJ225"/>
    <mergeCell ref="ECK225:ECN225"/>
    <mergeCell ref="ECO225:ECR225"/>
    <mergeCell ref="ECS225:ECV225"/>
    <mergeCell ref="EBA225:EBD225"/>
    <mergeCell ref="EBE225:EBH225"/>
    <mergeCell ref="EBI225:EBL225"/>
    <mergeCell ref="EBM225:EBP225"/>
    <mergeCell ref="EBQ225:EBT225"/>
    <mergeCell ref="EBU225:EBX225"/>
    <mergeCell ref="EAC225:EAF225"/>
    <mergeCell ref="EAG225:EAJ225"/>
    <mergeCell ref="EAK225:EAN225"/>
    <mergeCell ref="EAO225:EAR225"/>
    <mergeCell ref="EAS225:EAV225"/>
    <mergeCell ref="EAW225:EAZ225"/>
    <mergeCell ref="DZE225:DZH225"/>
    <mergeCell ref="DZI225:DZL225"/>
    <mergeCell ref="DZM225:DZP225"/>
    <mergeCell ref="DZQ225:DZT225"/>
    <mergeCell ref="DZU225:DZX225"/>
    <mergeCell ref="DZY225:EAB225"/>
    <mergeCell ref="DYG225:DYJ225"/>
    <mergeCell ref="DYK225:DYN225"/>
    <mergeCell ref="DYO225:DYR225"/>
    <mergeCell ref="DYS225:DYV225"/>
    <mergeCell ref="DYW225:DYZ225"/>
    <mergeCell ref="DZA225:DZD225"/>
    <mergeCell ref="DXI225:DXL225"/>
    <mergeCell ref="DXM225:DXP225"/>
    <mergeCell ref="DXQ225:DXT225"/>
    <mergeCell ref="DXU225:DXX225"/>
    <mergeCell ref="DXY225:DYB225"/>
    <mergeCell ref="DYC225:DYF225"/>
    <mergeCell ref="DWK225:DWN225"/>
    <mergeCell ref="DWO225:DWR225"/>
    <mergeCell ref="DWS225:DWV225"/>
    <mergeCell ref="DWW225:DWZ225"/>
    <mergeCell ref="DXA225:DXD225"/>
    <mergeCell ref="DXE225:DXH225"/>
    <mergeCell ref="DVM225:DVP225"/>
    <mergeCell ref="DVQ225:DVT225"/>
    <mergeCell ref="DVU225:DVX225"/>
    <mergeCell ref="DVY225:DWB225"/>
    <mergeCell ref="DWC225:DWF225"/>
    <mergeCell ref="DWG225:DWJ225"/>
    <mergeCell ref="DUO225:DUR225"/>
    <mergeCell ref="DUS225:DUV225"/>
    <mergeCell ref="DUW225:DUZ225"/>
    <mergeCell ref="DVA225:DVD225"/>
    <mergeCell ref="DVE225:DVH225"/>
    <mergeCell ref="DVI225:DVL225"/>
    <mergeCell ref="DTQ225:DTT225"/>
    <mergeCell ref="DTU225:DTX225"/>
    <mergeCell ref="DTY225:DUB225"/>
    <mergeCell ref="DUC225:DUF225"/>
    <mergeCell ref="DUG225:DUJ225"/>
    <mergeCell ref="DUK225:DUN225"/>
    <mergeCell ref="DSS225:DSV225"/>
    <mergeCell ref="DSW225:DSZ225"/>
    <mergeCell ref="DTA225:DTD225"/>
    <mergeCell ref="DTE225:DTH225"/>
    <mergeCell ref="DTI225:DTL225"/>
    <mergeCell ref="DTM225:DTP225"/>
    <mergeCell ref="DRU225:DRX225"/>
    <mergeCell ref="DRY225:DSB225"/>
    <mergeCell ref="DSC225:DSF225"/>
    <mergeCell ref="DSG225:DSJ225"/>
    <mergeCell ref="DSK225:DSN225"/>
    <mergeCell ref="DSO225:DSR225"/>
    <mergeCell ref="DQW225:DQZ225"/>
    <mergeCell ref="DRA225:DRD225"/>
    <mergeCell ref="DRE225:DRH225"/>
    <mergeCell ref="DRI225:DRL225"/>
    <mergeCell ref="DRM225:DRP225"/>
    <mergeCell ref="DRQ225:DRT225"/>
    <mergeCell ref="DPY225:DQB225"/>
    <mergeCell ref="DQC225:DQF225"/>
    <mergeCell ref="DQG225:DQJ225"/>
    <mergeCell ref="DQK225:DQN225"/>
    <mergeCell ref="DQO225:DQR225"/>
    <mergeCell ref="DQS225:DQV225"/>
    <mergeCell ref="DPA225:DPD225"/>
    <mergeCell ref="DPE225:DPH225"/>
    <mergeCell ref="DPI225:DPL225"/>
    <mergeCell ref="DPM225:DPP225"/>
    <mergeCell ref="DPQ225:DPT225"/>
    <mergeCell ref="DPU225:DPX225"/>
    <mergeCell ref="DOC225:DOF225"/>
    <mergeCell ref="DOG225:DOJ225"/>
    <mergeCell ref="DOK225:DON225"/>
    <mergeCell ref="DOO225:DOR225"/>
    <mergeCell ref="DOS225:DOV225"/>
    <mergeCell ref="DOW225:DOZ225"/>
    <mergeCell ref="DNE225:DNH225"/>
    <mergeCell ref="DNI225:DNL225"/>
    <mergeCell ref="DNM225:DNP225"/>
    <mergeCell ref="DNQ225:DNT225"/>
    <mergeCell ref="DNU225:DNX225"/>
    <mergeCell ref="DNY225:DOB225"/>
    <mergeCell ref="DMG225:DMJ225"/>
    <mergeCell ref="DMK225:DMN225"/>
    <mergeCell ref="DMO225:DMR225"/>
    <mergeCell ref="DMS225:DMV225"/>
    <mergeCell ref="DMW225:DMZ225"/>
    <mergeCell ref="DNA225:DND225"/>
    <mergeCell ref="DLI225:DLL225"/>
    <mergeCell ref="DLM225:DLP225"/>
    <mergeCell ref="DLQ225:DLT225"/>
    <mergeCell ref="DLU225:DLX225"/>
    <mergeCell ref="DLY225:DMB225"/>
    <mergeCell ref="DMC225:DMF225"/>
    <mergeCell ref="DKK225:DKN225"/>
    <mergeCell ref="DKO225:DKR225"/>
    <mergeCell ref="DKS225:DKV225"/>
    <mergeCell ref="DKW225:DKZ225"/>
    <mergeCell ref="DLA225:DLD225"/>
    <mergeCell ref="DLE225:DLH225"/>
    <mergeCell ref="DJM225:DJP225"/>
    <mergeCell ref="DJQ225:DJT225"/>
    <mergeCell ref="DJU225:DJX225"/>
    <mergeCell ref="DJY225:DKB225"/>
    <mergeCell ref="DKC225:DKF225"/>
    <mergeCell ref="DKG225:DKJ225"/>
    <mergeCell ref="DIO225:DIR225"/>
    <mergeCell ref="DIS225:DIV225"/>
    <mergeCell ref="DIW225:DIZ225"/>
    <mergeCell ref="DJA225:DJD225"/>
    <mergeCell ref="DJE225:DJH225"/>
    <mergeCell ref="DJI225:DJL225"/>
    <mergeCell ref="DHQ225:DHT225"/>
    <mergeCell ref="DHU225:DHX225"/>
    <mergeCell ref="DHY225:DIB225"/>
    <mergeCell ref="DIC225:DIF225"/>
    <mergeCell ref="DIG225:DIJ225"/>
    <mergeCell ref="DIK225:DIN225"/>
    <mergeCell ref="DGS225:DGV225"/>
    <mergeCell ref="DGW225:DGZ225"/>
    <mergeCell ref="DHA225:DHD225"/>
    <mergeCell ref="DHE225:DHH225"/>
    <mergeCell ref="DHI225:DHL225"/>
    <mergeCell ref="DHM225:DHP225"/>
    <mergeCell ref="DFU225:DFX225"/>
    <mergeCell ref="DFY225:DGB225"/>
    <mergeCell ref="DGC225:DGF225"/>
    <mergeCell ref="DGG225:DGJ225"/>
    <mergeCell ref="DGK225:DGN225"/>
    <mergeCell ref="DGO225:DGR225"/>
    <mergeCell ref="DEW225:DEZ225"/>
    <mergeCell ref="DFA225:DFD225"/>
    <mergeCell ref="DFE225:DFH225"/>
    <mergeCell ref="DFI225:DFL225"/>
    <mergeCell ref="DFM225:DFP225"/>
    <mergeCell ref="DFQ225:DFT225"/>
    <mergeCell ref="DDY225:DEB225"/>
    <mergeCell ref="DEC225:DEF225"/>
    <mergeCell ref="DEG225:DEJ225"/>
    <mergeCell ref="DEK225:DEN225"/>
    <mergeCell ref="DEO225:DER225"/>
    <mergeCell ref="DES225:DEV225"/>
    <mergeCell ref="DDA225:DDD225"/>
    <mergeCell ref="DDE225:DDH225"/>
    <mergeCell ref="DDI225:DDL225"/>
    <mergeCell ref="DDM225:DDP225"/>
    <mergeCell ref="DDQ225:DDT225"/>
    <mergeCell ref="DDU225:DDX225"/>
    <mergeCell ref="DCC225:DCF225"/>
    <mergeCell ref="DCG225:DCJ225"/>
    <mergeCell ref="DCK225:DCN225"/>
    <mergeCell ref="DCO225:DCR225"/>
    <mergeCell ref="DCS225:DCV225"/>
    <mergeCell ref="DCW225:DCZ225"/>
    <mergeCell ref="DBE225:DBH225"/>
    <mergeCell ref="DBI225:DBL225"/>
    <mergeCell ref="DBM225:DBP225"/>
    <mergeCell ref="DBQ225:DBT225"/>
    <mergeCell ref="DBU225:DBX225"/>
    <mergeCell ref="DBY225:DCB225"/>
    <mergeCell ref="DAG225:DAJ225"/>
    <mergeCell ref="DAK225:DAN225"/>
    <mergeCell ref="DAO225:DAR225"/>
    <mergeCell ref="DAS225:DAV225"/>
    <mergeCell ref="DAW225:DAZ225"/>
    <mergeCell ref="DBA225:DBD225"/>
    <mergeCell ref="CZI225:CZL225"/>
    <mergeCell ref="CZM225:CZP225"/>
    <mergeCell ref="CZQ225:CZT225"/>
    <mergeCell ref="CZU225:CZX225"/>
    <mergeCell ref="CZY225:DAB225"/>
    <mergeCell ref="DAC225:DAF225"/>
    <mergeCell ref="CYK225:CYN225"/>
    <mergeCell ref="CYO225:CYR225"/>
    <mergeCell ref="CYS225:CYV225"/>
    <mergeCell ref="CYW225:CYZ225"/>
    <mergeCell ref="CZA225:CZD225"/>
    <mergeCell ref="CZE225:CZH225"/>
    <mergeCell ref="CXM225:CXP225"/>
    <mergeCell ref="CXQ225:CXT225"/>
    <mergeCell ref="CXU225:CXX225"/>
    <mergeCell ref="CXY225:CYB225"/>
    <mergeCell ref="CYC225:CYF225"/>
    <mergeCell ref="CYG225:CYJ225"/>
    <mergeCell ref="CWO225:CWR225"/>
    <mergeCell ref="CWS225:CWV225"/>
    <mergeCell ref="CWW225:CWZ225"/>
    <mergeCell ref="CXA225:CXD225"/>
    <mergeCell ref="CXE225:CXH225"/>
    <mergeCell ref="CXI225:CXL225"/>
    <mergeCell ref="CVQ225:CVT225"/>
    <mergeCell ref="CVU225:CVX225"/>
    <mergeCell ref="CVY225:CWB225"/>
    <mergeCell ref="CWC225:CWF225"/>
    <mergeCell ref="CWG225:CWJ225"/>
    <mergeCell ref="CWK225:CWN225"/>
    <mergeCell ref="CUS225:CUV225"/>
    <mergeCell ref="CUW225:CUZ225"/>
    <mergeCell ref="CVA225:CVD225"/>
    <mergeCell ref="CVE225:CVH225"/>
    <mergeCell ref="CVI225:CVL225"/>
    <mergeCell ref="CVM225:CVP225"/>
    <mergeCell ref="CTU225:CTX225"/>
    <mergeCell ref="CTY225:CUB225"/>
    <mergeCell ref="CUC225:CUF225"/>
    <mergeCell ref="CUG225:CUJ225"/>
    <mergeCell ref="CUK225:CUN225"/>
    <mergeCell ref="CUO225:CUR225"/>
    <mergeCell ref="CSW225:CSZ225"/>
    <mergeCell ref="CTA225:CTD225"/>
    <mergeCell ref="CTE225:CTH225"/>
    <mergeCell ref="CTI225:CTL225"/>
    <mergeCell ref="CTM225:CTP225"/>
    <mergeCell ref="CTQ225:CTT225"/>
    <mergeCell ref="CRY225:CSB225"/>
    <mergeCell ref="CSC225:CSF225"/>
    <mergeCell ref="CSG225:CSJ225"/>
    <mergeCell ref="CSK225:CSN225"/>
    <mergeCell ref="CSO225:CSR225"/>
    <mergeCell ref="CSS225:CSV225"/>
    <mergeCell ref="CRA225:CRD225"/>
    <mergeCell ref="CRE225:CRH225"/>
    <mergeCell ref="CRI225:CRL225"/>
    <mergeCell ref="CRM225:CRP225"/>
    <mergeCell ref="CRQ225:CRT225"/>
    <mergeCell ref="CRU225:CRX225"/>
    <mergeCell ref="CQC225:CQF225"/>
    <mergeCell ref="CQG225:CQJ225"/>
    <mergeCell ref="CQK225:CQN225"/>
    <mergeCell ref="CQO225:CQR225"/>
    <mergeCell ref="CQS225:CQV225"/>
    <mergeCell ref="CQW225:CQZ225"/>
    <mergeCell ref="CPE225:CPH225"/>
    <mergeCell ref="CPI225:CPL225"/>
    <mergeCell ref="CPM225:CPP225"/>
    <mergeCell ref="CPQ225:CPT225"/>
    <mergeCell ref="CPU225:CPX225"/>
    <mergeCell ref="CPY225:CQB225"/>
    <mergeCell ref="COG225:COJ225"/>
    <mergeCell ref="COK225:CON225"/>
    <mergeCell ref="COO225:COR225"/>
    <mergeCell ref="COS225:COV225"/>
    <mergeCell ref="COW225:COZ225"/>
    <mergeCell ref="CPA225:CPD225"/>
    <mergeCell ref="CNI225:CNL225"/>
    <mergeCell ref="CNM225:CNP225"/>
    <mergeCell ref="CNQ225:CNT225"/>
    <mergeCell ref="CNU225:CNX225"/>
    <mergeCell ref="CNY225:COB225"/>
    <mergeCell ref="COC225:COF225"/>
    <mergeCell ref="CMK225:CMN225"/>
    <mergeCell ref="CMO225:CMR225"/>
    <mergeCell ref="CMS225:CMV225"/>
    <mergeCell ref="CMW225:CMZ225"/>
    <mergeCell ref="CNA225:CND225"/>
    <mergeCell ref="CNE225:CNH225"/>
    <mergeCell ref="CLM225:CLP225"/>
    <mergeCell ref="CLQ225:CLT225"/>
    <mergeCell ref="CLU225:CLX225"/>
    <mergeCell ref="CLY225:CMB225"/>
    <mergeCell ref="CMC225:CMF225"/>
    <mergeCell ref="CMG225:CMJ225"/>
    <mergeCell ref="CKO225:CKR225"/>
    <mergeCell ref="CKS225:CKV225"/>
    <mergeCell ref="CKW225:CKZ225"/>
    <mergeCell ref="CLA225:CLD225"/>
    <mergeCell ref="CLE225:CLH225"/>
    <mergeCell ref="CLI225:CLL225"/>
    <mergeCell ref="CJQ225:CJT225"/>
    <mergeCell ref="CJU225:CJX225"/>
    <mergeCell ref="CJY225:CKB225"/>
    <mergeCell ref="CKC225:CKF225"/>
    <mergeCell ref="CKG225:CKJ225"/>
    <mergeCell ref="CKK225:CKN225"/>
    <mergeCell ref="CIS225:CIV225"/>
    <mergeCell ref="CIW225:CIZ225"/>
    <mergeCell ref="CJA225:CJD225"/>
    <mergeCell ref="CJE225:CJH225"/>
    <mergeCell ref="CJI225:CJL225"/>
    <mergeCell ref="CJM225:CJP225"/>
    <mergeCell ref="CHU225:CHX225"/>
    <mergeCell ref="CHY225:CIB225"/>
    <mergeCell ref="CIC225:CIF225"/>
    <mergeCell ref="CIG225:CIJ225"/>
    <mergeCell ref="CIK225:CIN225"/>
    <mergeCell ref="CIO225:CIR225"/>
    <mergeCell ref="CGW225:CGZ225"/>
    <mergeCell ref="CHA225:CHD225"/>
    <mergeCell ref="CHE225:CHH225"/>
    <mergeCell ref="CHI225:CHL225"/>
    <mergeCell ref="CHM225:CHP225"/>
    <mergeCell ref="CHQ225:CHT225"/>
    <mergeCell ref="CFY225:CGB225"/>
    <mergeCell ref="CGC225:CGF225"/>
    <mergeCell ref="CGG225:CGJ225"/>
    <mergeCell ref="CGK225:CGN225"/>
    <mergeCell ref="CGO225:CGR225"/>
    <mergeCell ref="CGS225:CGV225"/>
    <mergeCell ref="CFA225:CFD225"/>
    <mergeCell ref="CFE225:CFH225"/>
    <mergeCell ref="CFI225:CFL225"/>
    <mergeCell ref="CFM225:CFP225"/>
    <mergeCell ref="CFQ225:CFT225"/>
    <mergeCell ref="CFU225:CFX225"/>
    <mergeCell ref="CEC225:CEF225"/>
    <mergeCell ref="CEG225:CEJ225"/>
    <mergeCell ref="CEK225:CEN225"/>
    <mergeCell ref="CEO225:CER225"/>
    <mergeCell ref="CES225:CEV225"/>
    <mergeCell ref="CEW225:CEZ225"/>
    <mergeCell ref="CDE225:CDH225"/>
    <mergeCell ref="CDI225:CDL225"/>
    <mergeCell ref="CDM225:CDP225"/>
    <mergeCell ref="CDQ225:CDT225"/>
    <mergeCell ref="CDU225:CDX225"/>
    <mergeCell ref="CDY225:CEB225"/>
    <mergeCell ref="CCG225:CCJ225"/>
    <mergeCell ref="CCK225:CCN225"/>
    <mergeCell ref="CCO225:CCR225"/>
    <mergeCell ref="CCS225:CCV225"/>
    <mergeCell ref="CCW225:CCZ225"/>
    <mergeCell ref="CDA225:CDD225"/>
    <mergeCell ref="CBI225:CBL225"/>
    <mergeCell ref="CBM225:CBP225"/>
    <mergeCell ref="CBQ225:CBT225"/>
    <mergeCell ref="CBU225:CBX225"/>
    <mergeCell ref="CBY225:CCB225"/>
    <mergeCell ref="CCC225:CCF225"/>
    <mergeCell ref="CAK225:CAN225"/>
    <mergeCell ref="CAO225:CAR225"/>
    <mergeCell ref="CAS225:CAV225"/>
    <mergeCell ref="CAW225:CAZ225"/>
    <mergeCell ref="CBA225:CBD225"/>
    <mergeCell ref="CBE225:CBH225"/>
    <mergeCell ref="BZM225:BZP225"/>
    <mergeCell ref="BZQ225:BZT225"/>
    <mergeCell ref="BZU225:BZX225"/>
    <mergeCell ref="BZY225:CAB225"/>
    <mergeCell ref="CAC225:CAF225"/>
    <mergeCell ref="CAG225:CAJ225"/>
    <mergeCell ref="BYO225:BYR225"/>
    <mergeCell ref="BYS225:BYV225"/>
    <mergeCell ref="BYW225:BYZ225"/>
    <mergeCell ref="BZA225:BZD225"/>
    <mergeCell ref="BZE225:BZH225"/>
    <mergeCell ref="BZI225:BZL225"/>
    <mergeCell ref="BXQ225:BXT225"/>
    <mergeCell ref="BXU225:BXX225"/>
    <mergeCell ref="BXY225:BYB225"/>
    <mergeCell ref="BYC225:BYF225"/>
    <mergeCell ref="BYG225:BYJ225"/>
    <mergeCell ref="BYK225:BYN225"/>
    <mergeCell ref="BWS225:BWV225"/>
    <mergeCell ref="BWW225:BWZ225"/>
    <mergeCell ref="BXA225:BXD225"/>
    <mergeCell ref="BXE225:BXH225"/>
    <mergeCell ref="BXI225:BXL225"/>
    <mergeCell ref="BXM225:BXP225"/>
    <mergeCell ref="BVU225:BVX225"/>
    <mergeCell ref="BVY225:BWB225"/>
    <mergeCell ref="BWC225:BWF225"/>
    <mergeCell ref="BWG225:BWJ225"/>
    <mergeCell ref="BWK225:BWN225"/>
    <mergeCell ref="BWO225:BWR225"/>
    <mergeCell ref="BUW225:BUZ225"/>
    <mergeCell ref="BVA225:BVD225"/>
    <mergeCell ref="BVE225:BVH225"/>
    <mergeCell ref="BVI225:BVL225"/>
    <mergeCell ref="BVM225:BVP225"/>
    <mergeCell ref="BVQ225:BVT225"/>
    <mergeCell ref="BTY225:BUB225"/>
    <mergeCell ref="BUC225:BUF225"/>
    <mergeCell ref="BUG225:BUJ225"/>
    <mergeCell ref="BUK225:BUN225"/>
    <mergeCell ref="BUO225:BUR225"/>
    <mergeCell ref="BUS225:BUV225"/>
    <mergeCell ref="BTA225:BTD225"/>
    <mergeCell ref="BTE225:BTH225"/>
    <mergeCell ref="BTI225:BTL225"/>
    <mergeCell ref="BTM225:BTP225"/>
    <mergeCell ref="BTQ225:BTT225"/>
    <mergeCell ref="BTU225:BTX225"/>
    <mergeCell ref="BSC225:BSF225"/>
    <mergeCell ref="BSG225:BSJ225"/>
    <mergeCell ref="BSK225:BSN225"/>
    <mergeCell ref="BSO225:BSR225"/>
    <mergeCell ref="BSS225:BSV225"/>
    <mergeCell ref="BSW225:BSZ225"/>
    <mergeCell ref="BRE225:BRH225"/>
    <mergeCell ref="BRI225:BRL225"/>
    <mergeCell ref="BRM225:BRP225"/>
    <mergeCell ref="BRQ225:BRT225"/>
    <mergeCell ref="BRU225:BRX225"/>
    <mergeCell ref="BRY225:BSB225"/>
    <mergeCell ref="BQG225:BQJ225"/>
    <mergeCell ref="BQK225:BQN225"/>
    <mergeCell ref="BQO225:BQR225"/>
    <mergeCell ref="BQS225:BQV225"/>
    <mergeCell ref="BQW225:BQZ225"/>
    <mergeCell ref="BRA225:BRD225"/>
    <mergeCell ref="BPI225:BPL225"/>
    <mergeCell ref="BPM225:BPP225"/>
    <mergeCell ref="BPQ225:BPT225"/>
    <mergeCell ref="BPU225:BPX225"/>
    <mergeCell ref="BPY225:BQB225"/>
    <mergeCell ref="BQC225:BQF225"/>
    <mergeCell ref="BOK225:BON225"/>
    <mergeCell ref="BOO225:BOR225"/>
    <mergeCell ref="BOS225:BOV225"/>
    <mergeCell ref="BOW225:BOZ225"/>
    <mergeCell ref="BPA225:BPD225"/>
    <mergeCell ref="BPE225:BPH225"/>
    <mergeCell ref="BNM225:BNP225"/>
    <mergeCell ref="BNQ225:BNT225"/>
    <mergeCell ref="BNU225:BNX225"/>
    <mergeCell ref="BNY225:BOB225"/>
    <mergeCell ref="BOC225:BOF225"/>
    <mergeCell ref="BOG225:BOJ225"/>
    <mergeCell ref="BMO225:BMR225"/>
    <mergeCell ref="BMS225:BMV225"/>
    <mergeCell ref="BMW225:BMZ225"/>
    <mergeCell ref="BNA225:BND225"/>
    <mergeCell ref="BNE225:BNH225"/>
    <mergeCell ref="BNI225:BNL225"/>
    <mergeCell ref="BLQ225:BLT225"/>
    <mergeCell ref="BLU225:BLX225"/>
    <mergeCell ref="BLY225:BMB225"/>
    <mergeCell ref="BMC225:BMF225"/>
    <mergeCell ref="BMG225:BMJ225"/>
    <mergeCell ref="BMK225:BMN225"/>
    <mergeCell ref="BKS225:BKV225"/>
    <mergeCell ref="BKW225:BKZ225"/>
    <mergeCell ref="BLA225:BLD225"/>
    <mergeCell ref="BLE225:BLH225"/>
    <mergeCell ref="BLI225:BLL225"/>
    <mergeCell ref="BLM225:BLP225"/>
    <mergeCell ref="BJU225:BJX225"/>
    <mergeCell ref="BJY225:BKB225"/>
    <mergeCell ref="BKC225:BKF225"/>
    <mergeCell ref="BKG225:BKJ225"/>
    <mergeCell ref="BKK225:BKN225"/>
    <mergeCell ref="BKO225:BKR225"/>
    <mergeCell ref="BIW225:BIZ225"/>
    <mergeCell ref="BJA225:BJD225"/>
    <mergeCell ref="BJE225:BJH225"/>
    <mergeCell ref="BJI225:BJL225"/>
    <mergeCell ref="BJM225:BJP225"/>
    <mergeCell ref="BJQ225:BJT225"/>
    <mergeCell ref="BHY225:BIB225"/>
    <mergeCell ref="BIC225:BIF225"/>
    <mergeCell ref="BIG225:BIJ225"/>
    <mergeCell ref="BIK225:BIN225"/>
    <mergeCell ref="BIO225:BIR225"/>
    <mergeCell ref="BIS225:BIV225"/>
    <mergeCell ref="BHA225:BHD225"/>
    <mergeCell ref="BHE225:BHH225"/>
    <mergeCell ref="BHI225:BHL225"/>
    <mergeCell ref="BHM225:BHP225"/>
    <mergeCell ref="BHQ225:BHT225"/>
    <mergeCell ref="BHU225:BHX225"/>
    <mergeCell ref="BGC225:BGF225"/>
    <mergeCell ref="BGG225:BGJ225"/>
    <mergeCell ref="BGK225:BGN225"/>
    <mergeCell ref="BGO225:BGR225"/>
    <mergeCell ref="BGS225:BGV225"/>
    <mergeCell ref="BGW225:BGZ225"/>
    <mergeCell ref="BFE225:BFH225"/>
    <mergeCell ref="BFI225:BFL225"/>
    <mergeCell ref="BFM225:BFP225"/>
    <mergeCell ref="BFQ225:BFT225"/>
    <mergeCell ref="BFU225:BFX225"/>
    <mergeCell ref="BFY225:BGB225"/>
    <mergeCell ref="BEG225:BEJ225"/>
    <mergeCell ref="BEK225:BEN225"/>
    <mergeCell ref="BEO225:BER225"/>
    <mergeCell ref="BES225:BEV225"/>
    <mergeCell ref="BEW225:BEZ225"/>
    <mergeCell ref="BFA225:BFD225"/>
    <mergeCell ref="BDI225:BDL225"/>
    <mergeCell ref="BDM225:BDP225"/>
    <mergeCell ref="BDQ225:BDT225"/>
    <mergeCell ref="BDU225:BDX225"/>
    <mergeCell ref="BDY225:BEB225"/>
    <mergeCell ref="BEC225:BEF225"/>
    <mergeCell ref="BCK225:BCN225"/>
    <mergeCell ref="BCO225:BCR225"/>
    <mergeCell ref="BCS225:BCV225"/>
    <mergeCell ref="BCW225:BCZ225"/>
    <mergeCell ref="BDA225:BDD225"/>
    <mergeCell ref="BDE225:BDH225"/>
    <mergeCell ref="BBM225:BBP225"/>
    <mergeCell ref="BBQ225:BBT225"/>
    <mergeCell ref="BBU225:BBX225"/>
    <mergeCell ref="BBY225:BCB225"/>
    <mergeCell ref="BCC225:BCF225"/>
    <mergeCell ref="BCG225:BCJ225"/>
    <mergeCell ref="BAO225:BAR225"/>
    <mergeCell ref="BAS225:BAV225"/>
    <mergeCell ref="BAW225:BAZ225"/>
    <mergeCell ref="BBA225:BBD225"/>
    <mergeCell ref="BBE225:BBH225"/>
    <mergeCell ref="BBI225:BBL225"/>
    <mergeCell ref="AZQ225:AZT225"/>
    <mergeCell ref="AZU225:AZX225"/>
    <mergeCell ref="AZY225:BAB225"/>
    <mergeCell ref="BAC225:BAF225"/>
    <mergeCell ref="BAG225:BAJ225"/>
    <mergeCell ref="BAK225:BAN225"/>
    <mergeCell ref="AYS225:AYV225"/>
    <mergeCell ref="AYW225:AYZ225"/>
    <mergeCell ref="AZA225:AZD225"/>
    <mergeCell ref="AZE225:AZH225"/>
    <mergeCell ref="AZI225:AZL225"/>
    <mergeCell ref="AZM225:AZP225"/>
    <mergeCell ref="AXU225:AXX225"/>
    <mergeCell ref="AXY225:AYB225"/>
    <mergeCell ref="AYC225:AYF225"/>
    <mergeCell ref="AYG225:AYJ225"/>
    <mergeCell ref="AYK225:AYN225"/>
    <mergeCell ref="AYO225:AYR225"/>
    <mergeCell ref="AWW225:AWZ225"/>
    <mergeCell ref="AXA225:AXD225"/>
    <mergeCell ref="AXE225:AXH225"/>
    <mergeCell ref="AXI225:AXL225"/>
    <mergeCell ref="AXM225:AXP225"/>
    <mergeCell ref="AXQ225:AXT225"/>
    <mergeCell ref="AVY225:AWB225"/>
    <mergeCell ref="AWC225:AWF225"/>
    <mergeCell ref="AWG225:AWJ225"/>
    <mergeCell ref="AWK225:AWN225"/>
    <mergeCell ref="AWO225:AWR225"/>
    <mergeCell ref="AWS225:AWV225"/>
    <mergeCell ref="AVA225:AVD225"/>
    <mergeCell ref="AVE225:AVH225"/>
    <mergeCell ref="AVI225:AVL225"/>
    <mergeCell ref="AVM225:AVP225"/>
    <mergeCell ref="AVQ225:AVT225"/>
    <mergeCell ref="AVU225:AVX225"/>
    <mergeCell ref="AUC225:AUF225"/>
    <mergeCell ref="AUG225:AUJ225"/>
    <mergeCell ref="AUK225:AUN225"/>
    <mergeCell ref="AUO225:AUR225"/>
    <mergeCell ref="AUS225:AUV225"/>
    <mergeCell ref="AUW225:AUZ225"/>
    <mergeCell ref="ATE225:ATH225"/>
    <mergeCell ref="ATI225:ATL225"/>
    <mergeCell ref="ATM225:ATP225"/>
    <mergeCell ref="ATQ225:ATT225"/>
    <mergeCell ref="ATU225:ATX225"/>
    <mergeCell ref="ATY225:AUB225"/>
    <mergeCell ref="ASG225:ASJ225"/>
    <mergeCell ref="ASK225:ASN225"/>
    <mergeCell ref="ASO225:ASR225"/>
    <mergeCell ref="ASS225:ASV225"/>
    <mergeCell ref="ASW225:ASZ225"/>
    <mergeCell ref="ATA225:ATD225"/>
    <mergeCell ref="ARI225:ARL225"/>
    <mergeCell ref="ARM225:ARP225"/>
    <mergeCell ref="ARQ225:ART225"/>
    <mergeCell ref="ARU225:ARX225"/>
    <mergeCell ref="ARY225:ASB225"/>
    <mergeCell ref="ASC225:ASF225"/>
    <mergeCell ref="AQK225:AQN225"/>
    <mergeCell ref="AQO225:AQR225"/>
    <mergeCell ref="AQS225:AQV225"/>
    <mergeCell ref="AQW225:AQZ225"/>
    <mergeCell ref="ARA225:ARD225"/>
    <mergeCell ref="ARE225:ARH225"/>
    <mergeCell ref="APM225:APP225"/>
    <mergeCell ref="APQ225:APT225"/>
    <mergeCell ref="APU225:APX225"/>
    <mergeCell ref="APY225:AQB225"/>
    <mergeCell ref="AQC225:AQF225"/>
    <mergeCell ref="AQG225:AQJ225"/>
    <mergeCell ref="AOO225:AOR225"/>
    <mergeCell ref="AOS225:AOV225"/>
    <mergeCell ref="AOW225:AOZ225"/>
    <mergeCell ref="APA225:APD225"/>
    <mergeCell ref="APE225:APH225"/>
    <mergeCell ref="API225:APL225"/>
    <mergeCell ref="ANQ225:ANT225"/>
    <mergeCell ref="ANU225:ANX225"/>
    <mergeCell ref="ANY225:AOB225"/>
    <mergeCell ref="AOC225:AOF225"/>
    <mergeCell ref="AOG225:AOJ225"/>
    <mergeCell ref="AOK225:AON225"/>
    <mergeCell ref="AMS225:AMV225"/>
    <mergeCell ref="AMW225:AMZ225"/>
    <mergeCell ref="ANA225:AND225"/>
    <mergeCell ref="ANE225:ANH225"/>
    <mergeCell ref="ANI225:ANL225"/>
    <mergeCell ref="ANM225:ANP225"/>
    <mergeCell ref="ALU225:ALX225"/>
    <mergeCell ref="ALY225:AMB225"/>
    <mergeCell ref="AMC225:AMF225"/>
    <mergeCell ref="AMG225:AMJ225"/>
    <mergeCell ref="AMK225:AMN225"/>
    <mergeCell ref="AMO225:AMR225"/>
    <mergeCell ref="AKW225:AKZ225"/>
    <mergeCell ref="ALA225:ALD225"/>
    <mergeCell ref="ALE225:ALH225"/>
    <mergeCell ref="ALI225:ALL225"/>
    <mergeCell ref="ALM225:ALP225"/>
    <mergeCell ref="ALQ225:ALT225"/>
    <mergeCell ref="AJY225:AKB225"/>
    <mergeCell ref="AKC225:AKF225"/>
    <mergeCell ref="AKG225:AKJ225"/>
    <mergeCell ref="AKK225:AKN225"/>
    <mergeCell ref="AKO225:AKR225"/>
    <mergeCell ref="AKS225:AKV225"/>
    <mergeCell ref="AJA225:AJD225"/>
    <mergeCell ref="AJE225:AJH225"/>
    <mergeCell ref="AJI225:AJL225"/>
    <mergeCell ref="AJM225:AJP225"/>
    <mergeCell ref="AJQ225:AJT225"/>
    <mergeCell ref="AJU225:AJX225"/>
    <mergeCell ref="AIC225:AIF225"/>
    <mergeCell ref="AIG225:AIJ225"/>
    <mergeCell ref="AIK225:AIN225"/>
    <mergeCell ref="AIO225:AIR225"/>
    <mergeCell ref="AIS225:AIV225"/>
    <mergeCell ref="AIW225:AIZ225"/>
    <mergeCell ref="AHE225:AHH225"/>
    <mergeCell ref="AHI225:AHL225"/>
    <mergeCell ref="AHM225:AHP225"/>
    <mergeCell ref="AHQ225:AHT225"/>
    <mergeCell ref="AHU225:AHX225"/>
    <mergeCell ref="AHY225:AIB225"/>
    <mergeCell ref="AGG225:AGJ225"/>
    <mergeCell ref="AGK225:AGN225"/>
    <mergeCell ref="AGO225:AGR225"/>
    <mergeCell ref="AGS225:AGV225"/>
    <mergeCell ref="AGW225:AGZ225"/>
    <mergeCell ref="AHA225:AHD225"/>
    <mergeCell ref="AFI225:AFL225"/>
    <mergeCell ref="AFM225:AFP225"/>
    <mergeCell ref="AFQ225:AFT225"/>
    <mergeCell ref="AFU225:AFX225"/>
    <mergeCell ref="AFY225:AGB225"/>
    <mergeCell ref="AGC225:AGF225"/>
    <mergeCell ref="AEK225:AEN225"/>
    <mergeCell ref="AEO225:AER225"/>
    <mergeCell ref="AES225:AEV225"/>
    <mergeCell ref="AEW225:AEZ225"/>
    <mergeCell ref="AFA225:AFD225"/>
    <mergeCell ref="AFE225:AFH225"/>
    <mergeCell ref="ADM225:ADP225"/>
    <mergeCell ref="ADQ225:ADT225"/>
    <mergeCell ref="ADU225:ADX225"/>
    <mergeCell ref="ADY225:AEB225"/>
    <mergeCell ref="AEC225:AEF225"/>
    <mergeCell ref="AEG225:AEJ225"/>
    <mergeCell ref="ACO225:ACR225"/>
    <mergeCell ref="ACS225:ACV225"/>
    <mergeCell ref="ACW225:ACZ225"/>
    <mergeCell ref="ADA225:ADD225"/>
    <mergeCell ref="ADE225:ADH225"/>
    <mergeCell ref="ADI225:ADL225"/>
    <mergeCell ref="ABQ225:ABT225"/>
    <mergeCell ref="ABU225:ABX225"/>
    <mergeCell ref="ABY225:ACB225"/>
    <mergeCell ref="ACC225:ACF225"/>
    <mergeCell ref="ACG225:ACJ225"/>
    <mergeCell ref="ACK225:ACN225"/>
    <mergeCell ref="AAS225:AAV225"/>
    <mergeCell ref="AAW225:AAZ225"/>
    <mergeCell ref="ABA225:ABD225"/>
    <mergeCell ref="ABE225:ABH225"/>
    <mergeCell ref="ABI225:ABL225"/>
    <mergeCell ref="ABM225:ABP225"/>
    <mergeCell ref="ZU225:ZX225"/>
    <mergeCell ref="ZY225:AAB225"/>
    <mergeCell ref="AAC225:AAF225"/>
    <mergeCell ref="AAG225:AAJ225"/>
    <mergeCell ref="AAK225:AAN225"/>
    <mergeCell ref="AAO225:AAR225"/>
    <mergeCell ref="YW225:YZ225"/>
    <mergeCell ref="ZA225:ZD225"/>
    <mergeCell ref="ZE225:ZH225"/>
    <mergeCell ref="ZI225:ZL225"/>
    <mergeCell ref="ZM225:ZP225"/>
    <mergeCell ref="ZQ225:ZT225"/>
    <mergeCell ref="XY225:YB225"/>
    <mergeCell ref="YC225:YF225"/>
    <mergeCell ref="YG225:YJ225"/>
    <mergeCell ref="YK225:YN225"/>
    <mergeCell ref="YO225:YR225"/>
    <mergeCell ref="YS225:YV225"/>
    <mergeCell ref="XA225:XD225"/>
    <mergeCell ref="XE225:XH225"/>
    <mergeCell ref="XI225:XL225"/>
    <mergeCell ref="XM225:XP225"/>
    <mergeCell ref="XQ225:XT225"/>
    <mergeCell ref="XU225:XX225"/>
    <mergeCell ref="WC225:WF225"/>
    <mergeCell ref="WG225:WJ225"/>
    <mergeCell ref="WK225:WN225"/>
    <mergeCell ref="WO225:WR225"/>
    <mergeCell ref="WS225:WV225"/>
    <mergeCell ref="WW225:WZ225"/>
    <mergeCell ref="VE225:VH225"/>
    <mergeCell ref="VI225:VL225"/>
    <mergeCell ref="VM225:VP225"/>
    <mergeCell ref="VQ225:VT225"/>
    <mergeCell ref="VU225:VX225"/>
    <mergeCell ref="VY225:WB225"/>
    <mergeCell ref="UG225:UJ225"/>
    <mergeCell ref="UK225:UN225"/>
    <mergeCell ref="UO225:UR225"/>
    <mergeCell ref="US225:UV225"/>
    <mergeCell ref="UW225:UZ225"/>
    <mergeCell ref="VA225:VD225"/>
    <mergeCell ref="TI225:TL225"/>
    <mergeCell ref="TM225:TP225"/>
    <mergeCell ref="TQ225:TT225"/>
    <mergeCell ref="TU225:TX225"/>
    <mergeCell ref="TY225:UB225"/>
    <mergeCell ref="UC225:UF225"/>
    <mergeCell ref="SK225:SN225"/>
    <mergeCell ref="SO225:SR225"/>
    <mergeCell ref="SS225:SV225"/>
    <mergeCell ref="SW225:SZ225"/>
    <mergeCell ref="TA225:TD225"/>
    <mergeCell ref="TE225:TH225"/>
    <mergeCell ref="RM225:RP225"/>
    <mergeCell ref="RQ225:RT225"/>
    <mergeCell ref="RU225:RX225"/>
    <mergeCell ref="RY225:SB225"/>
    <mergeCell ref="SC225:SF225"/>
    <mergeCell ref="SG225:SJ225"/>
    <mergeCell ref="QO225:QR225"/>
    <mergeCell ref="QS225:QV225"/>
    <mergeCell ref="QW225:QZ225"/>
    <mergeCell ref="RA225:RD225"/>
    <mergeCell ref="RE225:RH225"/>
    <mergeCell ref="RI225:RL225"/>
    <mergeCell ref="PQ225:PT225"/>
    <mergeCell ref="PU225:PX225"/>
    <mergeCell ref="PY225:QB225"/>
    <mergeCell ref="QC225:QF225"/>
    <mergeCell ref="QG225:QJ225"/>
    <mergeCell ref="QK225:QN225"/>
    <mergeCell ref="OS225:OV225"/>
    <mergeCell ref="OW225:OZ225"/>
    <mergeCell ref="PA225:PD225"/>
    <mergeCell ref="PE225:PH225"/>
    <mergeCell ref="PI225:PL225"/>
    <mergeCell ref="PM225:PP225"/>
    <mergeCell ref="NU225:NX225"/>
    <mergeCell ref="NY225:OB225"/>
    <mergeCell ref="OC225:OF225"/>
    <mergeCell ref="OG225:OJ225"/>
    <mergeCell ref="OK225:ON225"/>
    <mergeCell ref="OO225:OR225"/>
    <mergeCell ref="MW225:MZ225"/>
    <mergeCell ref="NA225:ND225"/>
    <mergeCell ref="NE225:NH225"/>
    <mergeCell ref="NI225:NL225"/>
    <mergeCell ref="NM225:NP225"/>
    <mergeCell ref="NQ225:NT225"/>
    <mergeCell ref="LY225:MB225"/>
    <mergeCell ref="MC225:MF225"/>
    <mergeCell ref="MG225:MJ225"/>
    <mergeCell ref="MK225:MN225"/>
    <mergeCell ref="MO225:MR225"/>
    <mergeCell ref="MS225:MV225"/>
    <mergeCell ref="LA225:LD225"/>
    <mergeCell ref="LE225:LH225"/>
    <mergeCell ref="LI225:LL225"/>
    <mergeCell ref="LM225:LP225"/>
    <mergeCell ref="LQ225:LT225"/>
    <mergeCell ref="LU225:LX225"/>
    <mergeCell ref="KC225:KF225"/>
    <mergeCell ref="KG225:KJ225"/>
    <mergeCell ref="KK225:KN225"/>
    <mergeCell ref="KO225:KR225"/>
    <mergeCell ref="KS225:KV225"/>
    <mergeCell ref="KW225:KZ225"/>
    <mergeCell ref="JE225:JH225"/>
    <mergeCell ref="JI225:JL225"/>
    <mergeCell ref="JM225:JP225"/>
    <mergeCell ref="JQ225:JT225"/>
    <mergeCell ref="JU225:JX225"/>
    <mergeCell ref="JY225:KB225"/>
    <mergeCell ref="IG225:IJ225"/>
    <mergeCell ref="IK225:IN225"/>
    <mergeCell ref="IO225:IR225"/>
    <mergeCell ref="IS225:IV225"/>
    <mergeCell ref="IW225:IZ225"/>
    <mergeCell ref="JA225:JD225"/>
    <mergeCell ref="HI225:HL225"/>
    <mergeCell ref="HM225:HP225"/>
    <mergeCell ref="HQ225:HT225"/>
    <mergeCell ref="HU225:HX225"/>
    <mergeCell ref="HY225:IB225"/>
    <mergeCell ref="IC225:IF225"/>
    <mergeCell ref="GK225:GN225"/>
    <mergeCell ref="GO225:GR225"/>
    <mergeCell ref="GS225:GV225"/>
    <mergeCell ref="GW225:GZ225"/>
    <mergeCell ref="HA225:HD225"/>
    <mergeCell ref="HE225:HH225"/>
    <mergeCell ref="FM225:FP225"/>
    <mergeCell ref="FQ225:FT225"/>
    <mergeCell ref="FU225:FX225"/>
    <mergeCell ref="FY225:GB225"/>
    <mergeCell ref="GC225:GF225"/>
    <mergeCell ref="GG225:GJ225"/>
    <mergeCell ref="EO225:ER225"/>
    <mergeCell ref="ES225:EV225"/>
    <mergeCell ref="EW225:EZ225"/>
    <mergeCell ref="FA225:FD225"/>
    <mergeCell ref="FE225:FH225"/>
    <mergeCell ref="FI225:FL225"/>
    <mergeCell ref="DQ225:DT225"/>
    <mergeCell ref="DU225:DX225"/>
    <mergeCell ref="DY225:EB225"/>
    <mergeCell ref="EC225:EF225"/>
    <mergeCell ref="EG225:EJ225"/>
    <mergeCell ref="EK225:EN225"/>
    <mergeCell ref="CS225:CV225"/>
    <mergeCell ref="CW225:CZ225"/>
    <mergeCell ref="DA225:DD225"/>
    <mergeCell ref="DE225:DH225"/>
    <mergeCell ref="DI225:DL225"/>
    <mergeCell ref="DM225:DP225"/>
    <mergeCell ref="BU225:BX225"/>
    <mergeCell ref="BY225:CB225"/>
    <mergeCell ref="CC225:CF225"/>
    <mergeCell ref="CG225:CJ225"/>
    <mergeCell ref="CK225:CN225"/>
    <mergeCell ref="CO225:CR225"/>
    <mergeCell ref="AW225:AZ225"/>
    <mergeCell ref="BA225:BD225"/>
    <mergeCell ref="BE225:BH225"/>
    <mergeCell ref="BI225:BL225"/>
    <mergeCell ref="BM225:BP225"/>
    <mergeCell ref="BQ225:BT225"/>
    <mergeCell ref="Y225:AB225"/>
    <mergeCell ref="AC225:AF225"/>
    <mergeCell ref="AG225:AJ225"/>
    <mergeCell ref="AK225:AN225"/>
    <mergeCell ref="AO225:AR225"/>
    <mergeCell ref="AS225:AV225"/>
    <mergeCell ref="E224:H224"/>
    <mergeCell ref="E225:H225"/>
    <mergeCell ref="I225:L225"/>
    <mergeCell ref="M225:P225"/>
    <mergeCell ref="Q225:T225"/>
    <mergeCell ref="U225:X225"/>
    <mergeCell ref="E219:H219"/>
    <mergeCell ref="E220:H220"/>
    <mergeCell ref="E221:H221"/>
    <mergeCell ref="E222:H222"/>
    <mergeCell ref="E223:H223"/>
    <mergeCell ref="E206:H206"/>
    <mergeCell ref="D209:H209"/>
    <mergeCell ref="D212:H212"/>
    <mergeCell ref="D215:H215"/>
    <mergeCell ref="E216:H216"/>
    <mergeCell ref="E217:H217"/>
    <mergeCell ref="F188:H188"/>
    <mergeCell ref="F190:H190"/>
    <mergeCell ref="F194:H194"/>
    <mergeCell ref="F197:H197"/>
    <mergeCell ref="E200:H200"/>
    <mergeCell ref="E203:H203"/>
    <mergeCell ref="F180:H180"/>
    <mergeCell ref="F182:H182"/>
    <mergeCell ref="G184:H184"/>
    <mergeCell ref="G186:H186"/>
    <mergeCell ref="J160:K160"/>
    <mergeCell ref="G164:H164"/>
    <mergeCell ref="G165:H165"/>
    <mergeCell ref="G167:H167"/>
    <mergeCell ref="G168:H168"/>
    <mergeCell ref="G171:H171"/>
    <mergeCell ref="D145:H145"/>
    <mergeCell ref="D146:H146"/>
    <mergeCell ref="D151:H151"/>
    <mergeCell ref="D154:H154"/>
    <mergeCell ref="D157:H157"/>
    <mergeCell ref="F160:H160"/>
    <mergeCell ref="E218:H218"/>
    <mergeCell ref="D140:H140"/>
    <mergeCell ref="D142:H142"/>
    <mergeCell ref="D144:H144"/>
    <mergeCell ref="E120:H120"/>
    <mergeCell ref="E122:H122"/>
    <mergeCell ref="E124:H124"/>
    <mergeCell ref="E126:H126"/>
    <mergeCell ref="D129:H129"/>
    <mergeCell ref="D131:H131"/>
    <mergeCell ref="D109:H109"/>
    <mergeCell ref="D111:H111"/>
    <mergeCell ref="D114:H114"/>
    <mergeCell ref="J114:N114"/>
    <mergeCell ref="E117:H117"/>
    <mergeCell ref="K117:N117"/>
    <mergeCell ref="F174:H174"/>
    <mergeCell ref="F177:H177"/>
    <mergeCell ref="D104:H104"/>
    <mergeCell ref="D107:H107"/>
    <mergeCell ref="D77:H77"/>
    <mergeCell ref="D80:H80"/>
    <mergeCell ref="D82:H82"/>
    <mergeCell ref="D84:H84"/>
    <mergeCell ref="D86:H86"/>
    <mergeCell ref="D89:H89"/>
    <mergeCell ref="D64:H64"/>
    <mergeCell ref="D66:H66"/>
    <mergeCell ref="D68:H68"/>
    <mergeCell ref="D70:H70"/>
    <mergeCell ref="D72:H72"/>
    <mergeCell ref="D75:H75"/>
    <mergeCell ref="D133:H133"/>
    <mergeCell ref="D136:H136"/>
    <mergeCell ref="D138:H138"/>
    <mergeCell ref="D62:H62"/>
    <mergeCell ref="D38:H38"/>
    <mergeCell ref="D40:H40"/>
    <mergeCell ref="D42:H42"/>
    <mergeCell ref="D44:H44"/>
    <mergeCell ref="D46:H46"/>
    <mergeCell ref="D48:H48"/>
    <mergeCell ref="E28:H28"/>
    <mergeCell ref="E29:H29"/>
    <mergeCell ref="E30:H30"/>
    <mergeCell ref="E31:H31"/>
    <mergeCell ref="D33:H33"/>
    <mergeCell ref="D35:H35"/>
    <mergeCell ref="D91:H91"/>
    <mergeCell ref="D93:H93"/>
    <mergeCell ref="D97:H97"/>
    <mergeCell ref="D100:H100"/>
    <mergeCell ref="E20:H20"/>
    <mergeCell ref="E21:H21"/>
    <mergeCell ref="E22:H22"/>
    <mergeCell ref="E23:H23"/>
    <mergeCell ref="D25:H25"/>
    <mergeCell ref="D27:H27"/>
    <mergeCell ref="B5:H5"/>
    <mergeCell ref="C9:H9"/>
    <mergeCell ref="C11:H11"/>
    <mergeCell ref="C13:H13"/>
    <mergeCell ref="D18:H18"/>
    <mergeCell ref="D19:H19"/>
    <mergeCell ref="D51:H51"/>
    <mergeCell ref="D53:H53"/>
    <mergeCell ref="D55:H55"/>
    <mergeCell ref="D57:H57"/>
    <mergeCell ref="D59:H59"/>
  </mergeCells>
  <printOptions horizontalCentered="1"/>
  <pageMargins left="0.19685039370078741" right="0.19685039370078741" top="0.39370078740157483" bottom="0.39370078740157483" header="0" footer="0"/>
  <pageSetup paperSize="9" scale="88" fitToHeight="8" orientation="portrait" r:id="rId1"/>
  <headerFooter alignWithMargins="0"/>
  <rowBreaks count="7" manualBreakCount="7">
    <brk id="49" max="7" man="1"/>
    <brk id="78" max="7" man="1"/>
    <brk id="112" max="7" man="1"/>
    <brk id="143" max="7" man="1"/>
    <brk id="178" max="7" man="1"/>
    <brk id="212" max="7" man="1"/>
    <brk id="246" max="7" man="1"/>
  </row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F7578-7158-4F82-BA56-AA1904224502}">
  <sheetPr codeName="Sheet19">
    <tabColor theme="5" tint="0.59999389629810485"/>
    <pageSetUpPr fitToPage="1"/>
  </sheetPr>
  <dimension ref="A1:Y63"/>
  <sheetViews>
    <sheetView showGridLines="0" view="pageBreakPreview" zoomScaleNormal="100" zoomScaleSheetLayoutView="100" workbookViewId="0">
      <pane xSplit="2" ySplit="7" topLeftCell="H8" activePane="bottomRight" state="frozen"/>
      <selection pane="bottomRight" activeCell="AA41" sqref="AA41"/>
      <selection pane="bottomLeft" activeCell="A6" sqref="A6"/>
      <selection pane="topRight" activeCell="C1" sqref="C1"/>
    </sheetView>
  </sheetViews>
  <sheetFormatPr defaultColWidth="8.85546875" defaultRowHeight="13.15" outlineLevelRow="1" outlineLevelCol="1"/>
  <cols>
    <col min="1" max="1" customWidth="true" style="2" width="5.42578125"/>
    <col min="2" max="2" customWidth="true" style="2" width="44.7109375"/>
    <col min="3" max="9" customWidth="true" style="2" width="20.5703125"/>
    <col min="10" max="11" customWidth="true" style="2" width="20.7109375"/>
    <col min="12" max="12" customWidth="true" hidden="true" style="2" width="17.7109375"/>
    <col min="13" max="15" style="2" width="8.85546875"/>
    <col min="16" max="24" customWidth="true" hidden="true" style="24" width="14.28515625" outlineLevel="1"/>
    <col min="25" max="25" customWidth="true" hidden="true" style="24" width="9.28515625" outlineLevel="1"/>
    <col min="26" max="26" customWidth="true" hidden="true" style="2" width="9.28515625" outlineLevel="1"/>
    <col min="27" max="27" style="2" width="8.85546875" collapsed="true"/>
    <col min="28" max="16384" style="2" width="8.85546875"/>
  </cols>
  <sheetData>
    <row r="1" spans="1:25" hidden="1" outlineLevel="1">
      <c r="I1" s="1083" t="str">
        <f>BS!C1</f>
        <v>7756|001|INR|Actual|Standalone</v>
      </c>
      <c r="J1" s="1083" t="str">
        <f>BS!D1</f>
        <v>7756|002|INR|Actual|Standalone</v>
      </c>
      <c r="K1" s="1083" t="str">
        <f>BS!E1</f>
        <v>7756|003|INR|Actual|Standalone</v>
      </c>
      <c r="N1" s="15" t="s">
        <v>492</v>
      </c>
    </row>
    <row r="2" spans="1:25" hidden="1" outlineLevel="1"/>
    <row r="3" spans="1:25" ht="17.45" collapsed="1">
      <c r="A3" s="1077" t="e">
        <f ca="1">Company</f>
        <v>#NAME?</v>
      </c>
      <c r="B3" s="721"/>
    </row>
    <row r="4" spans="1:25" ht="15.6">
      <c r="A4" s="1078" t="e">
        <f ca="1">Note_Head</f>
        <v>#NAME?</v>
      </c>
    </row>
    <row r="6" spans="1:25">
      <c r="A6" s="1122">
        <f>NTA!F10</f>
        <v>4</v>
      </c>
      <c r="B6" s="1123" t="str">
        <f>NTA!C10</f>
        <v>Property, Plant and Equipment</v>
      </c>
      <c r="K6" s="1124" t="str">
        <f>'Master Sheet'!C65</f>
        <v>(Amount in INR)</v>
      </c>
    </row>
    <row r="7" spans="1:25" ht="26.45">
      <c r="B7" s="757" t="s">
        <v>500</v>
      </c>
      <c r="C7" s="757" t="s">
        <v>870</v>
      </c>
      <c r="D7" s="757" t="s">
        <v>871</v>
      </c>
      <c r="E7" s="757" t="s">
        <v>872</v>
      </c>
      <c r="F7" s="757" t="s">
        <v>873</v>
      </c>
      <c r="G7" s="757" t="s">
        <v>874</v>
      </c>
      <c r="H7" s="757" t="s">
        <v>875</v>
      </c>
      <c r="I7" s="757" t="s">
        <v>876</v>
      </c>
      <c r="J7" s="757" t="s">
        <v>877</v>
      </c>
      <c r="K7" s="757" t="s">
        <v>246</v>
      </c>
      <c r="P7" s="31" t="s">
        <v>870</v>
      </c>
      <c r="Q7" s="31" t="s">
        <v>871</v>
      </c>
      <c r="R7" s="31" t="s">
        <v>872</v>
      </c>
      <c r="S7" s="31" t="s">
        <v>873</v>
      </c>
      <c r="T7" s="31" t="s">
        <v>874</v>
      </c>
      <c r="U7" s="31" t="s">
        <v>875</v>
      </c>
      <c r="V7" s="31" t="s">
        <v>876</v>
      </c>
      <c r="W7" s="31" t="s">
        <v>877</v>
      </c>
      <c r="X7" s="31" t="s">
        <v>246</v>
      </c>
    </row>
    <row r="8" spans="1:25" ht="15" customHeight="1">
      <c r="B8" s="758" t="s">
        <v>878</v>
      </c>
      <c r="C8" s="759"/>
      <c r="D8" s="759"/>
      <c r="E8" s="759"/>
      <c r="F8" s="759"/>
      <c r="G8" s="759"/>
      <c r="H8" s="759"/>
      <c r="I8" s="759"/>
      <c r="J8" s="759"/>
      <c r="K8" s="759"/>
    </row>
    <row r="9" spans="1:25" ht="15" hidden="1" customHeight="1">
      <c r="B9" s="768" t="e">
        <f ca="1">PPE_PVS_OP_BAL</f>
        <v>#NAME?</v>
      </c>
      <c r="C9" s="769">
        <f t="shared" ref="C9:J9" ca="1" si="0">IFERROR(INDEX(INDIRECT(VLOOKUP($Y9,Source_Master,2,0),),MATCH(TEXT(P9,0),INDIRECT(VLOOKUP($Y9,Source_Master,4,0)),0),MATCH($K$1,INDIRECT(VLOOKUP($Y9,Source_Master,3,0),),0)),0)</f>
        <v>0</v>
      </c>
      <c r="D9" s="769">
        <f t="shared" ca="1" si="0"/>
        <v>0</v>
      </c>
      <c r="E9" s="769">
        <f t="shared" ca="1" si="0"/>
        <v>0</v>
      </c>
      <c r="F9" s="769">
        <f t="shared" ca="1" si="0"/>
        <v>0</v>
      </c>
      <c r="G9" s="769">
        <f t="shared" ca="1" si="0"/>
        <v>0</v>
      </c>
      <c r="H9" s="769">
        <f t="shared" ca="1" si="0"/>
        <v>0</v>
      </c>
      <c r="I9" s="769">
        <f t="shared" ca="1" si="0"/>
        <v>0</v>
      </c>
      <c r="J9" s="769">
        <f t="shared" ca="1" si="0"/>
        <v>0</v>
      </c>
      <c r="K9" s="769">
        <f ca="1">SUM(C9:J9)</f>
        <v>0</v>
      </c>
      <c r="N9" s="1054" t="str">
        <f ca="1">IF(AND(C9=0,D9=0,E9=0,F9=0,G9=0,H9=0,I9=0,J9=0),"##H","")</f>
        <v>##H</v>
      </c>
      <c r="P9" s="24" t="s">
        <v>879</v>
      </c>
      <c r="Q9" s="24" t="s">
        <v>880</v>
      </c>
      <c r="R9" s="24" t="s">
        <v>881</v>
      </c>
      <c r="S9" s="24" t="s">
        <v>882</v>
      </c>
      <c r="T9" s="24" t="s">
        <v>883</v>
      </c>
      <c r="U9" s="24" t="s">
        <v>884</v>
      </c>
      <c r="V9" s="24" t="s">
        <v>885</v>
      </c>
      <c r="W9" s="24" t="s">
        <v>886</v>
      </c>
      <c r="X9" s="24" t="s">
        <v>887</v>
      </c>
      <c r="Y9" s="24" t="s">
        <v>50</v>
      </c>
    </row>
    <row r="10" spans="1:25" ht="15" hidden="1" customHeight="1">
      <c r="B10" s="762" t="s">
        <v>888</v>
      </c>
      <c r="C10" s="769">
        <f t="shared" ref="C10:J15" ca="1" si="1">IFERROR(INDEX(INDIRECT(VLOOKUP($Y10,Source_Master,2,0),),MATCH(TEXT(P10,0),INDIRECT(VLOOKUP($Y10,Source_Master,4,0)),0),MATCH($J$1,INDIRECT(VLOOKUP($Y10,Source_Master,3,0),),0)),0)</f>
        <v>0</v>
      </c>
      <c r="D10" s="769">
        <f t="shared" ca="1" si="1"/>
        <v>0</v>
      </c>
      <c r="E10" s="769">
        <f t="shared" ca="1" si="1"/>
        <v>0</v>
      </c>
      <c r="F10" s="769">
        <f t="shared" ca="1" si="1"/>
        <v>0</v>
      </c>
      <c r="G10" s="769">
        <f t="shared" ca="1" si="1"/>
        <v>0</v>
      </c>
      <c r="H10" s="769">
        <f t="shared" ca="1" si="1"/>
        <v>0</v>
      </c>
      <c r="I10" s="769">
        <f t="shared" ca="1" si="1"/>
        <v>0</v>
      </c>
      <c r="J10" s="769">
        <f t="shared" ca="1" si="1"/>
        <v>0</v>
      </c>
      <c r="K10" s="769">
        <f t="shared" ref="K10:K14" ca="1" si="2">SUM(C10:J10)</f>
        <v>0</v>
      </c>
      <c r="N10" s="1054" t="str">
        <f t="shared" ref="N10:N23" ca="1" si="3">IF(AND(C10=0,D10=0,E10=0,F10=0,G10=0,H10=0,I10=0,J10=0),"##H","")</f>
        <v>##H</v>
      </c>
      <c r="P10" s="24" t="s">
        <v>889</v>
      </c>
      <c r="Q10" s="24" t="s">
        <v>890</v>
      </c>
      <c r="R10" s="24" t="s">
        <v>891</v>
      </c>
      <c r="S10" s="24" t="s">
        <v>892</v>
      </c>
      <c r="T10" s="24" t="s">
        <v>893</v>
      </c>
      <c r="U10" s="24" t="s">
        <v>894</v>
      </c>
      <c r="V10" s="24" t="s">
        <v>895</v>
      </c>
      <c r="W10" s="24" t="s">
        <v>896</v>
      </c>
      <c r="Y10" s="24" t="s">
        <v>51</v>
      </c>
    </row>
    <row r="11" spans="1:25" ht="15" hidden="1" customHeight="1">
      <c r="B11" s="762" t="s">
        <v>897</v>
      </c>
      <c r="C11" s="769">
        <f t="shared" ca="1" si="1"/>
        <v>0</v>
      </c>
      <c r="D11" s="769">
        <f t="shared" ca="1" si="1"/>
        <v>0</v>
      </c>
      <c r="E11" s="769">
        <f t="shared" ca="1" si="1"/>
        <v>0</v>
      </c>
      <c r="F11" s="769">
        <f t="shared" ca="1" si="1"/>
        <v>0</v>
      </c>
      <c r="G11" s="769">
        <f t="shared" ca="1" si="1"/>
        <v>0</v>
      </c>
      <c r="H11" s="769">
        <f t="shared" ca="1" si="1"/>
        <v>0</v>
      </c>
      <c r="I11" s="769">
        <f t="shared" ca="1" si="1"/>
        <v>0</v>
      </c>
      <c r="J11" s="769">
        <f t="shared" ca="1" si="1"/>
        <v>0</v>
      </c>
      <c r="K11" s="769">
        <f t="shared" ca="1" si="2"/>
        <v>0</v>
      </c>
      <c r="N11" s="1054" t="str">
        <f t="shared" ca="1" si="3"/>
        <v>##H</v>
      </c>
      <c r="P11" s="24" t="s">
        <v>898</v>
      </c>
      <c r="Q11" s="24" t="s">
        <v>899</v>
      </c>
      <c r="R11" s="24" t="s">
        <v>900</v>
      </c>
      <c r="S11" s="24" t="s">
        <v>901</v>
      </c>
      <c r="T11" s="24" t="s">
        <v>902</v>
      </c>
      <c r="U11" s="24" t="s">
        <v>903</v>
      </c>
      <c r="V11" s="24" t="s">
        <v>904</v>
      </c>
      <c r="W11" s="24" t="s">
        <v>905</v>
      </c>
      <c r="Y11" s="24" t="s">
        <v>51</v>
      </c>
    </row>
    <row r="12" spans="1:25" ht="15" hidden="1" customHeight="1">
      <c r="B12" s="762" t="s">
        <v>906</v>
      </c>
      <c r="C12" s="769">
        <f t="shared" ca="1" si="1"/>
        <v>0</v>
      </c>
      <c r="D12" s="769">
        <f t="shared" ca="1" si="1"/>
        <v>0</v>
      </c>
      <c r="E12" s="769">
        <f t="shared" ca="1" si="1"/>
        <v>0</v>
      </c>
      <c r="F12" s="769">
        <f t="shared" ca="1" si="1"/>
        <v>0</v>
      </c>
      <c r="G12" s="769">
        <f t="shared" ca="1" si="1"/>
        <v>0</v>
      </c>
      <c r="H12" s="769">
        <f t="shared" ca="1" si="1"/>
        <v>0</v>
      </c>
      <c r="I12" s="769">
        <f t="shared" ca="1" si="1"/>
        <v>0</v>
      </c>
      <c r="J12" s="769">
        <f t="shared" ca="1" si="1"/>
        <v>0</v>
      </c>
      <c r="K12" s="769">
        <f t="shared" ca="1" si="2"/>
        <v>0</v>
      </c>
      <c r="N12" s="1054" t="str">
        <f t="shared" ca="1" si="3"/>
        <v>##H</v>
      </c>
      <c r="P12" s="24" t="s">
        <v>907</v>
      </c>
      <c r="Q12" s="24" t="s">
        <v>908</v>
      </c>
      <c r="R12" s="24" t="s">
        <v>909</v>
      </c>
      <c r="S12" s="24" t="s">
        <v>910</v>
      </c>
      <c r="T12" s="24" t="s">
        <v>911</v>
      </c>
      <c r="U12" s="24" t="s">
        <v>912</v>
      </c>
      <c r="V12" s="24" t="s">
        <v>913</v>
      </c>
      <c r="W12" s="24" t="s">
        <v>914</v>
      </c>
      <c r="Y12" s="24" t="s">
        <v>51</v>
      </c>
    </row>
    <row r="13" spans="1:25" ht="15" hidden="1" customHeight="1">
      <c r="B13" s="762" t="s">
        <v>915</v>
      </c>
      <c r="C13" s="769">
        <f t="shared" ca="1" si="1"/>
        <v>0</v>
      </c>
      <c r="D13" s="769">
        <f t="shared" ca="1" si="1"/>
        <v>0</v>
      </c>
      <c r="E13" s="769">
        <f t="shared" ca="1" si="1"/>
        <v>0</v>
      </c>
      <c r="F13" s="769">
        <f t="shared" ca="1" si="1"/>
        <v>0</v>
      </c>
      <c r="G13" s="769">
        <f t="shared" ca="1" si="1"/>
        <v>0</v>
      </c>
      <c r="H13" s="769">
        <f t="shared" ca="1" si="1"/>
        <v>0</v>
      </c>
      <c r="I13" s="769">
        <f t="shared" ca="1" si="1"/>
        <v>0</v>
      </c>
      <c r="J13" s="769">
        <f t="shared" ca="1" si="1"/>
        <v>0</v>
      </c>
      <c r="K13" s="769">
        <f t="shared" ca="1" si="2"/>
        <v>0</v>
      </c>
      <c r="N13" s="1054" t="str">
        <f t="shared" ca="1" si="3"/>
        <v>##H</v>
      </c>
      <c r="P13" s="24" t="s">
        <v>916</v>
      </c>
      <c r="Q13" s="24" t="s">
        <v>917</v>
      </c>
      <c r="R13" s="24" t="s">
        <v>918</v>
      </c>
      <c r="S13" s="24" t="s">
        <v>919</v>
      </c>
      <c r="T13" s="24" t="s">
        <v>920</v>
      </c>
      <c r="U13" s="24" t="s">
        <v>921</v>
      </c>
      <c r="V13" s="24" t="s">
        <v>922</v>
      </c>
      <c r="W13" s="24" t="s">
        <v>923</v>
      </c>
      <c r="Y13" s="24" t="s">
        <v>51</v>
      </c>
    </row>
    <row r="14" spans="1:25" ht="15" hidden="1" customHeight="1">
      <c r="B14" s="762" t="s">
        <v>924</v>
      </c>
      <c r="C14" s="769">
        <f t="shared" ca="1" si="1"/>
        <v>0</v>
      </c>
      <c r="D14" s="769">
        <f t="shared" ca="1" si="1"/>
        <v>0</v>
      </c>
      <c r="E14" s="769">
        <f t="shared" ca="1" si="1"/>
        <v>0</v>
      </c>
      <c r="F14" s="769">
        <f t="shared" ca="1" si="1"/>
        <v>0</v>
      </c>
      <c r="G14" s="769">
        <f t="shared" ca="1" si="1"/>
        <v>0</v>
      </c>
      <c r="H14" s="769">
        <f t="shared" ca="1" si="1"/>
        <v>0</v>
      </c>
      <c r="I14" s="769">
        <f t="shared" ca="1" si="1"/>
        <v>0</v>
      </c>
      <c r="J14" s="769">
        <f t="shared" ca="1" si="1"/>
        <v>0</v>
      </c>
      <c r="K14" s="769">
        <f t="shared" ca="1" si="2"/>
        <v>0</v>
      </c>
      <c r="L14" s="647" t="s">
        <v>496</v>
      </c>
      <c r="N14" s="1054" t="str">
        <f t="shared" ca="1" si="3"/>
        <v>##H</v>
      </c>
      <c r="Y14" s="24" t="s">
        <v>51</v>
      </c>
    </row>
    <row r="15" spans="1:25" ht="15" customHeight="1">
      <c r="B15" s="768" t="e">
        <f ca="1">PPE_PVS_CL_BAL</f>
        <v>#NAME?</v>
      </c>
      <c r="C15" s="770">
        <f t="shared" ca="1" si="1"/>
        <v>0</v>
      </c>
      <c r="D15" s="770">
        <f t="shared" ca="1" si="1"/>
        <v>0</v>
      </c>
      <c r="E15" s="770">
        <f t="shared" ca="1" si="1"/>
        <v>0</v>
      </c>
      <c r="F15" s="770">
        <f t="shared" ca="1" si="1"/>
        <v>0</v>
      </c>
      <c r="G15" s="770">
        <f t="shared" ca="1" si="1"/>
        <v>0</v>
      </c>
      <c r="H15" s="770">
        <f t="shared" ca="1" si="1"/>
        <v>0</v>
      </c>
      <c r="I15" s="770">
        <f t="shared" ca="1" si="1"/>
        <v>0</v>
      </c>
      <c r="J15" s="770">
        <f t="shared" ca="1" si="1"/>
        <v>0</v>
      </c>
      <c r="K15" s="770">
        <f ca="1">SUM(C15:J15)</f>
        <v>0</v>
      </c>
      <c r="L15" s="1125">
        <f ca="1">SUM(K9:K14)-K15</f>
        <v>0</v>
      </c>
      <c r="N15" s="1054" t="str">
        <f t="shared" ca="1" si="3"/>
        <v>##H</v>
      </c>
      <c r="P15" s="24" t="s">
        <v>879</v>
      </c>
      <c r="Q15" s="24" t="s">
        <v>880</v>
      </c>
      <c r="R15" s="24" t="s">
        <v>881</v>
      </c>
      <c r="S15" s="24" t="s">
        <v>882</v>
      </c>
      <c r="T15" s="24" t="s">
        <v>883</v>
      </c>
      <c r="U15" s="24" t="s">
        <v>884</v>
      </c>
      <c r="V15" s="24" t="s">
        <v>885</v>
      </c>
      <c r="W15" s="24" t="s">
        <v>886</v>
      </c>
      <c r="X15" s="24" t="s">
        <v>887</v>
      </c>
      <c r="Y15" s="24" t="s">
        <v>50</v>
      </c>
    </row>
    <row r="16" spans="1:25" ht="15" customHeight="1">
      <c r="B16" s="762"/>
      <c r="C16" s="763"/>
      <c r="D16" s="763"/>
      <c r="E16" s="763"/>
      <c r="F16" s="763"/>
      <c r="G16" s="763"/>
      <c r="H16" s="763"/>
      <c r="I16" s="763"/>
      <c r="J16" s="763"/>
      <c r="K16" s="763"/>
    </row>
    <row r="17" spans="2:25" ht="15" customHeight="1">
      <c r="B17" s="768" t="e">
        <f ca="1">PPE_OP_BAL</f>
        <v>#NAME?</v>
      </c>
      <c r="C17" s="771">
        <f ca="1">C15</f>
        <v>0</v>
      </c>
      <c r="D17" s="771">
        <f t="shared" ref="D17:J17" ca="1" si="4">D15</f>
        <v>0</v>
      </c>
      <c r="E17" s="771">
        <f t="shared" ca="1" si="4"/>
        <v>0</v>
      </c>
      <c r="F17" s="771">
        <f t="shared" ca="1" si="4"/>
        <v>0</v>
      </c>
      <c r="G17" s="771">
        <f t="shared" ca="1" si="4"/>
        <v>0</v>
      </c>
      <c r="H17" s="771">
        <f t="shared" ca="1" si="4"/>
        <v>0</v>
      </c>
      <c r="I17" s="771">
        <f t="shared" ca="1" si="4"/>
        <v>0</v>
      </c>
      <c r="J17" s="771">
        <f t="shared" ca="1" si="4"/>
        <v>0</v>
      </c>
      <c r="K17" s="771">
        <f t="shared" ref="K17:K22" ca="1" si="5">SUM(C17:J17)</f>
        <v>0</v>
      </c>
      <c r="N17" s="1054" t="str">
        <f t="shared" ca="1" si="3"/>
        <v>##H</v>
      </c>
    </row>
    <row r="18" spans="2:25" ht="15" hidden="1" customHeight="1">
      <c r="B18" s="762" t="s">
        <v>888</v>
      </c>
      <c r="C18" s="769">
        <f t="shared" ref="C18:J23" ca="1" si="6">IFERROR(INDEX(INDIRECT(VLOOKUP($Y18,Source_Master,2,0),),MATCH(TEXT(P18,0),INDIRECT(VLOOKUP($Y18,Source_Master,4,0)),0),MATCH($I$1,INDIRECT(VLOOKUP($Y18,Source_Master,3,0),),0)),0)</f>
        <v>0</v>
      </c>
      <c r="D18" s="769">
        <f t="shared" ca="1" si="6"/>
        <v>0</v>
      </c>
      <c r="E18" s="769">
        <f t="shared" ca="1" si="6"/>
        <v>0</v>
      </c>
      <c r="F18" s="769">
        <f t="shared" ca="1" si="6"/>
        <v>0</v>
      </c>
      <c r="G18" s="769">
        <f t="shared" ca="1" si="6"/>
        <v>0</v>
      </c>
      <c r="H18" s="769">
        <f t="shared" ca="1" si="6"/>
        <v>0</v>
      </c>
      <c r="I18" s="769">
        <f t="shared" ca="1" si="6"/>
        <v>0</v>
      </c>
      <c r="J18" s="769">
        <f t="shared" ca="1" si="6"/>
        <v>0</v>
      </c>
      <c r="K18" s="769">
        <f t="shared" ca="1" si="5"/>
        <v>0</v>
      </c>
      <c r="N18" s="1054" t="str">
        <f t="shared" ca="1" si="3"/>
        <v>##H</v>
      </c>
      <c r="P18" s="24" t="s">
        <v>889</v>
      </c>
      <c r="Q18" s="24" t="s">
        <v>890</v>
      </c>
      <c r="R18" s="24" t="s">
        <v>891</v>
      </c>
      <c r="S18" s="24" t="s">
        <v>892</v>
      </c>
      <c r="T18" s="24" t="s">
        <v>893</v>
      </c>
      <c r="U18" s="24" t="s">
        <v>894</v>
      </c>
      <c r="V18" s="24" t="s">
        <v>895</v>
      </c>
      <c r="W18" s="24" t="s">
        <v>896</v>
      </c>
      <c r="Y18" s="24" t="s">
        <v>51</v>
      </c>
    </row>
    <row r="19" spans="2:25" ht="15" hidden="1" customHeight="1">
      <c r="B19" s="762" t="s">
        <v>897</v>
      </c>
      <c r="C19" s="769">
        <f t="shared" ca="1" si="6"/>
        <v>0</v>
      </c>
      <c r="D19" s="769">
        <f t="shared" ca="1" si="6"/>
        <v>0</v>
      </c>
      <c r="E19" s="769">
        <f t="shared" ca="1" si="6"/>
        <v>0</v>
      </c>
      <c r="F19" s="769">
        <f t="shared" ca="1" si="6"/>
        <v>0</v>
      </c>
      <c r="G19" s="769">
        <f t="shared" ca="1" si="6"/>
        <v>0</v>
      </c>
      <c r="H19" s="769">
        <f t="shared" ca="1" si="6"/>
        <v>0</v>
      </c>
      <c r="I19" s="769">
        <f t="shared" ca="1" si="6"/>
        <v>0</v>
      </c>
      <c r="J19" s="769">
        <f t="shared" ca="1" si="6"/>
        <v>0</v>
      </c>
      <c r="K19" s="769">
        <f t="shared" ca="1" si="5"/>
        <v>0</v>
      </c>
      <c r="N19" s="1054" t="str">
        <f t="shared" ca="1" si="3"/>
        <v>##H</v>
      </c>
      <c r="P19" s="24" t="s">
        <v>898</v>
      </c>
      <c r="Q19" s="24" t="s">
        <v>899</v>
      </c>
      <c r="R19" s="24" t="s">
        <v>900</v>
      </c>
      <c r="S19" s="24" t="s">
        <v>901</v>
      </c>
      <c r="T19" s="24" t="s">
        <v>902</v>
      </c>
      <c r="U19" s="24" t="s">
        <v>903</v>
      </c>
      <c r="V19" s="24" t="s">
        <v>904</v>
      </c>
      <c r="W19" s="24" t="s">
        <v>905</v>
      </c>
      <c r="Y19" s="24" t="s">
        <v>51</v>
      </c>
    </row>
    <row r="20" spans="2:25" ht="15" hidden="1" customHeight="1">
      <c r="B20" s="762" t="s">
        <v>906</v>
      </c>
      <c r="C20" s="769">
        <f t="shared" ca="1" si="6"/>
        <v>0</v>
      </c>
      <c r="D20" s="769">
        <f t="shared" ca="1" si="6"/>
        <v>0</v>
      </c>
      <c r="E20" s="769">
        <f t="shared" ca="1" si="6"/>
        <v>0</v>
      </c>
      <c r="F20" s="769">
        <f t="shared" ca="1" si="6"/>
        <v>0</v>
      </c>
      <c r="G20" s="769">
        <f t="shared" ca="1" si="6"/>
        <v>0</v>
      </c>
      <c r="H20" s="769">
        <f t="shared" ca="1" si="6"/>
        <v>0</v>
      </c>
      <c r="I20" s="769">
        <f t="shared" ca="1" si="6"/>
        <v>0</v>
      </c>
      <c r="J20" s="769">
        <f t="shared" ca="1" si="6"/>
        <v>0</v>
      </c>
      <c r="K20" s="769">
        <f t="shared" ca="1" si="5"/>
        <v>0</v>
      </c>
      <c r="N20" s="1054" t="str">
        <f t="shared" ca="1" si="3"/>
        <v>##H</v>
      </c>
      <c r="P20" s="24" t="s">
        <v>907</v>
      </c>
      <c r="Q20" s="24" t="s">
        <v>908</v>
      </c>
      <c r="R20" s="24" t="s">
        <v>909</v>
      </c>
      <c r="S20" s="24" t="s">
        <v>910</v>
      </c>
      <c r="T20" s="24" t="s">
        <v>911</v>
      </c>
      <c r="U20" s="24" t="s">
        <v>912</v>
      </c>
      <c r="V20" s="24" t="s">
        <v>913</v>
      </c>
      <c r="W20" s="24" t="s">
        <v>914</v>
      </c>
      <c r="Y20" s="24" t="s">
        <v>51</v>
      </c>
    </row>
    <row r="21" spans="2:25" ht="15" hidden="1" customHeight="1">
      <c r="B21" s="762" t="s">
        <v>915</v>
      </c>
      <c r="C21" s="769">
        <f t="shared" ca="1" si="6"/>
        <v>0</v>
      </c>
      <c r="D21" s="769">
        <f t="shared" ca="1" si="6"/>
        <v>0</v>
      </c>
      <c r="E21" s="769">
        <f t="shared" ca="1" si="6"/>
        <v>0</v>
      </c>
      <c r="F21" s="769">
        <f t="shared" ca="1" si="6"/>
        <v>0</v>
      </c>
      <c r="G21" s="769">
        <f t="shared" ca="1" si="6"/>
        <v>0</v>
      </c>
      <c r="H21" s="769">
        <f t="shared" ca="1" si="6"/>
        <v>0</v>
      </c>
      <c r="I21" s="769">
        <f t="shared" ca="1" si="6"/>
        <v>0</v>
      </c>
      <c r="J21" s="769">
        <f t="shared" ca="1" si="6"/>
        <v>0</v>
      </c>
      <c r="K21" s="769">
        <f t="shared" ca="1" si="5"/>
        <v>0</v>
      </c>
      <c r="N21" s="1054" t="str">
        <f t="shared" ca="1" si="3"/>
        <v>##H</v>
      </c>
      <c r="P21" s="24" t="s">
        <v>916</v>
      </c>
      <c r="Q21" s="24" t="s">
        <v>917</v>
      </c>
      <c r="R21" s="24" t="s">
        <v>918</v>
      </c>
      <c r="S21" s="24" t="s">
        <v>919</v>
      </c>
      <c r="T21" s="24" t="s">
        <v>920</v>
      </c>
      <c r="U21" s="24" t="s">
        <v>921</v>
      </c>
      <c r="V21" s="24" t="s">
        <v>922</v>
      </c>
      <c r="W21" s="24" t="s">
        <v>923</v>
      </c>
      <c r="Y21" s="24" t="s">
        <v>51</v>
      </c>
    </row>
    <row r="22" spans="2:25" ht="15" hidden="1" customHeight="1">
      <c r="B22" s="762" t="s">
        <v>924</v>
      </c>
      <c r="C22" s="769">
        <f t="shared" ca="1" si="6"/>
        <v>0</v>
      </c>
      <c r="D22" s="769">
        <f t="shared" ca="1" si="6"/>
        <v>0</v>
      </c>
      <c r="E22" s="769">
        <f t="shared" ca="1" si="6"/>
        <v>0</v>
      </c>
      <c r="F22" s="769">
        <f t="shared" ca="1" si="6"/>
        <v>0</v>
      </c>
      <c r="G22" s="769">
        <f t="shared" ca="1" si="6"/>
        <v>0</v>
      </c>
      <c r="H22" s="769">
        <f t="shared" ca="1" si="6"/>
        <v>0</v>
      </c>
      <c r="I22" s="769">
        <f t="shared" ca="1" si="6"/>
        <v>0</v>
      </c>
      <c r="J22" s="769">
        <f t="shared" ca="1" si="6"/>
        <v>0</v>
      </c>
      <c r="K22" s="769">
        <f t="shared" ca="1" si="5"/>
        <v>0</v>
      </c>
      <c r="L22" s="647" t="s">
        <v>496</v>
      </c>
      <c r="N22" s="1054" t="str">
        <f t="shared" ca="1" si="3"/>
        <v>##H</v>
      </c>
      <c r="Y22" s="24" t="s">
        <v>51</v>
      </c>
    </row>
    <row r="23" spans="2:25" ht="15" customHeight="1">
      <c r="B23" s="768" t="e">
        <f ca="1">PPE_CL_BAL</f>
        <v>#NAME?</v>
      </c>
      <c r="C23" s="772">
        <f t="shared" ca="1" si="6"/>
        <v>0</v>
      </c>
      <c r="D23" s="772">
        <f t="shared" ca="1" si="6"/>
        <v>0</v>
      </c>
      <c r="E23" s="772">
        <f t="shared" ca="1" si="6"/>
        <v>0</v>
      </c>
      <c r="F23" s="772">
        <f t="shared" ca="1" si="6"/>
        <v>0</v>
      </c>
      <c r="G23" s="772">
        <f t="shared" ca="1" si="6"/>
        <v>0</v>
      </c>
      <c r="H23" s="772">
        <f t="shared" ca="1" si="6"/>
        <v>0</v>
      </c>
      <c r="I23" s="772">
        <f t="shared" ca="1" si="6"/>
        <v>0</v>
      </c>
      <c r="J23" s="772">
        <f t="shared" ca="1" si="6"/>
        <v>0</v>
      </c>
      <c r="K23" s="772">
        <f ca="1">SUM(C23:J23)</f>
        <v>0</v>
      </c>
      <c r="L23" s="1125">
        <f ca="1">SUM(K17:K22)-K23</f>
        <v>0</v>
      </c>
      <c r="N23" s="1054" t="str">
        <f t="shared" ca="1" si="3"/>
        <v>##H</v>
      </c>
      <c r="P23" s="24" t="s">
        <v>879</v>
      </c>
      <c r="Q23" s="24" t="s">
        <v>880</v>
      </c>
      <c r="R23" s="24" t="s">
        <v>881</v>
      </c>
      <c r="S23" s="24" t="s">
        <v>882</v>
      </c>
      <c r="T23" s="24" t="s">
        <v>883</v>
      </c>
      <c r="U23" s="24" t="s">
        <v>884</v>
      </c>
      <c r="V23" s="24" t="s">
        <v>885</v>
      </c>
      <c r="W23" s="24" t="s">
        <v>886</v>
      </c>
      <c r="X23" s="24" t="s">
        <v>887</v>
      </c>
      <c r="Y23" s="24" t="s">
        <v>50</v>
      </c>
    </row>
    <row r="24" spans="2:25" ht="15" customHeight="1">
      <c r="B24" s="762"/>
      <c r="C24" s="763"/>
      <c r="D24" s="763"/>
      <c r="E24" s="763"/>
      <c r="F24" s="763"/>
      <c r="G24" s="763"/>
      <c r="H24" s="763"/>
      <c r="I24" s="763"/>
      <c r="J24" s="763"/>
      <c r="K24" s="763"/>
    </row>
    <row r="25" spans="2:25" ht="15" customHeight="1">
      <c r="B25" s="760" t="s">
        <v>925</v>
      </c>
      <c r="C25" s="761"/>
      <c r="D25" s="761"/>
      <c r="E25" s="761"/>
      <c r="F25" s="761"/>
      <c r="G25" s="761"/>
      <c r="H25" s="761"/>
      <c r="I25" s="761"/>
      <c r="J25" s="761"/>
      <c r="K25" s="761"/>
    </row>
    <row r="26" spans="2:25" ht="15" hidden="1" customHeight="1">
      <c r="B26" s="768" t="e">
        <f ca="1">B9</f>
        <v>#NAME?</v>
      </c>
      <c r="C26" s="769">
        <f t="shared" ref="C26:J26" ca="1" si="7">-IFERROR(INDEX(INDIRECT(VLOOKUP($Y26,Source_Master,2,0),),MATCH(TEXT(P26,0),INDIRECT(VLOOKUP($Y26,Source_Master,4,0)),0),MATCH($K$1,INDIRECT(VLOOKUP($Y26,Source_Master,3,0),),0)),0)</f>
        <v>0</v>
      </c>
      <c r="D26" s="769">
        <f t="shared" ca="1" si="7"/>
        <v>0</v>
      </c>
      <c r="E26" s="769">
        <f t="shared" ca="1" si="7"/>
        <v>0</v>
      </c>
      <c r="F26" s="769">
        <f t="shared" ca="1" si="7"/>
        <v>0</v>
      </c>
      <c r="G26" s="769">
        <f t="shared" ca="1" si="7"/>
        <v>0</v>
      </c>
      <c r="H26" s="769">
        <f t="shared" ca="1" si="7"/>
        <v>0</v>
      </c>
      <c r="I26" s="769">
        <f t="shared" ca="1" si="7"/>
        <v>0</v>
      </c>
      <c r="J26" s="769">
        <f t="shared" ca="1" si="7"/>
        <v>0</v>
      </c>
      <c r="K26" s="769">
        <f ca="1">SUM(C26:J26)</f>
        <v>0</v>
      </c>
      <c r="N26" s="1054" t="str">
        <f t="shared" ref="N26:N43" ca="1" si="8">IF(AND(C26=0,D26=0,E26=0,F26=0,G26=0,H26=0,I26=0,J26=0),"##H","")</f>
        <v>##H</v>
      </c>
      <c r="P26" s="24" t="s">
        <v>926</v>
      </c>
      <c r="Q26" s="24" t="s">
        <v>927</v>
      </c>
      <c r="R26" s="24" t="s">
        <v>928</v>
      </c>
      <c r="S26" s="24" t="s">
        <v>929</v>
      </c>
      <c r="T26" s="24" t="s">
        <v>930</v>
      </c>
      <c r="U26" s="24" t="s">
        <v>931</v>
      </c>
      <c r="V26" s="24" t="s">
        <v>932</v>
      </c>
      <c r="W26" s="24" t="s">
        <v>933</v>
      </c>
      <c r="X26" s="24" t="s">
        <v>934</v>
      </c>
      <c r="Y26" s="24" t="s">
        <v>50</v>
      </c>
    </row>
    <row r="27" spans="2:25" ht="15" hidden="1" customHeight="1">
      <c r="B27" s="762" t="s">
        <v>935</v>
      </c>
      <c r="C27" s="769">
        <f t="shared" ref="C27:J31" ca="1" si="9">IFERROR(INDEX(INDIRECT(VLOOKUP($Y27,Source_Master,2,0),),MATCH(TEXT(P27,0),INDIRECT(VLOOKUP($Y27,Source_Master,4,0)),0),MATCH($J$1,INDIRECT(VLOOKUP($Y27,Source_Master,3,0),),0)),0)</f>
        <v>0</v>
      </c>
      <c r="D27" s="769">
        <f t="shared" ca="1" si="9"/>
        <v>0</v>
      </c>
      <c r="E27" s="769">
        <f t="shared" ca="1" si="9"/>
        <v>0</v>
      </c>
      <c r="F27" s="769">
        <f t="shared" ca="1" si="9"/>
        <v>0</v>
      </c>
      <c r="G27" s="769">
        <f t="shared" ca="1" si="9"/>
        <v>0</v>
      </c>
      <c r="H27" s="769">
        <f t="shared" ca="1" si="9"/>
        <v>0</v>
      </c>
      <c r="I27" s="769">
        <f t="shared" ca="1" si="9"/>
        <v>0</v>
      </c>
      <c r="J27" s="769">
        <f t="shared" ca="1" si="9"/>
        <v>0</v>
      </c>
      <c r="K27" s="769">
        <f t="shared" ref="K27:K31" ca="1" si="10">SUM(C27:J27)</f>
        <v>0</v>
      </c>
      <c r="N27" s="1054" t="str">
        <f t="shared" ca="1" si="8"/>
        <v>##H</v>
      </c>
      <c r="P27" s="24" t="s">
        <v>936</v>
      </c>
      <c r="Q27" s="24" t="s">
        <v>937</v>
      </c>
      <c r="R27" s="24" t="s">
        <v>938</v>
      </c>
      <c r="S27" s="24" t="s">
        <v>939</v>
      </c>
      <c r="T27" s="24" t="s">
        <v>940</v>
      </c>
      <c r="U27" s="24" t="s">
        <v>941</v>
      </c>
      <c r="V27" s="24" t="s">
        <v>942</v>
      </c>
      <c r="W27" s="24" t="s">
        <v>943</v>
      </c>
      <c r="Y27" s="24" t="s">
        <v>51</v>
      </c>
    </row>
    <row r="28" spans="2:25" ht="15" hidden="1" customHeight="1">
      <c r="B28" s="762" t="s">
        <v>897</v>
      </c>
      <c r="C28" s="769">
        <f t="shared" ca="1" si="9"/>
        <v>0</v>
      </c>
      <c r="D28" s="769">
        <f t="shared" ca="1" si="9"/>
        <v>0</v>
      </c>
      <c r="E28" s="769">
        <f t="shared" ca="1" si="9"/>
        <v>0</v>
      </c>
      <c r="F28" s="769">
        <f t="shared" ca="1" si="9"/>
        <v>0</v>
      </c>
      <c r="G28" s="769">
        <f t="shared" ca="1" si="9"/>
        <v>0</v>
      </c>
      <c r="H28" s="769">
        <f t="shared" ca="1" si="9"/>
        <v>0</v>
      </c>
      <c r="I28" s="769">
        <f t="shared" ca="1" si="9"/>
        <v>0</v>
      </c>
      <c r="J28" s="769">
        <f t="shared" ca="1" si="9"/>
        <v>0</v>
      </c>
      <c r="K28" s="769">
        <f t="shared" ca="1" si="10"/>
        <v>0</v>
      </c>
      <c r="N28" s="1054" t="str">
        <f t="shared" ca="1" si="8"/>
        <v>##H</v>
      </c>
      <c r="P28" s="24" t="s">
        <v>944</v>
      </c>
      <c r="Q28" s="24" t="s">
        <v>945</v>
      </c>
      <c r="R28" s="24" t="s">
        <v>946</v>
      </c>
      <c r="S28" s="24" t="s">
        <v>947</v>
      </c>
      <c r="T28" s="24" t="s">
        <v>948</v>
      </c>
      <c r="U28" s="24" t="s">
        <v>949</v>
      </c>
      <c r="V28" s="24" t="s">
        <v>950</v>
      </c>
      <c r="W28" s="24" t="s">
        <v>951</v>
      </c>
      <c r="Y28" s="24" t="s">
        <v>51</v>
      </c>
    </row>
    <row r="29" spans="2:25" ht="15" hidden="1" customHeight="1">
      <c r="B29" s="762" t="s">
        <v>906</v>
      </c>
      <c r="C29" s="769">
        <f t="shared" ref="C29" ca="1" si="11">IFERROR(INDEX(INDIRECT(VLOOKUP($Y29,Source_Master,2,0),),MATCH(TEXT(P29,0),INDIRECT(VLOOKUP($Y29,Source_Master,4,0)),0),MATCH($J$1,INDIRECT(VLOOKUP($Y29,Source_Master,3,0),),0)),0)</f>
        <v>0</v>
      </c>
      <c r="D29" s="769">
        <f t="shared" ref="D29" ca="1" si="12">IFERROR(INDEX(INDIRECT(VLOOKUP($Y29,Source_Master,2,0),),MATCH(TEXT(Q29,0),INDIRECT(VLOOKUP($Y29,Source_Master,4,0)),0),MATCH($J$1,INDIRECT(VLOOKUP($Y29,Source_Master,3,0),),0)),0)</f>
        <v>0</v>
      </c>
      <c r="E29" s="769">
        <f t="shared" ref="E29" ca="1" si="13">IFERROR(INDEX(INDIRECT(VLOOKUP($Y29,Source_Master,2,0),),MATCH(TEXT(R29,0),INDIRECT(VLOOKUP($Y29,Source_Master,4,0)),0),MATCH($J$1,INDIRECT(VLOOKUP($Y29,Source_Master,3,0),),0)),0)</f>
        <v>0</v>
      </c>
      <c r="F29" s="769">
        <f t="shared" ref="F29" ca="1" si="14">IFERROR(INDEX(INDIRECT(VLOOKUP($Y29,Source_Master,2,0),),MATCH(TEXT(S29,0),INDIRECT(VLOOKUP($Y29,Source_Master,4,0)),0),MATCH($J$1,INDIRECT(VLOOKUP($Y29,Source_Master,3,0),),0)),0)</f>
        <v>0</v>
      </c>
      <c r="G29" s="769">
        <f t="shared" ref="G29" ca="1" si="15">IFERROR(INDEX(INDIRECT(VLOOKUP($Y29,Source_Master,2,0),),MATCH(TEXT(T29,0),INDIRECT(VLOOKUP($Y29,Source_Master,4,0)),0),MATCH($J$1,INDIRECT(VLOOKUP($Y29,Source_Master,3,0),),0)),0)</f>
        <v>0</v>
      </c>
      <c r="H29" s="769">
        <f t="shared" ref="H29" ca="1" si="16">IFERROR(INDEX(INDIRECT(VLOOKUP($Y29,Source_Master,2,0),),MATCH(TEXT(U29,0),INDIRECT(VLOOKUP($Y29,Source_Master,4,0)),0),MATCH($J$1,INDIRECT(VLOOKUP($Y29,Source_Master,3,0),),0)),0)</f>
        <v>0</v>
      </c>
      <c r="I29" s="769">
        <f t="shared" ref="I29" ca="1" si="17">IFERROR(INDEX(INDIRECT(VLOOKUP($Y29,Source_Master,2,0),),MATCH(TEXT(V29,0),INDIRECT(VLOOKUP($Y29,Source_Master,4,0)),0),MATCH($J$1,INDIRECT(VLOOKUP($Y29,Source_Master,3,0),),0)),0)</f>
        <v>0</v>
      </c>
      <c r="J29" s="769">
        <f t="shared" ref="J29" ca="1" si="18">IFERROR(INDEX(INDIRECT(VLOOKUP($Y29,Source_Master,2,0),),MATCH(TEXT(W29,0),INDIRECT(VLOOKUP($Y29,Source_Master,4,0)),0),MATCH($J$1,INDIRECT(VLOOKUP($Y29,Source_Master,3,0),),0)),0)</f>
        <v>0</v>
      </c>
      <c r="K29" s="769">
        <f t="shared" ref="K29" ca="1" si="19">SUM(C29:J29)</f>
        <v>0</v>
      </c>
      <c r="N29" s="1054" t="str">
        <f t="shared" ca="1" si="8"/>
        <v>##H</v>
      </c>
      <c r="P29" s="24" t="s">
        <v>952</v>
      </c>
      <c r="Q29" s="24" t="s">
        <v>953</v>
      </c>
      <c r="R29" s="24" t="s">
        <v>954</v>
      </c>
      <c r="S29" s="24" t="s">
        <v>955</v>
      </c>
      <c r="T29" s="24" t="s">
        <v>956</v>
      </c>
      <c r="U29" s="24" t="s">
        <v>957</v>
      </c>
      <c r="V29" s="24" t="s">
        <v>958</v>
      </c>
      <c r="W29" s="24" t="s">
        <v>959</v>
      </c>
      <c r="Y29" s="24" t="s">
        <v>51</v>
      </c>
    </row>
    <row r="30" spans="2:25" ht="15" hidden="1" customHeight="1">
      <c r="B30" s="762" t="s">
        <v>915</v>
      </c>
      <c r="C30" s="769">
        <f t="shared" ca="1" si="9"/>
        <v>0</v>
      </c>
      <c r="D30" s="769">
        <f t="shared" ca="1" si="9"/>
        <v>0</v>
      </c>
      <c r="E30" s="769">
        <f t="shared" ca="1" si="9"/>
        <v>0</v>
      </c>
      <c r="F30" s="769">
        <f t="shared" ca="1" si="9"/>
        <v>0</v>
      </c>
      <c r="G30" s="769">
        <f t="shared" ca="1" si="9"/>
        <v>0</v>
      </c>
      <c r="H30" s="769">
        <f t="shared" ca="1" si="9"/>
        <v>0</v>
      </c>
      <c r="I30" s="769">
        <f t="shared" ca="1" si="9"/>
        <v>0</v>
      </c>
      <c r="J30" s="769">
        <f t="shared" ca="1" si="9"/>
        <v>0</v>
      </c>
      <c r="K30" s="769">
        <f t="shared" ca="1" si="10"/>
        <v>0</v>
      </c>
      <c r="N30" s="1054" t="str">
        <f t="shared" ca="1" si="8"/>
        <v>##H</v>
      </c>
      <c r="P30" s="24" t="s">
        <v>960</v>
      </c>
      <c r="Q30" s="24" t="s">
        <v>961</v>
      </c>
      <c r="R30" s="24" t="s">
        <v>962</v>
      </c>
      <c r="S30" s="24" t="s">
        <v>963</v>
      </c>
      <c r="T30" s="24" t="s">
        <v>964</v>
      </c>
      <c r="U30" s="24" t="s">
        <v>965</v>
      </c>
      <c r="V30" s="24" t="s">
        <v>966</v>
      </c>
      <c r="W30" s="24" t="s">
        <v>967</v>
      </c>
      <c r="Y30" s="24" t="s">
        <v>51</v>
      </c>
    </row>
    <row r="31" spans="2:25" ht="15" hidden="1" customHeight="1">
      <c r="B31" s="762" t="s">
        <v>924</v>
      </c>
      <c r="C31" s="769">
        <f t="shared" ca="1" si="9"/>
        <v>0</v>
      </c>
      <c r="D31" s="769">
        <f t="shared" ca="1" si="9"/>
        <v>0</v>
      </c>
      <c r="E31" s="769">
        <f t="shared" ca="1" si="9"/>
        <v>0</v>
      </c>
      <c r="F31" s="769">
        <f t="shared" ca="1" si="9"/>
        <v>0</v>
      </c>
      <c r="G31" s="769">
        <f t="shared" ca="1" si="9"/>
        <v>0</v>
      </c>
      <c r="H31" s="769">
        <f t="shared" ca="1" si="9"/>
        <v>0</v>
      </c>
      <c r="I31" s="769">
        <f t="shared" ca="1" si="9"/>
        <v>0</v>
      </c>
      <c r="J31" s="769">
        <f t="shared" ca="1" si="9"/>
        <v>0</v>
      </c>
      <c r="K31" s="769">
        <f t="shared" ca="1" si="10"/>
        <v>0</v>
      </c>
      <c r="L31" s="647" t="s">
        <v>496</v>
      </c>
      <c r="N31" s="1054" t="str">
        <f t="shared" ca="1" si="8"/>
        <v>##H</v>
      </c>
      <c r="Y31" s="24" t="s">
        <v>51</v>
      </c>
    </row>
    <row r="32" spans="2:25" ht="15" customHeight="1">
      <c r="B32" s="768" t="e">
        <f ca="1">B15</f>
        <v>#NAME?</v>
      </c>
      <c r="C32" s="770">
        <f t="shared" ref="C32:J32" ca="1" si="20">-IFERROR(INDEX(INDIRECT(VLOOKUP($Y32,Source_Master,2,0),),MATCH(TEXT(P32,0),INDIRECT(VLOOKUP($Y32,Source_Master,4,0)),0),MATCH($J$1,INDIRECT(VLOOKUP($Y32,Source_Master,3,0),),0)),0)</f>
        <v>0</v>
      </c>
      <c r="D32" s="770">
        <f t="shared" ca="1" si="20"/>
        <v>0</v>
      </c>
      <c r="E32" s="770">
        <f t="shared" ca="1" si="20"/>
        <v>0</v>
      </c>
      <c r="F32" s="770">
        <f t="shared" ca="1" si="20"/>
        <v>0</v>
      </c>
      <c r="G32" s="770">
        <f t="shared" ca="1" si="20"/>
        <v>0</v>
      </c>
      <c r="H32" s="770">
        <f t="shared" ca="1" si="20"/>
        <v>0</v>
      </c>
      <c r="I32" s="770">
        <f t="shared" ca="1" si="20"/>
        <v>0</v>
      </c>
      <c r="J32" s="770">
        <f t="shared" ca="1" si="20"/>
        <v>0</v>
      </c>
      <c r="K32" s="770">
        <f ca="1">SUM(C32:J32)</f>
        <v>0</v>
      </c>
      <c r="L32" s="1125">
        <f ca="1">SUM(K26:K31)-K32</f>
        <v>0</v>
      </c>
      <c r="N32" s="1054" t="str">
        <f t="shared" ca="1" si="8"/>
        <v>##H</v>
      </c>
      <c r="P32" s="24" t="s">
        <v>926</v>
      </c>
      <c r="Q32" s="24" t="s">
        <v>927</v>
      </c>
      <c r="R32" s="24" t="s">
        <v>928</v>
      </c>
      <c r="S32" s="24" t="s">
        <v>929</v>
      </c>
      <c r="T32" s="24" t="s">
        <v>930</v>
      </c>
      <c r="U32" s="24" t="s">
        <v>931</v>
      </c>
      <c r="V32" s="24" t="s">
        <v>932</v>
      </c>
      <c r="W32" s="24" t="s">
        <v>933</v>
      </c>
      <c r="X32" s="24" t="s">
        <v>934</v>
      </c>
      <c r="Y32" s="24" t="s">
        <v>50</v>
      </c>
    </row>
    <row r="33" spans="1:25" ht="15" customHeight="1">
      <c r="B33" s="762"/>
      <c r="C33" s="763"/>
      <c r="D33" s="763"/>
      <c r="E33" s="763"/>
      <c r="F33" s="763"/>
      <c r="G33" s="763"/>
      <c r="H33" s="763"/>
      <c r="I33" s="763"/>
      <c r="J33" s="763"/>
      <c r="K33" s="763"/>
    </row>
    <row r="34" spans="1:25" ht="15" customHeight="1">
      <c r="B34" s="768" t="e">
        <f ca="1">B17</f>
        <v>#NAME?</v>
      </c>
      <c r="C34" s="771">
        <f ca="1">C32</f>
        <v>0</v>
      </c>
      <c r="D34" s="771">
        <f t="shared" ref="D34:J34" ca="1" si="21">D32</f>
        <v>0</v>
      </c>
      <c r="E34" s="771">
        <f t="shared" ca="1" si="21"/>
        <v>0</v>
      </c>
      <c r="F34" s="771">
        <f t="shared" ca="1" si="21"/>
        <v>0</v>
      </c>
      <c r="G34" s="771">
        <f t="shared" ca="1" si="21"/>
        <v>0</v>
      </c>
      <c r="H34" s="771">
        <f t="shared" ca="1" si="21"/>
        <v>0</v>
      </c>
      <c r="I34" s="771">
        <f t="shared" ca="1" si="21"/>
        <v>0</v>
      </c>
      <c r="J34" s="771">
        <f t="shared" ca="1" si="21"/>
        <v>0</v>
      </c>
      <c r="K34" s="771">
        <f t="shared" ref="K34:K39" ca="1" si="22">SUM(C34:J34)</f>
        <v>0</v>
      </c>
      <c r="N34" s="1054" t="str">
        <f t="shared" ca="1" si="8"/>
        <v>##H</v>
      </c>
    </row>
    <row r="35" spans="1:25" ht="15" hidden="1" customHeight="1">
      <c r="B35" s="762" t="s">
        <v>935</v>
      </c>
      <c r="C35" s="769">
        <f t="shared" ref="C35:J39" ca="1" si="23">IFERROR(INDEX(INDIRECT(VLOOKUP($Y35,Source_Master,2,0),),MATCH(TEXT(P35,0),INDIRECT(VLOOKUP($Y35,Source_Master,4,0)),0),MATCH($I$1,INDIRECT(VLOOKUP($Y35,Source_Master,3,0),),0)),0)</f>
        <v>0</v>
      </c>
      <c r="D35" s="769">
        <f t="shared" ca="1" si="23"/>
        <v>0</v>
      </c>
      <c r="E35" s="769">
        <f t="shared" ca="1" si="23"/>
        <v>0</v>
      </c>
      <c r="F35" s="769">
        <f t="shared" ca="1" si="23"/>
        <v>0</v>
      </c>
      <c r="G35" s="769">
        <f t="shared" ca="1" si="23"/>
        <v>0</v>
      </c>
      <c r="H35" s="769">
        <f t="shared" ca="1" si="23"/>
        <v>0</v>
      </c>
      <c r="I35" s="769">
        <f t="shared" ca="1" si="23"/>
        <v>0</v>
      </c>
      <c r="J35" s="769">
        <f t="shared" ca="1" si="23"/>
        <v>0</v>
      </c>
      <c r="K35" s="769">
        <f t="shared" ca="1" si="22"/>
        <v>0</v>
      </c>
      <c r="N35" s="1054" t="str">
        <f t="shared" ca="1" si="8"/>
        <v>##H</v>
      </c>
      <c r="P35" s="24" t="s">
        <v>936</v>
      </c>
      <c r="Q35" s="24" t="s">
        <v>937</v>
      </c>
      <c r="R35" s="24" t="s">
        <v>938</v>
      </c>
      <c r="S35" s="24" t="s">
        <v>939</v>
      </c>
      <c r="T35" s="24" t="s">
        <v>940</v>
      </c>
      <c r="U35" s="24" t="s">
        <v>941</v>
      </c>
      <c r="V35" s="24" t="s">
        <v>942</v>
      </c>
      <c r="W35" s="24" t="s">
        <v>943</v>
      </c>
      <c r="Y35" s="24" t="s">
        <v>51</v>
      </c>
    </row>
    <row r="36" spans="1:25" ht="15" hidden="1" customHeight="1">
      <c r="B36" s="762" t="s">
        <v>897</v>
      </c>
      <c r="C36" s="769">
        <f t="shared" ca="1" si="23"/>
        <v>0</v>
      </c>
      <c r="D36" s="769">
        <f t="shared" ca="1" si="23"/>
        <v>0</v>
      </c>
      <c r="E36" s="769">
        <f t="shared" ca="1" si="23"/>
        <v>0</v>
      </c>
      <c r="F36" s="769">
        <f t="shared" ca="1" si="23"/>
        <v>0</v>
      </c>
      <c r="G36" s="769">
        <f t="shared" ca="1" si="23"/>
        <v>0</v>
      </c>
      <c r="H36" s="769">
        <f t="shared" ca="1" si="23"/>
        <v>0</v>
      </c>
      <c r="I36" s="769">
        <f t="shared" ca="1" si="23"/>
        <v>0</v>
      </c>
      <c r="J36" s="769">
        <f t="shared" ca="1" si="23"/>
        <v>0</v>
      </c>
      <c r="K36" s="769">
        <f t="shared" ca="1" si="22"/>
        <v>0</v>
      </c>
      <c r="N36" s="1054" t="str">
        <f t="shared" ca="1" si="8"/>
        <v>##H</v>
      </c>
      <c r="P36" s="24" t="s">
        <v>944</v>
      </c>
      <c r="Q36" s="24" t="s">
        <v>945</v>
      </c>
      <c r="R36" s="24" t="s">
        <v>946</v>
      </c>
      <c r="S36" s="24" t="s">
        <v>947</v>
      </c>
      <c r="T36" s="24" t="s">
        <v>948</v>
      </c>
      <c r="U36" s="24" t="s">
        <v>949</v>
      </c>
      <c r="V36" s="24" t="s">
        <v>950</v>
      </c>
      <c r="W36" s="24" t="s">
        <v>951</v>
      </c>
      <c r="Y36" s="24" t="s">
        <v>51</v>
      </c>
    </row>
    <row r="37" spans="1:25" ht="15" hidden="1" customHeight="1">
      <c r="B37" s="762" t="s">
        <v>906</v>
      </c>
      <c r="C37" s="769">
        <f t="shared" ca="1" si="23"/>
        <v>0</v>
      </c>
      <c r="D37" s="769">
        <f t="shared" ca="1" si="23"/>
        <v>0</v>
      </c>
      <c r="E37" s="769">
        <f t="shared" ca="1" si="23"/>
        <v>0</v>
      </c>
      <c r="F37" s="769">
        <f t="shared" ca="1" si="23"/>
        <v>0</v>
      </c>
      <c r="G37" s="769">
        <f t="shared" ca="1" si="23"/>
        <v>0</v>
      </c>
      <c r="H37" s="769">
        <f t="shared" ca="1" si="23"/>
        <v>0</v>
      </c>
      <c r="I37" s="769">
        <f t="shared" ca="1" si="23"/>
        <v>0</v>
      </c>
      <c r="J37" s="769">
        <f t="shared" ca="1" si="23"/>
        <v>0</v>
      </c>
      <c r="K37" s="769">
        <f t="shared" ca="1" si="22"/>
        <v>0</v>
      </c>
      <c r="N37" s="1054" t="str">
        <f t="shared" ca="1" si="8"/>
        <v>##H</v>
      </c>
      <c r="P37" s="24" t="s">
        <v>952</v>
      </c>
      <c r="Q37" s="24" t="s">
        <v>953</v>
      </c>
      <c r="R37" s="24" t="s">
        <v>954</v>
      </c>
      <c r="S37" s="24" t="s">
        <v>955</v>
      </c>
      <c r="T37" s="24" t="s">
        <v>956</v>
      </c>
      <c r="U37" s="24" t="s">
        <v>957</v>
      </c>
      <c r="V37" s="24" t="s">
        <v>958</v>
      </c>
      <c r="W37" s="24" t="s">
        <v>959</v>
      </c>
      <c r="Y37" s="24" t="s">
        <v>51</v>
      </c>
    </row>
    <row r="38" spans="1:25" ht="15" hidden="1" customHeight="1">
      <c r="B38" s="762" t="s">
        <v>915</v>
      </c>
      <c r="C38" s="769">
        <f t="shared" ca="1" si="23"/>
        <v>0</v>
      </c>
      <c r="D38" s="769">
        <f t="shared" ca="1" si="23"/>
        <v>0</v>
      </c>
      <c r="E38" s="769">
        <f t="shared" ca="1" si="23"/>
        <v>0</v>
      </c>
      <c r="F38" s="769">
        <f t="shared" ca="1" si="23"/>
        <v>0</v>
      </c>
      <c r="G38" s="769">
        <f t="shared" ca="1" si="23"/>
        <v>0</v>
      </c>
      <c r="H38" s="769">
        <f t="shared" ca="1" si="23"/>
        <v>0</v>
      </c>
      <c r="I38" s="769">
        <f t="shared" ca="1" si="23"/>
        <v>0</v>
      </c>
      <c r="J38" s="769">
        <f t="shared" ca="1" si="23"/>
        <v>0</v>
      </c>
      <c r="K38" s="769">
        <f t="shared" ca="1" si="22"/>
        <v>0</v>
      </c>
      <c r="N38" s="1054" t="str">
        <f t="shared" ca="1" si="8"/>
        <v>##H</v>
      </c>
      <c r="P38" s="24" t="s">
        <v>960</v>
      </c>
      <c r="Q38" s="24" t="s">
        <v>961</v>
      </c>
      <c r="R38" s="24" t="s">
        <v>962</v>
      </c>
      <c r="S38" s="24" t="s">
        <v>963</v>
      </c>
      <c r="T38" s="24" t="s">
        <v>964</v>
      </c>
      <c r="U38" s="24" t="s">
        <v>965</v>
      </c>
      <c r="V38" s="24" t="s">
        <v>966</v>
      </c>
      <c r="W38" s="24" t="s">
        <v>967</v>
      </c>
      <c r="Y38" s="24" t="s">
        <v>51</v>
      </c>
    </row>
    <row r="39" spans="1:25" ht="15" hidden="1" customHeight="1">
      <c r="B39" s="762" t="s">
        <v>924</v>
      </c>
      <c r="C39" s="769">
        <f t="shared" ca="1" si="23"/>
        <v>0</v>
      </c>
      <c r="D39" s="769">
        <f t="shared" ca="1" si="23"/>
        <v>0</v>
      </c>
      <c r="E39" s="769">
        <f t="shared" ca="1" si="23"/>
        <v>0</v>
      </c>
      <c r="F39" s="769">
        <f t="shared" ca="1" si="23"/>
        <v>0</v>
      </c>
      <c r="G39" s="769">
        <f t="shared" ca="1" si="23"/>
        <v>0</v>
      </c>
      <c r="H39" s="769">
        <f t="shared" ca="1" si="23"/>
        <v>0</v>
      </c>
      <c r="I39" s="769">
        <f t="shared" ca="1" si="23"/>
        <v>0</v>
      </c>
      <c r="J39" s="769">
        <f t="shared" ca="1" si="23"/>
        <v>0</v>
      </c>
      <c r="K39" s="769">
        <f t="shared" ca="1" si="22"/>
        <v>0</v>
      </c>
      <c r="L39" s="647" t="s">
        <v>496</v>
      </c>
      <c r="N39" s="1054" t="str">
        <f t="shared" ca="1" si="8"/>
        <v>##H</v>
      </c>
      <c r="Y39" s="24" t="s">
        <v>51</v>
      </c>
    </row>
    <row r="40" spans="1:25" ht="15" customHeight="1">
      <c r="B40" s="768" t="e">
        <f ca="1">B23</f>
        <v>#NAME?</v>
      </c>
      <c r="C40" s="772">
        <f t="shared" ref="C40:J40" ca="1" si="24">-IFERROR(INDEX(INDIRECT(VLOOKUP($Y40,Source_Master,2,0),),MATCH(TEXT(P40,0),INDIRECT(VLOOKUP($Y40,Source_Master,4,0)),0),MATCH($I$1,INDIRECT(VLOOKUP($Y40,Source_Master,3,0),),0)),0)</f>
        <v>0</v>
      </c>
      <c r="D40" s="772">
        <f t="shared" ca="1" si="24"/>
        <v>0</v>
      </c>
      <c r="E40" s="772">
        <f t="shared" ca="1" si="24"/>
        <v>0</v>
      </c>
      <c r="F40" s="772">
        <f t="shared" ca="1" si="24"/>
        <v>0</v>
      </c>
      <c r="G40" s="772">
        <f t="shared" ca="1" si="24"/>
        <v>0</v>
      </c>
      <c r="H40" s="772">
        <f t="shared" ca="1" si="24"/>
        <v>0</v>
      </c>
      <c r="I40" s="772">
        <f t="shared" ca="1" si="24"/>
        <v>0</v>
      </c>
      <c r="J40" s="772">
        <f t="shared" ca="1" si="24"/>
        <v>0</v>
      </c>
      <c r="K40" s="772">
        <f ca="1">SUM(C40:J40)</f>
        <v>0</v>
      </c>
      <c r="L40" s="1125">
        <f ca="1">SUM(K34:K39)-K40</f>
        <v>0</v>
      </c>
      <c r="N40" s="1054" t="str">
        <f t="shared" ca="1" si="8"/>
        <v>##H</v>
      </c>
      <c r="P40" s="24" t="s">
        <v>926</v>
      </c>
      <c r="Q40" s="24" t="s">
        <v>927</v>
      </c>
      <c r="R40" s="24" t="s">
        <v>928</v>
      </c>
      <c r="S40" s="24" t="s">
        <v>929</v>
      </c>
      <c r="T40" s="24" t="s">
        <v>930</v>
      </c>
      <c r="U40" s="24" t="s">
        <v>931</v>
      </c>
      <c r="V40" s="24" t="s">
        <v>932</v>
      </c>
      <c r="W40" s="24" t="s">
        <v>933</v>
      </c>
      <c r="X40" s="24" t="s">
        <v>934</v>
      </c>
      <c r="Y40" s="24" t="s">
        <v>50</v>
      </c>
    </row>
    <row r="41" spans="1:25" ht="15" customHeight="1">
      <c r="B41" s="762"/>
      <c r="C41" s="764"/>
      <c r="D41" s="764"/>
      <c r="E41" s="764"/>
      <c r="F41" s="764"/>
      <c r="G41" s="764"/>
      <c r="H41" s="764"/>
      <c r="I41" s="764"/>
      <c r="J41" s="764"/>
      <c r="K41" s="764"/>
    </row>
    <row r="42" spans="1:25" ht="15" customHeight="1">
      <c r="B42" s="768" t="e">
        <f ca="1">NCV_PY</f>
        <v>#NAME?</v>
      </c>
      <c r="C42" s="770">
        <f ca="1">C15-C32</f>
        <v>0</v>
      </c>
      <c r="D42" s="770">
        <f t="shared" ref="D42:J42" ca="1" si="25">D15-D32</f>
        <v>0</v>
      </c>
      <c r="E42" s="770">
        <f t="shared" ca="1" si="25"/>
        <v>0</v>
      </c>
      <c r="F42" s="770">
        <f t="shared" ca="1" si="25"/>
        <v>0</v>
      </c>
      <c r="G42" s="770">
        <f t="shared" ca="1" si="25"/>
        <v>0</v>
      </c>
      <c r="H42" s="770">
        <f t="shared" ca="1" si="25"/>
        <v>0</v>
      </c>
      <c r="I42" s="770">
        <f t="shared" ca="1" si="25"/>
        <v>0</v>
      </c>
      <c r="J42" s="770">
        <f t="shared" ca="1" si="25"/>
        <v>0</v>
      </c>
      <c r="K42" s="770">
        <f ca="1">SUM(C42:J42)</f>
        <v>0</v>
      </c>
      <c r="N42" s="1054" t="str">
        <f t="shared" ca="1" si="8"/>
        <v>##H</v>
      </c>
    </row>
    <row r="43" spans="1:25" ht="15" customHeight="1">
      <c r="B43" s="768" t="e">
        <f ca="1">NCV_CY</f>
        <v>#NAME?</v>
      </c>
      <c r="C43" s="772">
        <f ca="1">C23-C40</f>
        <v>0</v>
      </c>
      <c r="D43" s="772">
        <f t="shared" ref="D43:J43" ca="1" si="26">D23-D40</f>
        <v>0</v>
      </c>
      <c r="E43" s="772">
        <f t="shared" ca="1" si="26"/>
        <v>0</v>
      </c>
      <c r="F43" s="772">
        <f t="shared" ca="1" si="26"/>
        <v>0</v>
      </c>
      <c r="G43" s="772">
        <f t="shared" ca="1" si="26"/>
        <v>0</v>
      </c>
      <c r="H43" s="772">
        <f t="shared" ca="1" si="26"/>
        <v>0</v>
      </c>
      <c r="I43" s="772">
        <f t="shared" ca="1" si="26"/>
        <v>0</v>
      </c>
      <c r="J43" s="772">
        <f t="shared" ca="1" si="26"/>
        <v>0</v>
      </c>
      <c r="K43" s="772">
        <f ca="1">SUM(C43:J43)</f>
        <v>0</v>
      </c>
      <c r="N43" s="1054" t="str">
        <f t="shared" ca="1" si="8"/>
        <v>##H</v>
      </c>
    </row>
    <row r="45" spans="1:25" ht="38.65" customHeight="1">
      <c r="A45" s="1064">
        <f>NTA!F11</f>
        <v>4.0999999999999996</v>
      </c>
      <c r="B45" s="1305" t="s">
        <v>968</v>
      </c>
      <c r="C45" s="1305"/>
      <c r="D45" s="1305"/>
      <c r="E45" s="1305"/>
      <c r="F45" s="1305"/>
      <c r="G45" s="1305"/>
      <c r="H45" s="1305"/>
      <c r="I45" s="1305"/>
      <c r="J45" s="1305"/>
      <c r="K45" s="1305"/>
      <c r="L45" s="765" t="s">
        <v>969</v>
      </c>
      <c r="M45" s="766"/>
      <c r="N45" s="766"/>
      <c r="O45" s="766"/>
    </row>
    <row r="46" spans="1:25">
      <c r="B46" s="1246"/>
      <c r="C46" s="1246"/>
      <c r="D46" s="1246"/>
      <c r="E46" s="1246"/>
      <c r="F46" s="1246"/>
      <c r="G46" s="1246"/>
      <c r="H46" s="1246"/>
      <c r="I46" s="1246"/>
      <c r="J46" s="1246"/>
      <c r="K46" s="1246"/>
      <c r="L46" s="766"/>
      <c r="M46" s="766"/>
      <c r="N46" s="766"/>
      <c r="O46" s="766"/>
    </row>
    <row r="47" spans="1:25" ht="29.1" customHeight="1">
      <c r="B47" s="1305" t="s">
        <v>970</v>
      </c>
      <c r="C47" s="1305"/>
      <c r="D47" s="1305"/>
      <c r="E47" s="1305"/>
      <c r="F47" s="1305"/>
      <c r="G47" s="1305"/>
      <c r="H47" s="1305"/>
      <c r="I47" s="1305"/>
      <c r="J47" s="1305"/>
      <c r="K47" s="1305"/>
      <c r="L47" s="765" t="s">
        <v>169</v>
      </c>
      <c r="M47" s="766"/>
      <c r="N47" s="766"/>
      <c r="O47" s="766"/>
    </row>
    <row r="48" spans="1:25">
      <c r="B48" s="1246"/>
      <c r="C48" s="1246"/>
      <c r="D48" s="1246"/>
      <c r="E48" s="1246"/>
      <c r="F48" s="1246"/>
      <c r="G48" s="1246"/>
      <c r="H48" s="1246"/>
      <c r="I48" s="1246"/>
      <c r="J48" s="1246"/>
      <c r="K48" s="1246"/>
      <c r="L48" s="766"/>
      <c r="M48" s="766"/>
      <c r="N48" s="766"/>
      <c r="O48" s="766"/>
    </row>
    <row r="49" spans="2:15" ht="54.6" customHeight="1">
      <c r="B49" s="1305" t="s">
        <v>971</v>
      </c>
      <c r="C49" s="1305"/>
      <c r="D49" s="1305"/>
      <c r="E49" s="1305"/>
      <c r="F49" s="1305"/>
      <c r="G49" s="1305"/>
      <c r="H49" s="1305"/>
      <c r="I49" s="1305"/>
      <c r="J49" s="1305"/>
      <c r="K49" s="1305"/>
      <c r="L49" s="765" t="s">
        <v>172</v>
      </c>
      <c r="M49" s="766"/>
      <c r="N49" s="766"/>
      <c r="O49" s="766"/>
    </row>
    <row r="50" spans="2:15" ht="14.1" customHeight="1">
      <c r="B50" s="253"/>
      <c r="C50" s="253"/>
      <c r="D50" s="253"/>
      <c r="E50" s="253"/>
      <c r="F50" s="253"/>
      <c r="G50" s="253"/>
      <c r="H50" s="253"/>
      <c r="I50" s="253"/>
      <c r="J50" s="253"/>
      <c r="K50" s="253"/>
      <c r="L50" s="765"/>
      <c r="M50" s="766"/>
      <c r="N50" s="766"/>
      <c r="O50" s="766"/>
    </row>
    <row r="51" spans="2:15" ht="27" customHeight="1">
      <c r="B51" s="1305" t="s">
        <v>972</v>
      </c>
      <c r="C51" s="1305"/>
      <c r="D51" s="1305"/>
      <c r="E51" s="1305"/>
      <c r="F51" s="1305"/>
      <c r="G51" s="1305"/>
      <c r="H51" s="1305"/>
      <c r="I51" s="1305"/>
      <c r="J51" s="1305"/>
      <c r="K51" s="1305"/>
      <c r="L51" s="765" t="s">
        <v>119</v>
      </c>
      <c r="M51" s="765" t="s">
        <v>109</v>
      </c>
      <c r="N51" s="765" t="s">
        <v>129</v>
      </c>
      <c r="O51" s="765" t="s">
        <v>99</v>
      </c>
    </row>
    <row r="55" spans="2:15">
      <c r="B55" s="22" t="s">
        <v>973</v>
      </c>
    </row>
    <row r="56" spans="2:15">
      <c r="B56" s="22"/>
    </row>
    <row r="57" spans="2:15">
      <c r="B57" s="767" t="s">
        <v>30</v>
      </c>
    </row>
    <row r="58" spans="2:15">
      <c r="B58" s="647" t="s">
        <v>974</v>
      </c>
      <c r="C58" s="1126">
        <f t="shared" ref="C58:K58" ca="1" si="27">C23-SUM(C17:C22)</f>
        <v>0</v>
      </c>
      <c r="D58" s="1126">
        <f t="shared" ca="1" si="27"/>
        <v>0</v>
      </c>
      <c r="E58" s="1126">
        <f t="shared" ca="1" si="27"/>
        <v>0</v>
      </c>
      <c r="F58" s="1126">
        <f t="shared" ca="1" si="27"/>
        <v>0</v>
      </c>
      <c r="G58" s="1126">
        <f t="shared" ca="1" si="27"/>
        <v>0</v>
      </c>
      <c r="H58" s="1126">
        <f t="shared" ca="1" si="27"/>
        <v>0</v>
      </c>
      <c r="I58" s="1126">
        <f t="shared" ca="1" si="27"/>
        <v>0</v>
      </c>
      <c r="J58" s="1126">
        <f t="shared" ca="1" si="27"/>
        <v>0</v>
      </c>
      <c r="K58" s="1126">
        <f t="shared" ca="1" si="27"/>
        <v>0</v>
      </c>
    </row>
    <row r="59" spans="2:15">
      <c r="B59" s="647" t="s">
        <v>975</v>
      </c>
      <c r="C59" s="1126">
        <f ca="1">C40-SUM(C34:C39)</f>
        <v>0</v>
      </c>
      <c r="D59" s="1126">
        <f t="shared" ref="D59:J59" ca="1" si="28">D40-SUM(D34:D39)</f>
        <v>0</v>
      </c>
      <c r="E59" s="1126">
        <f t="shared" ca="1" si="28"/>
        <v>0</v>
      </c>
      <c r="F59" s="1126">
        <f t="shared" ca="1" si="28"/>
        <v>0</v>
      </c>
      <c r="G59" s="1126">
        <f t="shared" ca="1" si="28"/>
        <v>0</v>
      </c>
      <c r="H59" s="1126">
        <f t="shared" ca="1" si="28"/>
        <v>0</v>
      </c>
      <c r="I59" s="1126">
        <f t="shared" ca="1" si="28"/>
        <v>0</v>
      </c>
      <c r="J59" s="1126">
        <f t="shared" ca="1" si="28"/>
        <v>0</v>
      </c>
      <c r="K59" s="1126">
        <f t="shared" ref="K59" ca="1" si="29">K40-SUM(K34:K39)</f>
        <v>0</v>
      </c>
    </row>
    <row r="60" spans="2:15">
      <c r="C60" s="25"/>
      <c r="D60" s="25"/>
      <c r="E60" s="25"/>
      <c r="F60" s="25"/>
      <c r="G60" s="25"/>
      <c r="H60" s="25"/>
      <c r="I60" s="25"/>
      <c r="J60" s="25"/>
      <c r="K60" s="25"/>
    </row>
    <row r="61" spans="2:15">
      <c r="B61" s="767" t="s">
        <v>31</v>
      </c>
      <c r="C61" s="25"/>
      <c r="D61" s="25"/>
      <c r="E61" s="25"/>
      <c r="F61" s="25"/>
      <c r="G61" s="25"/>
      <c r="H61" s="25"/>
      <c r="I61" s="25"/>
      <c r="J61" s="25"/>
      <c r="K61" s="25"/>
    </row>
    <row r="62" spans="2:15">
      <c r="B62" s="647" t="s">
        <v>974</v>
      </c>
      <c r="C62" s="1126">
        <f ca="1">C15-SUM(C9:C14)</f>
        <v>0</v>
      </c>
      <c r="D62" s="1126">
        <f t="shared" ref="D62:J62" ca="1" si="30">D15-SUM(D9:D14)</f>
        <v>0</v>
      </c>
      <c r="E62" s="1126">
        <f t="shared" ca="1" si="30"/>
        <v>0</v>
      </c>
      <c r="F62" s="1126">
        <f t="shared" ca="1" si="30"/>
        <v>0</v>
      </c>
      <c r="G62" s="1126">
        <f t="shared" ca="1" si="30"/>
        <v>0</v>
      </c>
      <c r="H62" s="1126">
        <f t="shared" ca="1" si="30"/>
        <v>0</v>
      </c>
      <c r="I62" s="1126">
        <f t="shared" ca="1" si="30"/>
        <v>0</v>
      </c>
      <c r="J62" s="1126">
        <f t="shared" ca="1" si="30"/>
        <v>0</v>
      </c>
      <c r="K62" s="1126">
        <f t="shared" ref="K62" ca="1" si="31">K15-SUM(K9:K14)</f>
        <v>0</v>
      </c>
    </row>
    <row r="63" spans="2:15">
      <c r="B63" s="647" t="s">
        <v>975</v>
      </c>
      <c r="C63" s="1126">
        <f ca="1">C32-SUM(C26:C31)</f>
        <v>0</v>
      </c>
      <c r="D63" s="1126">
        <f t="shared" ref="D63:J63" ca="1" si="32">D32-SUM(D26:D31)</f>
        <v>0</v>
      </c>
      <c r="E63" s="1126">
        <f t="shared" ca="1" si="32"/>
        <v>0</v>
      </c>
      <c r="F63" s="1126">
        <f t="shared" ca="1" si="32"/>
        <v>0</v>
      </c>
      <c r="G63" s="1126">
        <f t="shared" ca="1" si="32"/>
        <v>0</v>
      </c>
      <c r="H63" s="1126">
        <f t="shared" ca="1" si="32"/>
        <v>0</v>
      </c>
      <c r="I63" s="1126">
        <f t="shared" ca="1" si="32"/>
        <v>0</v>
      </c>
      <c r="J63" s="1126">
        <f t="shared" ca="1" si="32"/>
        <v>0</v>
      </c>
      <c r="K63" s="1126">
        <f t="shared" ref="K63" ca="1" si="33">K32-SUM(K26:K31)</f>
        <v>0</v>
      </c>
    </row>
  </sheetData>
  <sheetProtection algorithmName="SHA-512" hashValue="t3C8Ir5GJ2pQE65ECyFYE9NOgzc21JP6Yg9BI62za9Azbi7hnnSgPRChUSE+mAkjvphIfjvIk/kM/NX17up+yg==" saltValue="s2JaM4h7o9NiMFW1cKCe6A==" spinCount="100000" sheet="1" objects="1" scenarios="1"/>
  <mergeCells count="4">
    <mergeCell ref="B45:K45"/>
    <mergeCell ref="B47:K47"/>
    <mergeCell ref="B49:K49"/>
    <mergeCell ref="B51:K51"/>
  </mergeCells>
  <phoneticPr fontId="43" type="noConversion"/>
  <pageMargins left="0.11811023622047245" right="0.27559055118110237" top="0.74803149606299213" bottom="0.74803149606299213" header="0.31496062992125984" footer="0.31496062992125984"/>
  <pageSetup scale="50"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BB5B61-FDAC-461C-8006-648C4A316CA4}">
          <x14:formula1>
            <xm:f>'Master Sheet'!$C$37:$C$41</xm:f>
          </x14:formula1>
          <xm:sqref>Y9:Y40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EFC07-98F7-4364-B7FA-9EB7FA266D89}">
  <sheetPr codeName="Sheet20">
    <tabColor theme="5" tint="0.59999389629810485"/>
    <pageSetUpPr fitToPage="1"/>
  </sheetPr>
  <dimension ref="A1:P63"/>
  <sheetViews>
    <sheetView showGridLines="0" view="pageBreakPreview" zoomScaleNormal="100" zoomScaleSheetLayoutView="100" workbookViewId="0">
      <pane xSplit="2" ySplit="8" topLeftCell="C9" activePane="bottomRight" state="frozen"/>
      <selection pane="bottomRight" activeCell="A49" sqref="A49:XFD62"/>
      <selection pane="bottomLeft" activeCell="A6" sqref="A6"/>
      <selection pane="topRight" activeCell="C1" sqref="C1"/>
    </sheetView>
  </sheetViews>
  <sheetFormatPr defaultColWidth="8.85546875" defaultRowHeight="13.15" outlineLevelRow="1" outlineLevelCol="1"/>
  <cols>
    <col min="1" max="1" customWidth="true" style="2" width="2.7109375"/>
    <col min="2" max="2" customWidth="true" style="2" width="43.28515625"/>
    <col min="3" max="6" customWidth="true" style="2" width="21.7109375"/>
    <col min="7" max="7" customWidth="true" style="2" width="3.42578125"/>
    <col min="8" max="8" customWidth="true" hidden="true" style="2" width="15.7109375"/>
    <col min="9" max="9" customWidth="true" style="2" width="8.42578125"/>
    <col min="10" max="11" style="2" width="8.85546875"/>
    <col min="12" max="15" customWidth="true" hidden="true" style="24" width="14.7109375" outlineLevel="1"/>
    <col min="16" max="16" customWidth="true" hidden="true" style="24" width="9.28515625" outlineLevel="1"/>
    <col min="17" max="17" style="2" width="8.85546875" collapsed="true"/>
    <col min="18" max="16384" style="2" width="8.85546875"/>
  </cols>
  <sheetData>
    <row r="1" spans="1:16" hidden="1" outlineLevel="1">
      <c r="D1" s="1083" t="str">
        <f>BS!C1</f>
        <v>7756|001|INR|Actual|Standalone</v>
      </c>
      <c r="E1" s="1083" t="str">
        <f>BS!D1</f>
        <v>7756|002|INR|Actual|Standalone</v>
      </c>
      <c r="F1" s="1083" t="str">
        <f>BS!E1</f>
        <v>7756|003|INR|Actual|Standalone</v>
      </c>
      <c r="J1" s="2" t="s">
        <v>492</v>
      </c>
    </row>
    <row r="2" spans="1:16" hidden="1" outlineLevel="1"/>
    <row r="3" spans="1:16" hidden="1" outlineLevel="1"/>
    <row r="4" spans="1:16" ht="17.45" collapsed="1">
      <c r="A4" s="1077" t="e">
        <f ca="1">Company</f>
        <v>#NAME?</v>
      </c>
      <c r="B4" s="773"/>
    </row>
    <row r="5" spans="1:16" ht="15.6">
      <c r="A5" s="1078" t="e">
        <f ca="1">Note_Head</f>
        <v>#NAME?</v>
      </c>
      <c r="B5" s="1"/>
    </row>
    <row r="6" spans="1:16" ht="15.6">
      <c r="B6" s="1"/>
    </row>
    <row r="7" spans="1:16" ht="15" customHeight="1">
      <c r="A7" s="1122">
        <f>NTA!F12</f>
        <v>5</v>
      </c>
      <c r="B7" s="1123" t="str">
        <f>NTA!C12</f>
        <v>Right to Use Assets</v>
      </c>
      <c r="F7" s="1124" t="str">
        <f>'Master Sheet'!C65</f>
        <v>(Amount in INR)</v>
      </c>
    </row>
    <row r="8" spans="1:16" ht="26.45">
      <c r="B8" s="774" t="s">
        <v>500</v>
      </c>
      <c r="C8" s="775" t="s">
        <v>874</v>
      </c>
      <c r="D8" s="775" t="s">
        <v>876</v>
      </c>
      <c r="E8" s="775" t="s">
        <v>976</v>
      </c>
      <c r="F8" s="776" t="s">
        <v>246</v>
      </c>
      <c r="L8" s="31" t="s">
        <v>874</v>
      </c>
      <c r="M8" s="31" t="s">
        <v>876</v>
      </c>
      <c r="N8" s="31" t="s">
        <v>976</v>
      </c>
      <c r="O8" s="31" t="s">
        <v>246</v>
      </c>
    </row>
    <row r="9" spans="1:16" ht="15" customHeight="1">
      <c r="B9" s="777" t="s">
        <v>878</v>
      </c>
      <c r="C9" s="693"/>
      <c r="D9" s="693"/>
      <c r="E9" s="693"/>
      <c r="F9" s="778"/>
    </row>
    <row r="10" spans="1:16" ht="15" hidden="1" customHeight="1">
      <c r="B10" s="1127" t="e">
        <f ca="1">PPE_PVS_OP_BAL</f>
        <v>#NAME?</v>
      </c>
      <c r="C10" s="786">
        <f ca="1">IFERROR(INDEX(INDIRECT(VLOOKUP($P10,Source_Master,2,0),),MATCH(TEXT(L10,0),INDIRECT(VLOOKUP($P10,Source_Master,4,0)),0),MATCH($F$1,INDIRECT(VLOOKUP($P10,Source_Master,3,0),),0)),0)</f>
        <v>0</v>
      </c>
      <c r="D10" s="786">
        <f ca="1">IFERROR(INDEX(INDIRECT(VLOOKUP($P10,Source_Master,2,0),),MATCH(TEXT(M10,0),INDIRECT(VLOOKUP($P10,Source_Master,4,0)),0),MATCH($F$1,INDIRECT(VLOOKUP($P10,Source_Master,3,0),),0)),0)</f>
        <v>0</v>
      </c>
      <c r="E10" s="786">
        <f ca="1">IFERROR(INDEX(INDIRECT(VLOOKUP($P10,Source_Master,2,0),),MATCH(TEXT(N10,0),INDIRECT(VLOOKUP($P10,Source_Master,4,0)),0),MATCH($F$1,INDIRECT(VLOOKUP($P10,Source_Master,3,0),),0)),0)</f>
        <v>0</v>
      </c>
      <c r="F10" s="787">
        <f ca="1">SUM(C10:E10)</f>
        <v>0</v>
      </c>
      <c r="J10" s="1054" t="str">
        <f ca="1">IF(AND(C10=0,D10=0,E10=0),"##H","")</f>
        <v>##H</v>
      </c>
      <c r="L10" s="24" t="s">
        <v>977</v>
      </c>
      <c r="M10" s="24" t="s">
        <v>978</v>
      </c>
      <c r="N10" s="24" t="s">
        <v>979</v>
      </c>
      <c r="O10" s="24" t="s">
        <v>980</v>
      </c>
      <c r="P10" s="24" t="s">
        <v>50</v>
      </c>
    </row>
    <row r="11" spans="1:16" ht="15" hidden="1" customHeight="1">
      <c r="B11" s="781" t="s">
        <v>888</v>
      </c>
      <c r="C11" s="786">
        <f t="shared" ref="C11:E16" ca="1" si="0">IFERROR(INDEX(INDIRECT(VLOOKUP($P11,Source_Master,2,0),),MATCH(TEXT(L11,0),INDIRECT(VLOOKUP($P11,Source_Master,4,0)),0),MATCH($E$1,INDIRECT(VLOOKUP($P11,Source_Master,3,0),),0)),0)</f>
        <v>0</v>
      </c>
      <c r="D11" s="786">
        <f t="shared" ca="1" si="0"/>
        <v>0</v>
      </c>
      <c r="E11" s="786">
        <f t="shared" ca="1" si="0"/>
        <v>0</v>
      </c>
      <c r="F11" s="787">
        <f t="shared" ref="F11:F15" ca="1" si="1">SUM(C11:E11)</f>
        <v>0</v>
      </c>
      <c r="J11" s="1054" t="str">
        <f t="shared" ref="J11:J24" ca="1" si="2">IF(AND(C11=0,D11=0,E11=0),"##H","")</f>
        <v>##H</v>
      </c>
      <c r="L11" s="24" t="s">
        <v>981</v>
      </c>
      <c r="M11" s="24" t="s">
        <v>982</v>
      </c>
      <c r="N11" s="24" t="s">
        <v>983</v>
      </c>
      <c r="P11" s="24" t="s">
        <v>51</v>
      </c>
    </row>
    <row r="12" spans="1:16" ht="15" hidden="1" customHeight="1">
      <c r="B12" s="781" t="s">
        <v>984</v>
      </c>
      <c r="C12" s="786">
        <f t="shared" ca="1" si="0"/>
        <v>0</v>
      </c>
      <c r="D12" s="786">
        <f t="shared" ca="1" si="0"/>
        <v>0</v>
      </c>
      <c r="E12" s="786">
        <f t="shared" ca="1" si="0"/>
        <v>0</v>
      </c>
      <c r="F12" s="787">
        <f t="shared" ca="1" si="1"/>
        <v>0</v>
      </c>
      <c r="J12" s="1054" t="str">
        <f t="shared" ca="1" si="2"/>
        <v>##H</v>
      </c>
      <c r="L12" s="24" t="s">
        <v>985</v>
      </c>
      <c r="M12" s="24" t="s">
        <v>986</v>
      </c>
      <c r="N12" s="24" t="s">
        <v>987</v>
      </c>
      <c r="P12" s="24" t="s">
        <v>51</v>
      </c>
    </row>
    <row r="13" spans="1:16" ht="15" hidden="1" customHeight="1">
      <c r="B13" s="781" t="s">
        <v>988</v>
      </c>
      <c r="C13" s="786">
        <f t="shared" ca="1" si="0"/>
        <v>0</v>
      </c>
      <c r="D13" s="786">
        <f t="shared" ca="1" si="0"/>
        <v>0</v>
      </c>
      <c r="E13" s="786">
        <f t="shared" ca="1" si="0"/>
        <v>0</v>
      </c>
      <c r="F13" s="787">
        <f t="shared" ca="1" si="1"/>
        <v>0</v>
      </c>
      <c r="J13" s="1054" t="str">
        <f t="shared" ca="1" si="2"/>
        <v>##H</v>
      </c>
      <c r="L13" s="24" t="s">
        <v>989</v>
      </c>
      <c r="M13" s="24" t="s">
        <v>990</v>
      </c>
      <c r="N13" s="24" t="s">
        <v>991</v>
      </c>
      <c r="P13" s="24" t="s">
        <v>51</v>
      </c>
    </row>
    <row r="14" spans="1:16" ht="15" hidden="1" customHeight="1">
      <c r="B14" s="781" t="s">
        <v>924</v>
      </c>
      <c r="C14" s="786">
        <f t="shared" ca="1" si="0"/>
        <v>0</v>
      </c>
      <c r="D14" s="786">
        <f t="shared" ca="1" si="0"/>
        <v>0</v>
      </c>
      <c r="E14" s="786">
        <f t="shared" ca="1" si="0"/>
        <v>0</v>
      </c>
      <c r="F14" s="787">
        <f t="shared" ca="1" si="1"/>
        <v>0</v>
      </c>
      <c r="J14" s="1054" t="str">
        <f t="shared" ca="1" si="2"/>
        <v>##H</v>
      </c>
      <c r="P14" s="24" t="s">
        <v>51</v>
      </c>
    </row>
    <row r="15" spans="1:16" ht="15" hidden="1" customHeight="1">
      <c r="B15" s="781" t="s">
        <v>992</v>
      </c>
      <c r="C15" s="786">
        <f t="shared" ca="1" si="0"/>
        <v>0</v>
      </c>
      <c r="D15" s="786">
        <f t="shared" ca="1" si="0"/>
        <v>0</v>
      </c>
      <c r="E15" s="786">
        <f t="shared" ca="1" si="0"/>
        <v>0</v>
      </c>
      <c r="F15" s="787">
        <f t="shared" ca="1" si="1"/>
        <v>0</v>
      </c>
      <c r="H15" s="647" t="s">
        <v>496</v>
      </c>
      <c r="I15" s="647"/>
      <c r="J15" s="1054" t="str">
        <f t="shared" ca="1" si="2"/>
        <v>##H</v>
      </c>
      <c r="L15" s="24" t="s">
        <v>993</v>
      </c>
      <c r="M15" s="24" t="s">
        <v>994</v>
      </c>
      <c r="N15" s="24" t="s">
        <v>995</v>
      </c>
      <c r="P15" s="24" t="s">
        <v>51</v>
      </c>
    </row>
    <row r="16" spans="1:16" ht="15" customHeight="1">
      <c r="B16" s="1128" t="e">
        <f ca="1">PPE_PVS_CL_BAL</f>
        <v>#NAME?</v>
      </c>
      <c r="C16" s="788">
        <f t="shared" ca="1" si="0"/>
        <v>0</v>
      </c>
      <c r="D16" s="788">
        <f t="shared" ca="1" si="0"/>
        <v>0</v>
      </c>
      <c r="E16" s="788">
        <f t="shared" ca="1" si="0"/>
        <v>0</v>
      </c>
      <c r="F16" s="789">
        <f ca="1">SUM(C16:E16)</f>
        <v>0</v>
      </c>
      <c r="H16" s="1125">
        <f ca="1">F16-SUM(F10:F15)</f>
        <v>0</v>
      </c>
      <c r="I16" s="648"/>
      <c r="J16" s="1054" t="str">
        <f t="shared" ca="1" si="2"/>
        <v>##H</v>
      </c>
      <c r="L16" s="24" t="s">
        <v>977</v>
      </c>
      <c r="M16" s="24" t="s">
        <v>978</v>
      </c>
      <c r="N16" s="24" t="s">
        <v>979</v>
      </c>
      <c r="O16" s="24" t="s">
        <v>980</v>
      </c>
      <c r="P16" s="24" t="s">
        <v>50</v>
      </c>
    </row>
    <row r="17" spans="2:16" ht="15" customHeight="1">
      <c r="B17" s="781"/>
      <c r="C17" s="782"/>
      <c r="D17" s="782"/>
      <c r="E17" s="782"/>
      <c r="F17" s="783"/>
    </row>
    <row r="18" spans="2:16" ht="15" customHeight="1">
      <c r="B18" s="1127" t="e">
        <f ca="1">PPE_OP_BAL</f>
        <v>#NAME?</v>
      </c>
      <c r="C18" s="786">
        <f ca="1">C16</f>
        <v>0</v>
      </c>
      <c r="D18" s="786">
        <f t="shared" ref="D18:E18" ca="1" si="3">D16</f>
        <v>0</v>
      </c>
      <c r="E18" s="786">
        <f t="shared" ca="1" si="3"/>
        <v>0</v>
      </c>
      <c r="F18" s="787">
        <f ca="1">SUM(C18:E18)</f>
        <v>0</v>
      </c>
      <c r="J18" s="1054" t="str">
        <f t="shared" ca="1" si="2"/>
        <v>##H</v>
      </c>
    </row>
    <row r="19" spans="2:16" ht="15" hidden="1" customHeight="1">
      <c r="B19" s="781" t="s">
        <v>888</v>
      </c>
      <c r="C19" s="786">
        <f t="shared" ref="C19:E24" ca="1" si="4">IFERROR(INDEX(INDIRECT(VLOOKUP($P19,Source_Master,2,0),),MATCH(TEXT(L19,0),INDIRECT(VLOOKUP($P19,Source_Master,4,0)),0),MATCH($D$1,INDIRECT(VLOOKUP($P19,Source_Master,3,0),),0)),0)</f>
        <v>0</v>
      </c>
      <c r="D19" s="786">
        <f t="shared" ca="1" si="4"/>
        <v>0</v>
      </c>
      <c r="E19" s="786">
        <f t="shared" ca="1" si="4"/>
        <v>0</v>
      </c>
      <c r="F19" s="787">
        <f t="shared" ref="F19:F23" ca="1" si="5">SUM(C19:E19)</f>
        <v>0</v>
      </c>
      <c r="J19" s="1054" t="str">
        <f t="shared" ca="1" si="2"/>
        <v>##H</v>
      </c>
      <c r="L19" s="24" t="s">
        <v>981</v>
      </c>
      <c r="M19" s="24" t="s">
        <v>982</v>
      </c>
      <c r="N19" s="24" t="s">
        <v>983</v>
      </c>
      <c r="P19" s="24" t="s">
        <v>51</v>
      </c>
    </row>
    <row r="20" spans="2:16" ht="15" hidden="1" customHeight="1">
      <c r="B20" s="781" t="s">
        <v>984</v>
      </c>
      <c r="C20" s="786">
        <f t="shared" ca="1" si="4"/>
        <v>0</v>
      </c>
      <c r="D20" s="786">
        <f t="shared" ca="1" si="4"/>
        <v>0</v>
      </c>
      <c r="E20" s="786">
        <f t="shared" ca="1" si="4"/>
        <v>0</v>
      </c>
      <c r="F20" s="787">
        <f t="shared" ca="1" si="5"/>
        <v>0</v>
      </c>
      <c r="J20" s="1054" t="str">
        <f t="shared" ca="1" si="2"/>
        <v>##H</v>
      </c>
      <c r="L20" s="24" t="s">
        <v>985</v>
      </c>
      <c r="M20" s="24" t="s">
        <v>986</v>
      </c>
      <c r="N20" s="24" t="s">
        <v>987</v>
      </c>
      <c r="P20" s="24" t="s">
        <v>51</v>
      </c>
    </row>
    <row r="21" spans="2:16" ht="15" hidden="1" customHeight="1">
      <c r="B21" s="781" t="s">
        <v>988</v>
      </c>
      <c r="C21" s="786">
        <f t="shared" ca="1" si="4"/>
        <v>0</v>
      </c>
      <c r="D21" s="786">
        <f t="shared" ca="1" si="4"/>
        <v>0</v>
      </c>
      <c r="E21" s="786">
        <f t="shared" ca="1" si="4"/>
        <v>0</v>
      </c>
      <c r="F21" s="787">
        <f t="shared" ca="1" si="5"/>
        <v>0</v>
      </c>
      <c r="J21" s="1054" t="str">
        <f t="shared" ca="1" si="2"/>
        <v>##H</v>
      </c>
      <c r="L21" s="24" t="s">
        <v>989</v>
      </c>
      <c r="M21" s="24" t="s">
        <v>990</v>
      </c>
      <c r="N21" s="24" t="s">
        <v>991</v>
      </c>
      <c r="P21" s="24" t="s">
        <v>51</v>
      </c>
    </row>
    <row r="22" spans="2:16" ht="15" hidden="1" customHeight="1">
      <c r="B22" s="781" t="s">
        <v>924</v>
      </c>
      <c r="C22" s="786">
        <f t="shared" ca="1" si="4"/>
        <v>0</v>
      </c>
      <c r="D22" s="786">
        <f t="shared" ca="1" si="4"/>
        <v>0</v>
      </c>
      <c r="E22" s="786">
        <f t="shared" ca="1" si="4"/>
        <v>0</v>
      </c>
      <c r="F22" s="787">
        <f t="shared" ca="1" si="5"/>
        <v>0</v>
      </c>
      <c r="J22" s="1054" t="str">
        <f t="shared" ca="1" si="2"/>
        <v>##H</v>
      </c>
      <c r="P22" s="24" t="s">
        <v>51</v>
      </c>
    </row>
    <row r="23" spans="2:16" ht="15" hidden="1" customHeight="1">
      <c r="B23" s="781" t="s">
        <v>992</v>
      </c>
      <c r="C23" s="786">
        <f t="shared" ca="1" si="4"/>
        <v>0</v>
      </c>
      <c r="D23" s="786">
        <f t="shared" ca="1" si="4"/>
        <v>0</v>
      </c>
      <c r="E23" s="786">
        <f t="shared" ca="1" si="4"/>
        <v>0</v>
      </c>
      <c r="F23" s="787">
        <f t="shared" ca="1" si="5"/>
        <v>0</v>
      </c>
      <c r="H23" s="647" t="s">
        <v>496</v>
      </c>
      <c r="I23" s="647"/>
      <c r="J23" s="1054" t="str">
        <f t="shared" ca="1" si="2"/>
        <v>##H</v>
      </c>
      <c r="L23" s="24" t="s">
        <v>993</v>
      </c>
      <c r="M23" s="24" t="s">
        <v>994</v>
      </c>
      <c r="N23" s="24" t="s">
        <v>995</v>
      </c>
      <c r="P23" s="24" t="s">
        <v>51</v>
      </c>
    </row>
    <row r="24" spans="2:16" ht="15" customHeight="1">
      <c r="B24" s="1128" t="e">
        <f ca="1">PPE_CL_BAL</f>
        <v>#NAME?</v>
      </c>
      <c r="C24" s="790">
        <f t="shared" ca="1" si="4"/>
        <v>0</v>
      </c>
      <c r="D24" s="791">
        <f t="shared" ca="1" si="4"/>
        <v>0</v>
      </c>
      <c r="E24" s="791">
        <f t="shared" ca="1" si="4"/>
        <v>0</v>
      </c>
      <c r="F24" s="792">
        <f ca="1">SUM(C24:E24)</f>
        <v>0</v>
      </c>
      <c r="H24" s="1125">
        <f ca="1">F24-SUM(F18:F23)</f>
        <v>0</v>
      </c>
      <c r="I24" s="648"/>
      <c r="J24" s="1054" t="str">
        <f t="shared" ca="1" si="2"/>
        <v>##H</v>
      </c>
      <c r="L24" s="24" t="s">
        <v>977</v>
      </c>
      <c r="M24" s="24" t="s">
        <v>978</v>
      </c>
      <c r="N24" s="24" t="s">
        <v>979</v>
      </c>
      <c r="O24" s="24" t="s">
        <v>980</v>
      </c>
      <c r="P24" s="24" t="s">
        <v>50</v>
      </c>
    </row>
    <row r="25" spans="2:16" ht="15" customHeight="1">
      <c r="B25" s="781"/>
      <c r="C25" s="782"/>
      <c r="D25" s="782"/>
      <c r="E25" s="782"/>
      <c r="F25" s="783"/>
    </row>
    <row r="26" spans="2:16" ht="15" customHeight="1">
      <c r="B26" s="779" t="s">
        <v>925</v>
      </c>
      <c r="C26" s="762"/>
      <c r="D26" s="762"/>
      <c r="E26" s="762"/>
      <c r="F26" s="780"/>
    </row>
    <row r="27" spans="2:16" ht="15" hidden="1" customHeight="1">
      <c r="B27" s="1127" t="e">
        <f ca="1">B10</f>
        <v>#NAME?</v>
      </c>
      <c r="C27" s="786">
        <f ca="1">-IFERROR(INDEX(INDIRECT(VLOOKUP($P27,Source_Master,2,0),),MATCH(TEXT(L27,0),INDIRECT(VLOOKUP($P27,Source_Master,4,0)),0),MATCH($F$1,INDIRECT(VLOOKUP($P27,Source_Master,3,0),),0)),0)</f>
        <v>0</v>
      </c>
      <c r="D27" s="786">
        <f ca="1">-IFERROR(INDEX(INDIRECT(VLOOKUP($P27,Source_Master,2,0),),MATCH(TEXT(M27,0),INDIRECT(VLOOKUP($P27,Source_Master,4,0)),0),MATCH($F$1,INDIRECT(VLOOKUP($P27,Source_Master,3,0),),0)),0)</f>
        <v>0</v>
      </c>
      <c r="E27" s="786">
        <f ca="1">-IFERROR(INDEX(INDIRECT(VLOOKUP($P27,Source_Master,2,0),),MATCH(TEXT(N27,0),INDIRECT(VLOOKUP($P27,Source_Master,4,0)),0),MATCH($F$1,INDIRECT(VLOOKUP($P27,Source_Master,3,0),),0)),0)</f>
        <v>0</v>
      </c>
      <c r="F27" s="787">
        <f ca="1">SUM(C27:E27)</f>
        <v>0</v>
      </c>
      <c r="J27" s="1054" t="str">
        <f t="shared" ref="J27:J46" ca="1" si="6">IF(AND(C27=0,D27=0,E27=0),"##H","")</f>
        <v>##H</v>
      </c>
      <c r="L27" s="24" t="s">
        <v>996</v>
      </c>
      <c r="M27" s="24" t="s">
        <v>997</v>
      </c>
      <c r="N27" s="24" t="s">
        <v>998</v>
      </c>
      <c r="O27" s="24" t="s">
        <v>999</v>
      </c>
      <c r="P27" s="24" t="s">
        <v>50</v>
      </c>
    </row>
    <row r="28" spans="2:16" ht="15" hidden="1" customHeight="1">
      <c r="B28" s="781" t="s">
        <v>935</v>
      </c>
      <c r="C28" s="786">
        <f t="shared" ref="C28:E33" ca="1" si="7">IFERROR(INDEX(INDIRECT(VLOOKUP($P28,Source_Master,2,0),),MATCH(TEXT(L28,0),INDIRECT(VLOOKUP($P28,Source_Master,4,0)),0),MATCH($E$1,INDIRECT(VLOOKUP($P28,Source_Master,3,0),),0)),0)</f>
        <v>0</v>
      </c>
      <c r="D28" s="786">
        <f t="shared" ca="1" si="7"/>
        <v>0</v>
      </c>
      <c r="E28" s="786">
        <f t="shared" ca="1" si="7"/>
        <v>0</v>
      </c>
      <c r="F28" s="787">
        <f t="shared" ref="F28:F33" ca="1" si="8">SUM(C28:E28)</f>
        <v>0</v>
      </c>
      <c r="J28" s="1054" t="str">
        <f t="shared" ca="1" si="6"/>
        <v>##H</v>
      </c>
      <c r="L28" s="24" t="s">
        <v>1000</v>
      </c>
      <c r="M28" s="24" t="s">
        <v>1001</v>
      </c>
      <c r="N28" s="24" t="s">
        <v>1002</v>
      </c>
      <c r="P28" s="24" t="s">
        <v>51</v>
      </c>
    </row>
    <row r="29" spans="2:16" ht="15" hidden="1" customHeight="1">
      <c r="B29" s="781" t="s">
        <v>1003</v>
      </c>
      <c r="C29" s="786">
        <f t="shared" ca="1" si="7"/>
        <v>0</v>
      </c>
      <c r="D29" s="786">
        <f t="shared" ca="1" si="7"/>
        <v>0</v>
      </c>
      <c r="E29" s="786">
        <f t="shared" ca="1" si="7"/>
        <v>0</v>
      </c>
      <c r="F29" s="787">
        <f t="shared" ca="1" si="8"/>
        <v>0</v>
      </c>
      <c r="J29" s="1054" t="str">
        <f t="shared" ca="1" si="6"/>
        <v>##H</v>
      </c>
      <c r="L29" s="784" t="s">
        <v>1004</v>
      </c>
      <c r="M29" s="24" t="s">
        <v>1005</v>
      </c>
      <c r="N29" s="24" t="s">
        <v>1006</v>
      </c>
      <c r="P29" s="24" t="s">
        <v>51</v>
      </c>
    </row>
    <row r="30" spans="2:16" ht="15" hidden="1" customHeight="1">
      <c r="B30" s="781" t="s">
        <v>1007</v>
      </c>
      <c r="C30" s="786">
        <f t="shared" ca="1" si="7"/>
        <v>0</v>
      </c>
      <c r="D30" s="786">
        <f t="shared" ca="1" si="7"/>
        <v>0</v>
      </c>
      <c r="E30" s="786">
        <f t="shared" ca="1" si="7"/>
        <v>0</v>
      </c>
      <c r="F30" s="787">
        <f t="shared" ca="1" si="8"/>
        <v>0</v>
      </c>
      <c r="J30" s="1054" t="str">
        <f t="shared" ca="1" si="6"/>
        <v>##H</v>
      </c>
      <c r="L30" s="24" t="s">
        <v>1008</v>
      </c>
      <c r="M30" s="24" t="s">
        <v>1009</v>
      </c>
      <c r="N30" s="24" t="s">
        <v>1010</v>
      </c>
      <c r="P30" s="24" t="s">
        <v>51</v>
      </c>
    </row>
    <row r="31" spans="2:16" ht="15" hidden="1" customHeight="1">
      <c r="B31" s="781" t="s">
        <v>988</v>
      </c>
      <c r="C31" s="786">
        <f t="shared" ca="1" si="7"/>
        <v>0</v>
      </c>
      <c r="D31" s="786">
        <f t="shared" ca="1" si="7"/>
        <v>0</v>
      </c>
      <c r="E31" s="786">
        <f t="shared" ca="1" si="7"/>
        <v>0</v>
      </c>
      <c r="F31" s="787">
        <f t="shared" ca="1" si="8"/>
        <v>0</v>
      </c>
      <c r="J31" s="1054" t="str">
        <f t="shared" ca="1" si="6"/>
        <v>##H</v>
      </c>
      <c r="L31" s="24" t="s">
        <v>1011</v>
      </c>
      <c r="M31" s="24" t="s">
        <v>1012</v>
      </c>
      <c r="N31" s="24" t="s">
        <v>1013</v>
      </c>
      <c r="P31" s="24" t="s">
        <v>51</v>
      </c>
    </row>
    <row r="32" spans="2:16" ht="15" hidden="1" customHeight="1">
      <c r="B32" s="781" t="s">
        <v>924</v>
      </c>
      <c r="C32" s="786">
        <f t="shared" ca="1" si="7"/>
        <v>0</v>
      </c>
      <c r="D32" s="786">
        <f t="shared" ca="1" si="7"/>
        <v>0</v>
      </c>
      <c r="E32" s="786">
        <f t="shared" ca="1" si="7"/>
        <v>0</v>
      </c>
      <c r="F32" s="787">
        <f t="shared" ca="1" si="8"/>
        <v>0</v>
      </c>
      <c r="J32" s="1054" t="str">
        <f t="shared" ca="1" si="6"/>
        <v>##H</v>
      </c>
      <c r="P32" s="24" t="s">
        <v>51</v>
      </c>
    </row>
    <row r="33" spans="2:16" ht="15" hidden="1" customHeight="1">
      <c r="B33" s="781" t="s">
        <v>992</v>
      </c>
      <c r="C33" s="786">
        <f t="shared" ca="1" si="7"/>
        <v>0</v>
      </c>
      <c r="D33" s="786">
        <f t="shared" ca="1" si="7"/>
        <v>0</v>
      </c>
      <c r="E33" s="786">
        <f t="shared" ca="1" si="7"/>
        <v>0</v>
      </c>
      <c r="F33" s="787">
        <f t="shared" ca="1" si="8"/>
        <v>0</v>
      </c>
      <c r="H33" s="647" t="s">
        <v>496</v>
      </c>
      <c r="I33" s="647"/>
      <c r="J33" s="1054" t="str">
        <f t="shared" ca="1" si="6"/>
        <v>##H</v>
      </c>
      <c r="L33" s="24" t="s">
        <v>1014</v>
      </c>
      <c r="M33" s="24" t="s">
        <v>1015</v>
      </c>
      <c r="N33" s="24" t="s">
        <v>1016</v>
      </c>
      <c r="P33" s="24" t="s">
        <v>51</v>
      </c>
    </row>
    <row r="34" spans="2:16" ht="15" hidden="1" customHeight="1">
      <c r="B34" s="1128" t="e">
        <f ca="1">B16</f>
        <v>#NAME?</v>
      </c>
      <c r="C34" s="788">
        <f ca="1">-IFERROR(INDEX(INDIRECT(VLOOKUP($P34,Source_Master,2,0),),MATCH(TEXT(L34,0),INDIRECT(VLOOKUP($P34,Source_Master,4,0)),0),MATCH($E$1,INDIRECT(VLOOKUP($P34,Source_Master,3,0),),0)),0)</f>
        <v>0</v>
      </c>
      <c r="D34" s="788">
        <f ca="1">-IFERROR(INDEX(INDIRECT(VLOOKUP($P34,Source_Master,2,0),),MATCH(TEXT(M34,0),INDIRECT(VLOOKUP($P34,Source_Master,4,0)),0),MATCH($E$1,INDIRECT(VLOOKUP($P34,Source_Master,3,0),),0)),0)</f>
        <v>0</v>
      </c>
      <c r="E34" s="788">
        <f ca="1">-IFERROR(INDEX(INDIRECT(VLOOKUP($P34,Source_Master,2,0),),MATCH(TEXT(N34,0),INDIRECT(VLOOKUP($P34,Source_Master,4,0)),0),MATCH($E$1,INDIRECT(VLOOKUP($P34,Source_Master,3,0),),0)),0)</f>
        <v>0</v>
      </c>
      <c r="F34" s="789">
        <f ca="1">SUM(C34:E34)</f>
        <v>0</v>
      </c>
      <c r="H34" s="1125">
        <f ca="1">F34-SUM(F27:F33)</f>
        <v>0</v>
      </c>
      <c r="I34" s="648"/>
      <c r="J34" s="1054" t="str">
        <f t="shared" ca="1" si="6"/>
        <v>##H</v>
      </c>
      <c r="L34" s="24" t="s">
        <v>996</v>
      </c>
      <c r="M34" s="24" t="s">
        <v>997</v>
      </c>
      <c r="N34" s="24" t="s">
        <v>998</v>
      </c>
      <c r="O34" s="24" t="s">
        <v>999</v>
      </c>
      <c r="P34" s="24" t="s">
        <v>50</v>
      </c>
    </row>
    <row r="35" spans="2:16" ht="15" customHeight="1">
      <c r="B35" s="781"/>
      <c r="C35" s="782"/>
      <c r="D35" s="782"/>
      <c r="E35" s="782"/>
      <c r="F35" s="783"/>
    </row>
    <row r="36" spans="2:16" ht="15" hidden="1" customHeight="1">
      <c r="B36" s="1127" t="e">
        <f ca="1">B18</f>
        <v>#NAME?</v>
      </c>
      <c r="C36" s="786">
        <f ca="1">C34</f>
        <v>0</v>
      </c>
      <c r="D36" s="786">
        <f t="shared" ref="D36:E36" ca="1" si="9">D34</f>
        <v>0</v>
      </c>
      <c r="E36" s="786">
        <f t="shared" ca="1" si="9"/>
        <v>0</v>
      </c>
      <c r="F36" s="787">
        <f ca="1">SUM(C36:E36)</f>
        <v>0</v>
      </c>
      <c r="J36" s="1054" t="str">
        <f t="shared" ca="1" si="6"/>
        <v>##H</v>
      </c>
    </row>
    <row r="37" spans="2:16" ht="15" hidden="1" customHeight="1">
      <c r="B37" s="781" t="s">
        <v>935</v>
      </c>
      <c r="C37" s="786">
        <f t="shared" ref="C37:E42" ca="1" si="10">IFERROR(INDEX(INDIRECT(VLOOKUP($P37,Source_Master,2,0),),MATCH(TEXT(L37,0),INDIRECT(VLOOKUP($P37,Source_Master,4,0)),0),MATCH($D$1,INDIRECT(VLOOKUP($P37,Source_Master,3,0),),0)),0)</f>
        <v>0</v>
      </c>
      <c r="D37" s="786">
        <f t="shared" ca="1" si="10"/>
        <v>0</v>
      </c>
      <c r="E37" s="786">
        <f t="shared" ca="1" si="10"/>
        <v>0</v>
      </c>
      <c r="F37" s="787">
        <f t="shared" ref="F37:F42" ca="1" si="11">SUM(C37:E37)</f>
        <v>0</v>
      </c>
      <c r="J37" s="1054" t="str">
        <f t="shared" ca="1" si="6"/>
        <v>##H</v>
      </c>
      <c r="L37" s="24" t="s">
        <v>1000</v>
      </c>
      <c r="M37" s="24" t="s">
        <v>1001</v>
      </c>
      <c r="N37" s="24" t="s">
        <v>1002</v>
      </c>
      <c r="P37" s="24" t="s">
        <v>51</v>
      </c>
    </row>
    <row r="38" spans="2:16" ht="15" hidden="1" customHeight="1">
      <c r="B38" s="781" t="s">
        <v>1003</v>
      </c>
      <c r="C38" s="786">
        <f t="shared" ca="1" si="10"/>
        <v>0</v>
      </c>
      <c r="D38" s="786">
        <f t="shared" ca="1" si="10"/>
        <v>0</v>
      </c>
      <c r="E38" s="786">
        <f t="shared" ca="1" si="10"/>
        <v>0</v>
      </c>
      <c r="F38" s="787">
        <f t="shared" ca="1" si="11"/>
        <v>0</v>
      </c>
      <c r="J38" s="1054" t="str">
        <f t="shared" ca="1" si="6"/>
        <v>##H</v>
      </c>
      <c r="L38" s="24" t="s">
        <v>1004</v>
      </c>
      <c r="M38" s="24" t="s">
        <v>1005</v>
      </c>
      <c r="N38" s="24" t="s">
        <v>1006</v>
      </c>
      <c r="P38" s="24" t="s">
        <v>51</v>
      </c>
    </row>
    <row r="39" spans="2:16" ht="15" hidden="1" customHeight="1">
      <c r="B39" s="781" t="s">
        <v>1007</v>
      </c>
      <c r="C39" s="786">
        <f t="shared" ca="1" si="10"/>
        <v>0</v>
      </c>
      <c r="D39" s="786">
        <f t="shared" ca="1" si="10"/>
        <v>0</v>
      </c>
      <c r="E39" s="786">
        <f t="shared" ca="1" si="10"/>
        <v>0</v>
      </c>
      <c r="F39" s="787">
        <f t="shared" ca="1" si="11"/>
        <v>0</v>
      </c>
      <c r="J39" s="1054" t="str">
        <f t="shared" ca="1" si="6"/>
        <v>##H</v>
      </c>
      <c r="L39" s="24" t="s">
        <v>1008</v>
      </c>
      <c r="M39" s="24" t="s">
        <v>1009</v>
      </c>
      <c r="N39" s="24" t="s">
        <v>1010</v>
      </c>
      <c r="P39" s="24" t="s">
        <v>51</v>
      </c>
    </row>
    <row r="40" spans="2:16" ht="15" hidden="1" customHeight="1">
      <c r="B40" s="781" t="s">
        <v>988</v>
      </c>
      <c r="C40" s="786">
        <f t="shared" ca="1" si="10"/>
        <v>0</v>
      </c>
      <c r="D40" s="786">
        <f t="shared" ca="1" si="10"/>
        <v>0</v>
      </c>
      <c r="E40" s="786">
        <f t="shared" ca="1" si="10"/>
        <v>0</v>
      </c>
      <c r="F40" s="787">
        <f t="shared" ca="1" si="11"/>
        <v>0</v>
      </c>
      <c r="J40" s="1054" t="str">
        <f t="shared" ca="1" si="6"/>
        <v>##H</v>
      </c>
      <c r="L40" s="24" t="s">
        <v>1011</v>
      </c>
      <c r="M40" s="24" t="s">
        <v>1012</v>
      </c>
      <c r="N40" s="24" t="s">
        <v>1013</v>
      </c>
      <c r="P40" s="24" t="s">
        <v>51</v>
      </c>
    </row>
    <row r="41" spans="2:16" ht="15" hidden="1" customHeight="1">
      <c r="B41" s="781" t="s">
        <v>924</v>
      </c>
      <c r="C41" s="786">
        <f t="shared" ca="1" si="10"/>
        <v>0</v>
      </c>
      <c r="D41" s="786">
        <f t="shared" ca="1" si="10"/>
        <v>0</v>
      </c>
      <c r="E41" s="786">
        <f t="shared" ca="1" si="10"/>
        <v>0</v>
      </c>
      <c r="F41" s="787">
        <f t="shared" ca="1" si="11"/>
        <v>0</v>
      </c>
      <c r="J41" s="1054" t="str">
        <f t="shared" ca="1" si="6"/>
        <v>##H</v>
      </c>
      <c r="P41" s="24" t="s">
        <v>51</v>
      </c>
    </row>
    <row r="42" spans="2:16" ht="15" hidden="1" customHeight="1">
      <c r="B42" s="781" t="s">
        <v>992</v>
      </c>
      <c r="C42" s="786">
        <f t="shared" ca="1" si="10"/>
        <v>0</v>
      </c>
      <c r="D42" s="786">
        <f t="shared" ca="1" si="10"/>
        <v>0</v>
      </c>
      <c r="E42" s="786">
        <f t="shared" ca="1" si="10"/>
        <v>0</v>
      </c>
      <c r="F42" s="787">
        <f t="shared" ca="1" si="11"/>
        <v>0</v>
      </c>
      <c r="H42" s="647" t="s">
        <v>496</v>
      </c>
      <c r="I42" s="647"/>
      <c r="J42" s="1054" t="str">
        <f t="shared" ca="1" si="6"/>
        <v>##H</v>
      </c>
      <c r="L42" s="24" t="s">
        <v>1014</v>
      </c>
      <c r="M42" s="24" t="s">
        <v>1015</v>
      </c>
      <c r="N42" s="24" t="s">
        <v>1016</v>
      </c>
      <c r="P42" s="24" t="s">
        <v>51</v>
      </c>
    </row>
    <row r="43" spans="2:16" ht="15" hidden="1" customHeight="1">
      <c r="B43" s="1128" t="e">
        <f ca="1">B24</f>
        <v>#NAME?</v>
      </c>
      <c r="C43" s="791">
        <f ca="1">-IFERROR(INDEX(INDIRECT(VLOOKUP($P43,Source_Master,2,0),),MATCH(TEXT(L43,0),INDIRECT(VLOOKUP($P43,Source_Master,4,0)),0),MATCH($D$1,INDIRECT(VLOOKUP($P43,Source_Master,3,0),),0)),0)</f>
        <v>0</v>
      </c>
      <c r="D43" s="791">
        <f ca="1">-IFERROR(INDEX(INDIRECT(VLOOKUP($P43,Source_Master,2,0),),MATCH(TEXT(M43,0),INDIRECT(VLOOKUP($P43,Source_Master,4,0)),0),MATCH($D$1,INDIRECT(VLOOKUP($P43,Source_Master,3,0),),0)),0)</f>
        <v>0</v>
      </c>
      <c r="E43" s="791">
        <f ca="1">-IFERROR(INDEX(INDIRECT(VLOOKUP($P43,Source_Master,2,0),),MATCH(TEXT(N43,0),INDIRECT(VLOOKUP($P43,Source_Master,4,0)),0),MATCH($D$1,INDIRECT(VLOOKUP($P43,Source_Master,3,0),),0)),0)</f>
        <v>0</v>
      </c>
      <c r="F43" s="792">
        <f ca="1">SUM(C43:E43)</f>
        <v>0</v>
      </c>
      <c r="H43" s="1125">
        <f ca="1">F43-SUM(F36:F42)</f>
        <v>0</v>
      </c>
      <c r="I43" s="648"/>
      <c r="J43" s="1054" t="str">
        <f t="shared" ca="1" si="6"/>
        <v>##H</v>
      </c>
      <c r="L43" s="24" t="s">
        <v>996</v>
      </c>
      <c r="M43" s="24" t="s">
        <v>997</v>
      </c>
      <c r="N43" s="24" t="s">
        <v>998</v>
      </c>
      <c r="O43" s="24" t="s">
        <v>999</v>
      </c>
      <c r="P43" s="24" t="s">
        <v>50</v>
      </c>
    </row>
    <row r="44" spans="2:16" ht="15" customHeight="1">
      <c r="B44" s="781"/>
      <c r="C44" s="782"/>
      <c r="D44" s="782"/>
      <c r="E44" s="782"/>
      <c r="F44" s="783"/>
    </row>
    <row r="45" spans="2:16" ht="15" customHeight="1">
      <c r="B45" s="1127" t="e">
        <f ca="1">NCV_PY</f>
        <v>#NAME?</v>
      </c>
      <c r="C45" s="793">
        <f ca="1">C16-C34</f>
        <v>0</v>
      </c>
      <c r="D45" s="793">
        <f ca="1">D16-D34</f>
        <v>0</v>
      </c>
      <c r="E45" s="793">
        <f ca="1">E16-E34</f>
        <v>0</v>
      </c>
      <c r="F45" s="794">
        <f ca="1">F16-F34</f>
        <v>0</v>
      </c>
      <c r="J45" s="1054" t="str">
        <f t="shared" ca="1" si="6"/>
        <v>##H</v>
      </c>
    </row>
    <row r="46" spans="2:16" ht="15" customHeight="1">
      <c r="B46" s="1129" t="e">
        <f ca="1">NCV_CY</f>
        <v>#NAME?</v>
      </c>
      <c r="C46" s="791">
        <f ca="1">C24-C43</f>
        <v>0</v>
      </c>
      <c r="D46" s="791">
        <f ca="1">D24-D43</f>
        <v>0</v>
      </c>
      <c r="E46" s="791">
        <f ca="1">E24-E43</f>
        <v>0</v>
      </c>
      <c r="F46" s="792">
        <f ca="1">F24-F43</f>
        <v>0</v>
      </c>
      <c r="J46" s="1054" t="str">
        <f t="shared" ca="1" si="6"/>
        <v>##H</v>
      </c>
    </row>
    <row r="49" spans="2:6" hidden="1" outlineLevel="1"/>
    <row r="50" spans="2:6" hidden="1" outlineLevel="1">
      <c r="B50" s="22" t="s">
        <v>973</v>
      </c>
    </row>
    <row r="51" spans="2:6" hidden="1" outlineLevel="1">
      <c r="B51" s="22"/>
    </row>
    <row r="52" spans="2:6" hidden="1" outlineLevel="1">
      <c r="B52" s="767" t="s">
        <v>30</v>
      </c>
    </row>
    <row r="53" spans="2:6" hidden="1" outlineLevel="1">
      <c r="B53" s="647" t="s">
        <v>974</v>
      </c>
      <c r="C53" s="1126">
        <f ca="1">C24-SUM(C18:C23)</f>
        <v>0</v>
      </c>
      <c r="D53" s="1126">
        <f t="shared" ref="D53:F53" ca="1" si="12">D24-SUM(D18:D23)</f>
        <v>0</v>
      </c>
      <c r="E53" s="1126">
        <f t="shared" ca="1" si="12"/>
        <v>0</v>
      </c>
      <c r="F53" s="1126">
        <f t="shared" ca="1" si="12"/>
        <v>0</v>
      </c>
    </row>
    <row r="54" spans="2:6" hidden="1" outlineLevel="1">
      <c r="B54" s="647" t="s">
        <v>975</v>
      </c>
      <c r="C54" s="1126">
        <f ca="1">C43-SUM(C36:C42)</f>
        <v>0</v>
      </c>
      <c r="D54" s="1126">
        <f t="shared" ref="D54:F54" ca="1" si="13">D43-SUM(D36:D42)</f>
        <v>0</v>
      </c>
      <c r="E54" s="1126">
        <f t="shared" ca="1" si="13"/>
        <v>0</v>
      </c>
      <c r="F54" s="1126">
        <f t="shared" ca="1" si="13"/>
        <v>0</v>
      </c>
    </row>
    <row r="55" spans="2:6" hidden="1" outlineLevel="1">
      <c r="C55" s="22"/>
      <c r="D55" s="22"/>
      <c r="E55" s="22"/>
      <c r="F55" s="22"/>
    </row>
    <row r="56" spans="2:6" hidden="1" outlineLevel="1">
      <c r="B56" s="767" t="s">
        <v>31</v>
      </c>
      <c r="C56" s="22"/>
      <c r="D56" s="22"/>
      <c r="E56" s="22"/>
      <c r="F56" s="22"/>
    </row>
    <row r="57" spans="2:6" hidden="1" outlineLevel="1">
      <c r="B57" s="647" t="s">
        <v>974</v>
      </c>
      <c r="C57" s="1126">
        <f ca="1">C16-SUM(C10:C15)</f>
        <v>0</v>
      </c>
      <c r="D57" s="1126">
        <f t="shared" ref="D57:F57" ca="1" si="14">D16-SUM(D10:D15)</f>
        <v>0</v>
      </c>
      <c r="E57" s="1126">
        <f t="shared" ca="1" si="14"/>
        <v>0</v>
      </c>
      <c r="F57" s="1126">
        <f t="shared" ca="1" si="14"/>
        <v>0</v>
      </c>
    </row>
    <row r="58" spans="2:6" hidden="1" outlineLevel="1">
      <c r="B58" s="647" t="s">
        <v>975</v>
      </c>
      <c r="C58" s="1126">
        <f ca="1">C34-SUM(C27:C33)</f>
        <v>0</v>
      </c>
      <c r="D58" s="1126">
        <f t="shared" ref="D58:F58" ca="1" si="15">D34-SUM(D27:D33)</f>
        <v>0</v>
      </c>
      <c r="E58" s="1126">
        <f t="shared" ca="1" si="15"/>
        <v>0</v>
      </c>
      <c r="F58" s="1126">
        <f t="shared" ca="1" si="15"/>
        <v>0</v>
      </c>
    </row>
    <row r="59" spans="2:6" hidden="1" outlineLevel="1"/>
    <row r="60" spans="2:6" hidden="1" outlineLevel="1"/>
    <row r="61" spans="2:6" hidden="1" outlineLevel="1"/>
    <row r="62" spans="2:6" hidden="1" outlineLevel="1"/>
    <row r="63" spans="2:6" collapsed="1"/>
  </sheetData>
  <sheetProtection algorithmName="SHA-512" hashValue="fknto/aDWTiRELFW9oZeIjQAVVT3UJDufyqPxjk4Iqg8V17PsvNwm4johYdx5eWQSQdKhN7cJ6h9/2ObqlZ90A==" saltValue="/bBOtL4J9FnDPKuXiBdofw==" spinCount="100000" sheet="1" objects="1" scenarios="1"/>
  <pageMargins left="0.70866141732283472" right="0.70866141732283472" top="0.74803149606299213" bottom="0.74803149606299213" header="0.31496062992125984" footer="0.31496062992125984"/>
  <pageSetup scale="81"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23DB310-7784-4C87-8841-2B777BA6794B}">
          <x14:formula1>
            <xm:f>'Master Sheet'!$C$37:$C$41</xm:f>
          </x14:formula1>
          <xm:sqref>P19:P24 P37:P43 P27:P34 P10:P16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4ADC3-D3D4-4836-A47D-B26F2DAB41AD}">
  <sheetPr codeName="Sheet21">
    <tabColor theme="5" tint="0.59999389629810485"/>
  </sheetPr>
  <dimension ref="A1:V50"/>
  <sheetViews>
    <sheetView showGridLines="0" view="pageBreakPreview" topLeftCell="A4" zoomScaleNormal="100" zoomScaleSheetLayoutView="100" workbookViewId="0">
      <selection activeCell="F1" sqref="F1"/>
    </sheetView>
  </sheetViews>
  <sheetFormatPr defaultColWidth="9.42578125" defaultRowHeight="13.15" outlineLevelRow="1" outlineLevelCol="1"/>
  <cols>
    <col min="1" max="2" customWidth="true" style="39" width="4.42578125"/>
    <col min="3" max="3" customWidth="true" style="2" width="45.5703125"/>
    <col min="4" max="5" customWidth="true" style="18" width="18.5703125"/>
    <col min="6" max="6" customWidth="true" style="2" width="3.5703125"/>
    <col min="7" max="7" bestFit="true" customWidth="true" style="2" width="6.28515625"/>
    <col min="8" max="10" customWidth="true" style="2" width="8.7109375"/>
    <col min="11" max="11" customWidth="true" hidden="true" style="24" width="10.28515625" outlineLevel="1"/>
    <col min="12" max="12" customWidth="true" hidden="true" style="24" width="14.5703125" outlineLevel="1"/>
    <col min="13" max="13" customWidth="true" hidden="true" style="2" width="15.42578125" outlineLevel="1"/>
    <col min="14" max="14" customWidth="true" style="2" width="3.5703125" collapsed="true"/>
    <col min="15" max="15" customWidth="true" style="2" width="3.5703125"/>
    <col min="16" max="16" customWidth="true" style="2" width="2.42578125"/>
    <col min="17" max="18" customWidth="true" style="2" width="2.5703125"/>
    <col min="19" max="19" customWidth="true" style="2" width="3.0"/>
    <col min="20" max="20" customWidth="true" style="2" width="13.0"/>
    <col min="21" max="16384" style="2" width="9.42578125"/>
  </cols>
  <sheetData>
    <row r="1" spans="1:22" ht="39.6" hidden="1" outlineLevel="1">
      <c r="D1" s="1130" t="str">
        <f>BS!C1</f>
        <v>7756|001|INR|Actual|Standalone</v>
      </c>
      <c r="E1" s="1130" t="str">
        <f>BS!D1</f>
        <v>7756|002|INR|Actual|Standalone</v>
      </c>
      <c r="F1" s="2" t="str">
        <f>BS!E1</f>
        <v>7756|003|INR|Actual|Standalone</v>
      </c>
      <c r="I1" s="2" t="s">
        <v>492</v>
      </c>
      <c r="J1" s="46"/>
      <c r="K1" s="29"/>
      <c r="L1" s="29"/>
      <c r="M1" s="25"/>
      <c r="U1" s="29"/>
      <c r="V1" s="29"/>
    </row>
    <row r="2" spans="1:22" hidden="1" outlineLevel="1">
      <c r="D2" s="191"/>
      <c r="E2" s="191"/>
      <c r="J2" s="46"/>
      <c r="K2" s="29"/>
      <c r="L2" s="29"/>
      <c r="M2" s="25"/>
      <c r="U2" s="29"/>
      <c r="V2" s="29"/>
    </row>
    <row r="3" spans="1:22" hidden="1" outlineLevel="1">
      <c r="D3" s="191"/>
      <c r="E3" s="191"/>
      <c r="J3" s="46"/>
      <c r="K3" s="29"/>
      <c r="L3" s="29"/>
      <c r="M3" s="25"/>
      <c r="U3" s="29"/>
      <c r="V3" s="29"/>
    </row>
    <row r="4" spans="1:22" ht="17.45" collapsed="1">
      <c r="A4" s="1106" t="str">
        <f>+FZ_Reference_Master!$C$3</f>
        <v>Air India Express</v>
      </c>
      <c r="B4" s="365"/>
      <c r="H4" s="110"/>
      <c r="I4" s="110"/>
    </row>
    <row r="5" spans="1:22" ht="15.6">
      <c r="A5" s="1107" t="e">
        <f ca="1">"Notes to the Standalone Financial Statements for the period ended "&amp;Current_Date</f>
        <v>#NAME?</v>
      </c>
      <c r="B5" s="111"/>
    </row>
    <row r="6" spans="1:22" ht="15.6">
      <c r="A6" s="111"/>
      <c r="B6" s="111"/>
    </row>
    <row r="7" spans="1:22">
      <c r="A7" s="1131">
        <f>NTA!F13</f>
        <v>6</v>
      </c>
      <c r="B7" s="1132" t="str">
        <f>NTA!C13</f>
        <v>Capital Work-In-Progress</v>
      </c>
      <c r="C7" s="25"/>
      <c r="D7" s="194"/>
      <c r="E7" s="194"/>
      <c r="F7" s="15"/>
    </row>
    <row r="8" spans="1:22" ht="30" customHeight="1">
      <c r="A8" s="796"/>
      <c r="B8" s="1313" t="s">
        <v>500</v>
      </c>
      <c r="C8" s="1313"/>
      <c r="D8" s="1088" t="e">
        <f ca="1">BS_CY</f>
        <v>#NAME?</v>
      </c>
      <c r="E8" s="1089" t="e">
        <f ca="1">BS_PY</f>
        <v>#NAME?</v>
      </c>
      <c r="F8" s="15"/>
    </row>
    <row r="9" spans="1:22" ht="15" customHeight="1">
      <c r="A9" s="795"/>
      <c r="B9" s="192" t="s">
        <v>1017</v>
      </c>
      <c r="C9" s="192"/>
      <c r="D9" s="287">
        <f ca="1">IFERROR(INDEX(INDIRECT(VLOOKUP($L9,Source_Master,2,0),),MATCH(TEXT($K9,0),INDIRECT(VLOOKUP($L9,Source_Master,4,0)),0),MATCH(D$1,INDIRECT(VLOOKUP($L9,Source_Master,3,0),),0)),0)</f>
        <v>0</v>
      </c>
      <c r="E9" s="798">
        <f ca="1">IFERROR(INDEX(INDIRECT(VLOOKUP($L9,Source_Master,2,0),),MATCH(TEXT($K9,0),INDIRECT(VLOOKUP($L9,Source_Master,4,0)),0),MATCH(E$1,INDIRECT(VLOOKUP($L9,Source_Master,3,0),),0)),0)</f>
        <v>0</v>
      </c>
      <c r="F9" s="15"/>
      <c r="I9" s="1054" t="str">
        <f t="shared" ref="I9:I10" ca="1" si="0">IF(D9=0,IF(E9=0,"##H",""),"")</f>
        <v>##H</v>
      </c>
      <c r="K9" s="24" t="s">
        <v>504</v>
      </c>
      <c r="L9" s="24" t="s">
        <v>50</v>
      </c>
    </row>
    <row r="10" spans="1:22" ht="15" customHeight="1">
      <c r="A10" s="796"/>
      <c r="B10" s="216" t="s">
        <v>246</v>
      </c>
      <c r="C10" s="456"/>
      <c r="D10" s="287">
        <f ca="1">SUM(D9:D9)</f>
        <v>0</v>
      </c>
      <c r="E10" s="798">
        <f ca="1">SUM(E9:E9)</f>
        <v>0</v>
      </c>
      <c r="F10" s="15"/>
      <c r="I10" s="1054" t="str">
        <f t="shared" ca="1" si="0"/>
        <v>##H</v>
      </c>
    </row>
    <row r="11" spans="1:22">
      <c r="A11" s="20"/>
      <c r="B11" s="20"/>
      <c r="C11" s="15"/>
      <c r="D11" s="194"/>
      <c r="E11" s="194"/>
      <c r="F11" s="15"/>
    </row>
    <row r="12" spans="1:22">
      <c r="B12" s="1133">
        <f>NTA!F14</f>
        <v>6.1</v>
      </c>
      <c r="C12" s="1134" t="str">
        <f>NTA!C14</f>
        <v>Capital Work-In-Progress aging schedule</v>
      </c>
      <c r="D12" s="196"/>
      <c r="E12" s="196"/>
      <c r="F12" s="15"/>
    </row>
    <row r="13" spans="1:22">
      <c r="A13" s="20"/>
      <c r="B13" s="20"/>
      <c r="C13" s="15"/>
      <c r="D13" s="194"/>
      <c r="E13" s="1135" t="str">
        <f>+'Master Sheet'!$C$65</f>
        <v>(Amount in INR)</v>
      </c>
      <c r="F13" s="15"/>
    </row>
    <row r="14" spans="1:22" ht="18" customHeight="1">
      <c r="A14" s="20"/>
      <c r="B14" s="20"/>
      <c r="C14" s="1314" t="s">
        <v>500</v>
      </c>
      <c r="D14" s="1316" t="s">
        <v>1018</v>
      </c>
      <c r="E14" s="1316"/>
      <c r="F14" s="15"/>
    </row>
    <row r="15" spans="1:22">
      <c r="A15" s="20"/>
      <c r="B15" s="20"/>
      <c r="C15" s="1315"/>
      <c r="D15" s="1136" t="e">
        <f ca="1">BS_CY</f>
        <v>#NAME?</v>
      </c>
      <c r="E15" s="1089" t="e">
        <f ca="1">BS_PY</f>
        <v>#NAME?</v>
      </c>
      <c r="F15" s="101"/>
      <c r="G15" s="101"/>
    </row>
    <row r="16" spans="1:22" ht="15" customHeight="1">
      <c r="A16" s="20"/>
      <c r="B16" s="20"/>
      <c r="C16" s="197" t="s">
        <v>1019</v>
      </c>
      <c r="D16" s="193"/>
      <c r="E16" s="194"/>
      <c r="F16" s="1570"/>
      <c r="G16" s="1571"/>
    </row>
    <row r="17" spans="1:13" ht="15" hidden="1" customHeight="1">
      <c r="A17" s="20"/>
      <c r="B17" s="20"/>
      <c r="C17" s="198" t="s">
        <v>1020</v>
      </c>
      <c r="D17" s="799">
        <f t="shared" ref="D17:E20" ca="1" si="1">IFERROR(INDEX(INDIRECT(VLOOKUP($L17,Source_Master,2,0),),MATCH(TEXT($K17,0),INDIRECT(VLOOKUP($L17,Source_Master,4,0)),0),MATCH(D$1,INDIRECT(VLOOKUP($L17,Source_Master,3,0),),0)),0)</f>
        <v>0</v>
      </c>
      <c r="E17" s="800">
        <f t="shared" ca="1" si="1"/>
        <v>0</v>
      </c>
      <c r="F17" s="15"/>
      <c r="I17" s="1054" t="str">
        <f t="shared" ref="I17:I21" ca="1" si="2">IF(D17=0,IF(E17=0,"##H",""),"")</f>
        <v>##H</v>
      </c>
      <c r="K17" s="24" t="s">
        <v>1021</v>
      </c>
      <c r="L17" s="24" t="s">
        <v>51</v>
      </c>
      <c r="M17" s="24"/>
    </row>
    <row r="18" spans="1:13" ht="15" hidden="1" customHeight="1">
      <c r="A18" s="20"/>
      <c r="B18" s="20"/>
      <c r="C18" s="198" t="s">
        <v>1022</v>
      </c>
      <c r="D18" s="799">
        <f t="shared" ca="1" si="1"/>
        <v>0</v>
      </c>
      <c r="E18" s="800">
        <f t="shared" ca="1" si="1"/>
        <v>0</v>
      </c>
      <c r="F18" s="1570"/>
      <c r="G18" s="1571"/>
      <c r="I18" s="1054" t="str">
        <f t="shared" ca="1" si="2"/>
        <v>##H</v>
      </c>
      <c r="K18" s="24" t="s">
        <v>1023</v>
      </c>
      <c r="L18" s="24" t="s">
        <v>51</v>
      </c>
      <c r="M18" s="24"/>
    </row>
    <row r="19" spans="1:13" ht="15" hidden="1" customHeight="1">
      <c r="A19" s="20"/>
      <c r="B19" s="20"/>
      <c r="C19" s="198" t="s">
        <v>1024</v>
      </c>
      <c r="D19" s="799">
        <f t="shared" ca="1" si="1"/>
        <v>0</v>
      </c>
      <c r="E19" s="800">
        <f t="shared" ca="1" si="1"/>
        <v>0</v>
      </c>
      <c r="F19" s="1570"/>
      <c r="G19" s="1571"/>
      <c r="I19" s="1054" t="str">
        <f t="shared" ca="1" si="2"/>
        <v>##H</v>
      </c>
      <c r="K19" s="24" t="s">
        <v>1025</v>
      </c>
      <c r="L19" s="24" t="s">
        <v>51</v>
      </c>
      <c r="M19" s="24"/>
    </row>
    <row r="20" spans="1:13" ht="15" hidden="1" customHeight="1">
      <c r="A20" s="20"/>
      <c r="B20" s="20"/>
      <c r="C20" s="198" t="s">
        <v>1026</v>
      </c>
      <c r="D20" s="799">
        <f t="shared" ca="1" si="1"/>
        <v>0</v>
      </c>
      <c r="E20" s="801">
        <f t="shared" ca="1" si="1"/>
        <v>0</v>
      </c>
      <c r="F20" s="1570"/>
      <c r="G20" s="647"/>
      <c r="H20" s="647"/>
      <c r="I20" s="1054" t="str">
        <f t="shared" ca="1" si="2"/>
        <v>##H</v>
      </c>
      <c r="K20" s="24" t="s">
        <v>1027</v>
      </c>
      <c r="L20" s="24" t="s">
        <v>51</v>
      </c>
      <c r="M20" s="24"/>
    </row>
    <row r="21" spans="1:13" ht="15" hidden="1" customHeight="1">
      <c r="A21" s="20"/>
      <c r="B21" s="20"/>
      <c r="C21" s="458" t="s">
        <v>246</v>
      </c>
      <c r="D21" s="802">
        <f ca="1">SUM(D17:D20)</f>
        <v>0</v>
      </c>
      <c r="E21" s="803">
        <f ca="1">SUM(E17:E20)</f>
        <v>0</v>
      </c>
      <c r="F21" s="1570"/>
      <c r="G21" s="648"/>
      <c r="H21" s="649"/>
      <c r="I21" s="1054" t="str">
        <f t="shared" ca="1" si="2"/>
        <v>##H</v>
      </c>
      <c r="K21" s="24" t="s">
        <v>504</v>
      </c>
      <c r="L21" s="24" t="s">
        <v>50</v>
      </c>
    </row>
    <row r="22" spans="1:13" ht="15" customHeight="1">
      <c r="A22" s="20"/>
      <c r="B22" s="20"/>
      <c r="C22" s="422"/>
      <c r="D22" s="421"/>
      <c r="E22" s="421"/>
      <c r="F22" s="1570"/>
      <c r="G22" s="1571"/>
    </row>
    <row r="23" spans="1:13" ht="15" customHeight="1">
      <c r="A23" s="20"/>
      <c r="B23" s="20"/>
      <c r="C23" s="192" t="s">
        <v>1028</v>
      </c>
      <c r="D23" s="204"/>
      <c r="E23" s="204"/>
      <c r="F23" s="1570"/>
      <c r="G23" s="1571"/>
    </row>
    <row r="24" spans="1:13" ht="15" hidden="1" customHeight="1">
      <c r="A24" s="20"/>
      <c r="B24" s="20"/>
      <c r="C24" s="198" t="s">
        <v>1020</v>
      </c>
      <c r="D24" s="799">
        <f t="shared" ref="D24:E27" ca="1" si="3">IFERROR(INDEX(INDIRECT(VLOOKUP($L24,Source_Master,2,0),),MATCH(TEXT($K24,0),INDIRECT(VLOOKUP($L24,Source_Master,4,0)),0),MATCH(D$1,INDIRECT(VLOOKUP($L24,Source_Master,3,0),),0)),0)</f>
        <v>0</v>
      </c>
      <c r="E24" s="800">
        <f t="shared" ca="1" si="3"/>
        <v>0</v>
      </c>
      <c r="F24" s="1570"/>
      <c r="G24" s="1571"/>
      <c r="I24" s="1054" t="str">
        <f t="shared" ref="I24:I28" ca="1" si="4">IF(D24=0,IF(E24=0,"##H",""),"")</f>
        <v>##H</v>
      </c>
      <c r="K24" s="24" t="s">
        <v>1029</v>
      </c>
      <c r="L24" s="24" t="s">
        <v>51</v>
      </c>
    </row>
    <row r="25" spans="1:13" ht="15" hidden="1" customHeight="1">
      <c r="A25" s="20"/>
      <c r="B25" s="20"/>
      <c r="C25" s="198" t="s">
        <v>1022</v>
      </c>
      <c r="D25" s="799">
        <f t="shared" ca="1" si="3"/>
        <v>0</v>
      </c>
      <c r="E25" s="800">
        <f t="shared" ca="1" si="3"/>
        <v>0</v>
      </c>
      <c r="F25" s="1570"/>
      <c r="G25" s="1571"/>
      <c r="I25" s="1054" t="str">
        <f t="shared" ca="1" si="4"/>
        <v>##H</v>
      </c>
      <c r="K25" s="24" t="s">
        <v>1030</v>
      </c>
      <c r="L25" s="24" t="s">
        <v>51</v>
      </c>
    </row>
    <row r="26" spans="1:13" ht="15" hidden="1" customHeight="1">
      <c r="A26" s="20"/>
      <c r="B26" s="20"/>
      <c r="C26" s="198" t="s">
        <v>1024</v>
      </c>
      <c r="D26" s="799">
        <f t="shared" ca="1" si="3"/>
        <v>0</v>
      </c>
      <c r="E26" s="800">
        <f t="shared" ca="1" si="3"/>
        <v>0</v>
      </c>
      <c r="F26" s="1570"/>
      <c r="G26" s="1571"/>
      <c r="I26" s="1054" t="str">
        <f t="shared" ca="1" si="4"/>
        <v>##H</v>
      </c>
      <c r="K26" s="24" t="s">
        <v>1031</v>
      </c>
      <c r="L26" s="24" t="s">
        <v>51</v>
      </c>
    </row>
    <row r="27" spans="1:13" ht="15" hidden="1" customHeight="1">
      <c r="A27" s="20"/>
      <c r="B27" s="20"/>
      <c r="C27" s="457" t="s">
        <v>1026</v>
      </c>
      <c r="D27" s="804">
        <f t="shared" ca="1" si="3"/>
        <v>0</v>
      </c>
      <c r="E27" s="800">
        <f t="shared" ca="1" si="3"/>
        <v>0</v>
      </c>
      <c r="F27" s="1570"/>
      <c r="G27" s="1571"/>
      <c r="I27" s="1054" t="str">
        <f t="shared" ca="1" si="4"/>
        <v>##H</v>
      </c>
      <c r="K27" s="24" t="s">
        <v>1032</v>
      </c>
      <c r="L27" s="24" t="s">
        <v>51</v>
      </c>
    </row>
    <row r="28" spans="1:13" ht="15" hidden="1" customHeight="1">
      <c r="A28" s="20"/>
      <c r="B28" s="20"/>
      <c r="C28" s="451" t="s">
        <v>246</v>
      </c>
      <c r="D28" s="802">
        <f ca="1">SUM(D24:D27)</f>
        <v>0</v>
      </c>
      <c r="E28" s="803">
        <f ca="1">SUM(E24:E27)</f>
        <v>0</v>
      </c>
      <c r="F28" s="1570"/>
      <c r="G28" s="1571"/>
      <c r="I28" s="1054" t="str">
        <f t="shared" ca="1" si="4"/>
        <v>##H</v>
      </c>
    </row>
    <row r="29" spans="1:13">
      <c r="A29" s="20"/>
      <c r="B29" s="20"/>
      <c r="C29" s="15"/>
      <c r="D29" s="194"/>
      <c r="E29" s="194"/>
      <c r="F29" s="15"/>
    </row>
    <row r="30" spans="1:13" ht="26.25" customHeight="1">
      <c r="B30" s="1133">
        <f>NTA!F15</f>
        <v>6.1999999999999993</v>
      </c>
      <c r="C30" s="1317" t="str">
        <f>NTA!C15</f>
        <v>Aging schedule of Capital-work-in progress, whose completion is overdue or has exceeded its cost compared to its original plan</v>
      </c>
      <c r="D30" s="1317"/>
      <c r="E30" s="1317"/>
      <c r="F30" s="15"/>
    </row>
    <row r="31" spans="1:13">
      <c r="A31" s="20"/>
      <c r="B31" s="20"/>
      <c r="C31" s="15"/>
      <c r="D31" s="194"/>
      <c r="E31" s="1135" t="str">
        <f>+'Master Sheet'!$C$65</f>
        <v>(Amount in INR)</v>
      </c>
      <c r="F31" s="15"/>
    </row>
    <row r="32" spans="1:13">
      <c r="A32" s="20"/>
      <c r="B32" s="20"/>
      <c r="C32" s="1314" t="s">
        <v>500</v>
      </c>
      <c r="D32" s="1316" t="s">
        <v>1018</v>
      </c>
      <c r="E32" s="1316"/>
      <c r="F32" s="15"/>
    </row>
    <row r="33" spans="1:12">
      <c r="A33" s="20"/>
      <c r="B33" s="20"/>
      <c r="C33" s="1315"/>
      <c r="D33" s="1136" t="e">
        <f ca="1">BS_CY</f>
        <v>#NAME?</v>
      </c>
      <c r="E33" s="1089" t="e">
        <f ca="1">BS_PY</f>
        <v>#NAME?</v>
      </c>
      <c r="F33" s="101"/>
      <c r="G33" s="101"/>
    </row>
    <row r="34" spans="1:12" ht="15" hidden="1" customHeight="1">
      <c r="A34" s="20"/>
      <c r="B34" s="20"/>
      <c r="C34" s="197" t="s">
        <v>1019</v>
      </c>
      <c r="D34" s="193"/>
      <c r="E34" s="194"/>
      <c r="F34" s="1570"/>
      <c r="G34" s="1571"/>
      <c r="I34" s="1054" t="str">
        <f t="shared" ref="I34:I39" si="5">IF(D34=0,IF(E34=0,"##H",""),"")</f>
        <v>##H</v>
      </c>
    </row>
    <row r="35" spans="1:12" ht="15" hidden="1" customHeight="1">
      <c r="A35" s="20"/>
      <c r="B35" s="20"/>
      <c r="C35" s="198" t="s">
        <v>1020</v>
      </c>
      <c r="D35" s="799">
        <f t="shared" ref="D35:E38" ca="1" si="6">IFERROR(INDEX(INDIRECT(VLOOKUP($L35,Source_Master,2,0),),MATCH(TEXT($K35,0),INDIRECT(VLOOKUP($L35,Source_Master,4,0)),0),MATCH(D$1,INDIRECT(VLOOKUP($L35,Source_Master,3,0),),0)),0)</f>
        <v>0</v>
      </c>
      <c r="E35" s="800">
        <f t="shared" ca="1" si="6"/>
        <v>0</v>
      </c>
      <c r="F35" s="15"/>
      <c r="I35" s="1054" t="str">
        <f t="shared" ca="1" si="5"/>
        <v>##H</v>
      </c>
      <c r="K35" s="24" t="s">
        <v>1033</v>
      </c>
      <c r="L35" s="24" t="s">
        <v>51</v>
      </c>
    </row>
    <row r="36" spans="1:12" ht="15" hidden="1" customHeight="1">
      <c r="A36" s="20"/>
      <c r="B36" s="20"/>
      <c r="C36" s="198" t="s">
        <v>1022</v>
      </c>
      <c r="D36" s="799">
        <f t="shared" ca="1" si="6"/>
        <v>0</v>
      </c>
      <c r="E36" s="800">
        <f t="shared" ca="1" si="6"/>
        <v>0</v>
      </c>
      <c r="F36" s="1570"/>
      <c r="G36" s="1571"/>
      <c r="I36" s="1054" t="str">
        <f t="shared" ca="1" si="5"/>
        <v>##H</v>
      </c>
      <c r="K36" s="24" t="s">
        <v>1034</v>
      </c>
      <c r="L36" s="24" t="s">
        <v>51</v>
      </c>
    </row>
    <row r="37" spans="1:12" ht="15" hidden="1" customHeight="1">
      <c r="A37" s="20"/>
      <c r="B37" s="20"/>
      <c r="C37" s="198" t="s">
        <v>1024</v>
      </c>
      <c r="D37" s="799">
        <f t="shared" ca="1" si="6"/>
        <v>0</v>
      </c>
      <c r="E37" s="800">
        <f t="shared" ca="1" si="6"/>
        <v>0</v>
      </c>
      <c r="F37" s="1570"/>
      <c r="G37" s="1571"/>
      <c r="I37" s="1054" t="str">
        <f t="shared" ca="1" si="5"/>
        <v>##H</v>
      </c>
      <c r="K37" s="24" t="s">
        <v>1035</v>
      </c>
      <c r="L37" s="24" t="s">
        <v>51</v>
      </c>
    </row>
    <row r="38" spans="1:12" ht="15" hidden="1" customHeight="1">
      <c r="A38" s="20"/>
      <c r="B38" s="20"/>
      <c r="C38" s="198" t="s">
        <v>1026</v>
      </c>
      <c r="D38" s="799">
        <f t="shared" ca="1" si="6"/>
        <v>0</v>
      </c>
      <c r="E38" s="801">
        <f t="shared" ca="1" si="6"/>
        <v>0</v>
      </c>
      <c r="F38" s="1570"/>
      <c r="G38" s="1571"/>
      <c r="I38" s="1054" t="str">
        <f t="shared" ca="1" si="5"/>
        <v>##H</v>
      </c>
      <c r="K38" s="24" t="s">
        <v>1036</v>
      </c>
      <c r="L38" s="24" t="s">
        <v>51</v>
      </c>
    </row>
    <row r="39" spans="1:12" ht="15" hidden="1" customHeight="1">
      <c r="A39" s="20"/>
      <c r="B39" s="20"/>
      <c r="C39" s="458" t="s">
        <v>246</v>
      </c>
      <c r="D39" s="802">
        <f ca="1">SUM(D35:D38)</f>
        <v>0</v>
      </c>
      <c r="E39" s="803">
        <f ca="1">SUM(E35:E38)</f>
        <v>0</v>
      </c>
      <c r="F39" s="1570"/>
      <c r="G39" s="1571"/>
      <c r="I39" s="1054" t="str">
        <f t="shared" ca="1" si="5"/>
        <v>##H</v>
      </c>
    </row>
    <row r="40" spans="1:12">
      <c r="A40" s="20"/>
      <c r="B40" s="20"/>
      <c r="C40" s="422"/>
      <c r="D40" s="421"/>
      <c r="E40" s="421"/>
      <c r="F40" s="1570"/>
      <c r="G40" s="1571"/>
    </row>
    <row r="41" spans="1:12">
      <c r="A41" s="20"/>
      <c r="B41" s="20"/>
      <c r="C41" s="192" t="s">
        <v>1028</v>
      </c>
      <c r="D41" s="204"/>
      <c r="E41" s="204"/>
      <c r="F41" s="1570"/>
      <c r="G41" s="1571"/>
    </row>
    <row r="42" spans="1:12" ht="15" hidden="1" customHeight="1">
      <c r="A42" s="20"/>
      <c r="B42" s="20"/>
      <c r="C42" s="198" t="s">
        <v>1020</v>
      </c>
      <c r="D42" s="799">
        <f t="shared" ref="D42:E45" ca="1" si="7">IFERROR(INDEX(INDIRECT(VLOOKUP($L42,Source_Master,2,0),),MATCH(TEXT($K42,0),INDIRECT(VLOOKUP($L42,Source_Master,4,0)),0),MATCH(D$1,INDIRECT(VLOOKUP($L42,Source_Master,3,0),),0)),0)</f>
        <v>0</v>
      </c>
      <c r="E42" s="800">
        <f t="shared" ca="1" si="7"/>
        <v>0</v>
      </c>
      <c r="F42" s="1570"/>
      <c r="G42" s="1571"/>
      <c r="I42" s="1054" t="str">
        <f t="shared" ref="I42:I46" ca="1" si="8">IF(D42=0,IF(E42=0,"##H",""),"")</f>
        <v>##H</v>
      </c>
      <c r="K42" s="24" t="s">
        <v>1037</v>
      </c>
      <c r="L42" s="24" t="s">
        <v>51</v>
      </c>
    </row>
    <row r="43" spans="1:12" ht="15" hidden="1" customHeight="1">
      <c r="A43" s="20"/>
      <c r="B43" s="20"/>
      <c r="C43" s="198" t="s">
        <v>1022</v>
      </c>
      <c r="D43" s="799">
        <f t="shared" ca="1" si="7"/>
        <v>0</v>
      </c>
      <c r="E43" s="800">
        <f t="shared" ca="1" si="7"/>
        <v>0</v>
      </c>
      <c r="F43" s="1570"/>
      <c r="G43" s="1571"/>
      <c r="I43" s="1054" t="str">
        <f t="shared" ca="1" si="8"/>
        <v>##H</v>
      </c>
      <c r="K43" s="24" t="s">
        <v>1038</v>
      </c>
      <c r="L43" s="24" t="s">
        <v>51</v>
      </c>
    </row>
    <row r="44" spans="1:12" ht="15" hidden="1" customHeight="1">
      <c r="A44" s="20"/>
      <c r="B44" s="20"/>
      <c r="C44" s="198" t="s">
        <v>1024</v>
      </c>
      <c r="D44" s="799">
        <f t="shared" ca="1" si="7"/>
        <v>0</v>
      </c>
      <c r="E44" s="800">
        <f t="shared" ca="1" si="7"/>
        <v>0</v>
      </c>
      <c r="F44" s="1570"/>
      <c r="G44" s="1571"/>
      <c r="I44" s="1054" t="str">
        <f t="shared" ca="1" si="8"/>
        <v>##H</v>
      </c>
      <c r="K44" s="24" t="s">
        <v>1039</v>
      </c>
      <c r="L44" s="24" t="s">
        <v>51</v>
      </c>
    </row>
    <row r="45" spans="1:12" ht="15" hidden="1" customHeight="1">
      <c r="A45" s="20"/>
      <c r="B45" s="20"/>
      <c r="C45" s="457" t="s">
        <v>1026</v>
      </c>
      <c r="D45" s="804">
        <f t="shared" ca="1" si="7"/>
        <v>0</v>
      </c>
      <c r="E45" s="800">
        <f t="shared" ca="1" si="7"/>
        <v>0</v>
      </c>
      <c r="F45" s="1570"/>
      <c r="G45" s="1571"/>
      <c r="I45" s="1054" t="str">
        <f t="shared" ca="1" si="8"/>
        <v>##H</v>
      </c>
      <c r="K45" s="24" t="s">
        <v>1040</v>
      </c>
      <c r="L45" s="24" t="s">
        <v>51</v>
      </c>
    </row>
    <row r="46" spans="1:12" ht="15" hidden="1" customHeight="1">
      <c r="A46" s="20"/>
      <c r="B46" s="20"/>
      <c r="C46" s="451" t="s">
        <v>246</v>
      </c>
      <c r="D46" s="802">
        <f ca="1">SUM(D42:D45)</f>
        <v>0</v>
      </c>
      <c r="E46" s="803">
        <f ca="1">SUM(E42:E45)</f>
        <v>0</v>
      </c>
      <c r="F46" s="1570"/>
      <c r="G46" s="1571"/>
      <c r="I46" s="1054" t="str">
        <f t="shared" ca="1" si="8"/>
        <v>##H</v>
      </c>
    </row>
    <row r="49" spans="3:5">
      <c r="C49" s="22" t="s">
        <v>1041</v>
      </c>
    </row>
    <row r="50" spans="3:5">
      <c r="C50" s="669" t="s">
        <v>196</v>
      </c>
      <c r="D50" s="1137">
        <f ca="1">D10-D21-D28</f>
        <v>0</v>
      </c>
      <c r="E50" s="1137">
        <f ca="1">E10-E21-E28</f>
        <v>0</v>
      </c>
    </row>
  </sheetData>
  <sheetProtection algorithmName="SHA-512" hashValue="Cg0N/S2ohkc+fOYRmWSfXHWNbU0reR5ENIMPhVB9AVIPmzL9RXrOaPagVcPwxatrm2Ev7x3NhmQttIbNml5fqw==" saltValue="kbY2cvgaucXm2pPACEUwYw==" spinCount="100000" sheet="1" objects="1" scenarios="1"/>
  <mergeCells count="6">
    <mergeCell ref="B8:C8"/>
    <mergeCell ref="C14:C15"/>
    <mergeCell ref="D14:E14"/>
    <mergeCell ref="C32:C33"/>
    <mergeCell ref="D32:E32"/>
    <mergeCell ref="C30:E30"/>
  </mergeCells>
  <pageMargins left="0.70866141732283472" right="0.70866141732283472" top="0.74803149606299213" bottom="0.74803149606299213" header="0.31496062992125984" footer="0.31496062992125984"/>
  <pageSetup paperSize="9" scale="93"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C560B583-850D-4CE8-89E4-643B1911F09D}">
          <x14:formula1>
            <xm:f>'Master Sheet'!$C$37:$C$41</xm:f>
          </x14:formula1>
          <xm:sqref>L9 L42:L45 L35:L38 L24:L28 L17:L21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F1ED8-BDAE-43C2-95E2-D7EB65A74A94}">
  <sheetPr codeName="Sheet22">
    <tabColor theme="5" tint="0.59999389629810485"/>
    <pageSetUpPr fitToPage="1"/>
  </sheetPr>
  <dimension ref="A1:X82"/>
  <sheetViews>
    <sheetView showGridLines="0" view="pageBreakPreview" zoomScaleNormal="100" zoomScaleSheetLayoutView="100" workbookViewId="0">
      <pane xSplit="2" ySplit="8" topLeftCell="D9" activePane="bottomRight" state="frozen"/>
      <selection pane="bottomRight" activeCell="K1" sqref="K1"/>
      <selection pane="bottomLeft" activeCell="A6" sqref="A6"/>
      <selection pane="topRight" activeCell="C1" sqref="C1"/>
    </sheetView>
  </sheetViews>
  <sheetFormatPr defaultColWidth="8.85546875" defaultRowHeight="13.15" outlineLevelRow="1" outlineLevelCol="1"/>
  <cols>
    <col min="1" max="1" customWidth="true" style="2" width="4.42578125"/>
    <col min="2" max="2" bestFit="true" customWidth="true" style="2" width="43.0"/>
    <col min="3" max="11" customWidth="true" style="2" width="19.0"/>
    <col min="12" max="12" customWidth="true" style="2" width="3.7109375"/>
    <col min="13" max="13" customWidth="true" hidden="true" style="132" width="13.7109375"/>
    <col min="14" max="15" style="2" width="8.85546875"/>
    <col min="16" max="24" customWidth="true" hidden="true" style="24" width="21.28515625" outlineLevel="1"/>
    <col min="25" max="25" style="2" width="8.85546875" collapsed="true"/>
    <col min="26" max="16384" style="2" width="8.85546875"/>
  </cols>
  <sheetData>
    <row r="1" spans="1:24" hidden="1" outlineLevel="1">
      <c r="I1" s="1083" t="str">
        <f>BS!C1</f>
        <v>7756|001|INR|Actual|Standalone</v>
      </c>
      <c r="J1" s="1083" t="str">
        <f>BS!D1</f>
        <v>7756|002|INR|Actual|Standalone</v>
      </c>
      <c r="K1" s="1083" t="str">
        <f>BS!E1</f>
        <v>7756|003|INR|Actual|Standalone</v>
      </c>
      <c r="M1" s="1245"/>
      <c r="O1" s="15" t="s">
        <v>492</v>
      </c>
    </row>
    <row r="2" spans="1:24" hidden="1" outlineLevel="1">
      <c r="M2" s="1245"/>
    </row>
    <row r="3" spans="1:24" hidden="1" outlineLevel="1">
      <c r="M3" s="1245"/>
    </row>
    <row r="4" spans="1:24" ht="17.45" collapsed="1">
      <c r="A4" s="1077" t="e">
        <f ca="1">Company</f>
        <v>#NAME?</v>
      </c>
      <c r="M4" s="1245"/>
    </row>
    <row r="5" spans="1:24" ht="15.6">
      <c r="A5" s="1078" t="e">
        <f ca="1">Note_Head</f>
        <v>#NAME?</v>
      </c>
      <c r="M5" s="1245"/>
    </row>
    <row r="6" spans="1:24" ht="15.6">
      <c r="A6" s="1"/>
      <c r="M6" s="1245"/>
    </row>
    <row r="7" spans="1:24" ht="13.9">
      <c r="A7" s="1138">
        <f>NTA!F16</f>
        <v>7</v>
      </c>
      <c r="B7" s="1134" t="str">
        <f>NTA!C16&amp;" and "&amp;NTA!C17</f>
        <v>Goodwill and Other Intangible Assets</v>
      </c>
      <c r="M7" s="1245"/>
    </row>
    <row r="8" spans="1:24" ht="26.45">
      <c r="B8" s="983" t="s">
        <v>1042</v>
      </c>
      <c r="C8" s="983" t="s">
        <v>1043</v>
      </c>
      <c r="D8" s="983" t="s">
        <v>203</v>
      </c>
      <c r="E8" s="983" t="s">
        <v>1044</v>
      </c>
      <c r="F8" s="983" t="s">
        <v>1045</v>
      </c>
      <c r="G8" s="983" t="s">
        <v>1046</v>
      </c>
      <c r="H8" s="983" t="s">
        <v>1047</v>
      </c>
      <c r="I8" s="983" t="s">
        <v>1048</v>
      </c>
      <c r="J8" s="983" t="s">
        <v>1049</v>
      </c>
      <c r="K8" s="983" t="s">
        <v>246</v>
      </c>
      <c r="M8" s="1245"/>
      <c r="P8" s="31" t="s">
        <v>1043</v>
      </c>
      <c r="Q8" s="31" t="s">
        <v>203</v>
      </c>
      <c r="R8" s="31" t="s">
        <v>1044</v>
      </c>
      <c r="S8" s="31" t="s">
        <v>1045</v>
      </c>
      <c r="T8" s="31" t="s">
        <v>1046</v>
      </c>
      <c r="U8" s="31" t="s">
        <v>1047</v>
      </c>
      <c r="V8" s="31" t="s">
        <v>1048</v>
      </c>
      <c r="W8" s="31" t="s">
        <v>1049</v>
      </c>
      <c r="X8" s="31"/>
    </row>
    <row r="9" spans="1:24" ht="15" customHeight="1">
      <c r="B9" s="984" t="s">
        <v>878</v>
      </c>
      <c r="C9" s="985"/>
      <c r="D9" s="985"/>
      <c r="E9" s="985"/>
      <c r="F9" s="985"/>
      <c r="G9" s="985"/>
      <c r="H9" s="985"/>
      <c r="I9" s="985"/>
      <c r="J9" s="985"/>
      <c r="K9" s="986"/>
      <c r="M9" s="1245"/>
    </row>
    <row r="10" spans="1:24" ht="15" customHeight="1">
      <c r="B10" s="703"/>
      <c r="C10" s="987"/>
      <c r="D10" s="987"/>
      <c r="E10" s="987"/>
      <c r="F10" s="987"/>
      <c r="G10" s="987"/>
      <c r="H10" s="987"/>
      <c r="I10" s="987"/>
      <c r="J10" s="987"/>
      <c r="K10" s="988"/>
      <c r="M10" s="1245"/>
    </row>
    <row r="11" spans="1:24" ht="15" hidden="1" customHeight="1">
      <c r="B11" s="1139" t="e">
        <f ca="1">PPE_PVS_OP_BAL</f>
        <v>#NAME?</v>
      </c>
      <c r="C11" s="989">
        <f t="shared" ref="C11:I11" ca="1" si="0">IFERROR(INDEX(INDIRECT(VLOOKUP($X11,Source_Master,2,0),),MATCH(TEXT(P11,0),INDIRECT(VLOOKUP($X11,Source_Master,4,0)),0),MATCH($K$1,INDIRECT(VLOOKUP($X11,Source_Master,3,0),),0)),0)</f>
        <v>0</v>
      </c>
      <c r="D11" s="989">
        <f t="shared" ca="1" si="0"/>
        <v>0</v>
      </c>
      <c r="E11" s="989">
        <f ca="1">SUM(C11:D11)</f>
        <v>0</v>
      </c>
      <c r="F11" s="989">
        <f t="shared" ca="1" si="0"/>
        <v>0</v>
      </c>
      <c r="G11" s="989">
        <f t="shared" ca="1" si="0"/>
        <v>0</v>
      </c>
      <c r="H11" s="989">
        <f t="shared" ca="1" si="0"/>
        <v>0</v>
      </c>
      <c r="I11" s="989">
        <f t="shared" ca="1" si="0"/>
        <v>0</v>
      </c>
      <c r="J11" s="989">
        <f ca="1">SUM(F11:I11)</f>
        <v>0</v>
      </c>
      <c r="K11" s="990">
        <f ca="1">SUM(C11:D11)+SUM(F11:I11)</f>
        <v>0</v>
      </c>
      <c r="M11" s="1245"/>
      <c r="O11" s="2" t="str">
        <f ca="1">IF(AND(C11=0,D11=0,F11=0,G11=0,H11=0,I11=0),"##H","")</f>
        <v>##H</v>
      </c>
      <c r="P11" s="24" t="s">
        <v>1050</v>
      </c>
      <c r="Q11" s="24" t="s">
        <v>1051</v>
      </c>
      <c r="R11" s="24" t="s">
        <v>1052</v>
      </c>
      <c r="S11" s="24" t="s">
        <v>1053</v>
      </c>
      <c r="T11" s="24" t="s">
        <v>1054</v>
      </c>
      <c r="U11" s="24" t="s">
        <v>1055</v>
      </c>
      <c r="V11" s="24" t="s">
        <v>1056</v>
      </c>
      <c r="W11" s="24" t="s">
        <v>1057</v>
      </c>
      <c r="X11" s="24" t="s">
        <v>50</v>
      </c>
    </row>
    <row r="12" spans="1:24" ht="15" hidden="1" customHeight="1">
      <c r="B12" s="703" t="s">
        <v>1058</v>
      </c>
      <c r="C12" s="989">
        <f t="shared" ref="C12:C20" ca="1" si="1">IFERROR(INDEX(INDIRECT(VLOOKUP($X12,Source_Master,2,0),),MATCH(TEXT(P12,0),INDIRECT(VLOOKUP($X12,Source_Master,4,0)),0),MATCH($J$1,INDIRECT(VLOOKUP($X12,Source_Master,3,0),),0)),0)</f>
        <v>0</v>
      </c>
      <c r="D12" s="989">
        <f t="shared" ref="D12:D20" ca="1" si="2">IFERROR(INDEX(INDIRECT(VLOOKUP($X12,Source_Master,2,0),),MATCH(TEXT(Q12,0),INDIRECT(VLOOKUP($X12,Source_Master,4,0)),0),MATCH($J$1,INDIRECT(VLOOKUP($X12,Source_Master,3,0),),0)),0)</f>
        <v>0</v>
      </c>
      <c r="E12" s="989">
        <f t="shared" ref="E12:E19" ca="1" si="3">SUM(C12:D12)</f>
        <v>0</v>
      </c>
      <c r="F12" s="989">
        <f t="shared" ref="F12:F20" ca="1" si="4">IFERROR(INDEX(INDIRECT(VLOOKUP($X12,Source_Master,2,0),),MATCH(TEXT(S12,0),INDIRECT(VLOOKUP($X12,Source_Master,4,0)),0),MATCH($J$1,INDIRECT(VLOOKUP($X12,Source_Master,3,0),),0)),0)</f>
        <v>0</v>
      </c>
      <c r="G12" s="989">
        <f t="shared" ref="G12:G20" ca="1" si="5">IFERROR(INDEX(INDIRECT(VLOOKUP($X12,Source_Master,2,0),),MATCH(TEXT(T12,0),INDIRECT(VLOOKUP($X12,Source_Master,4,0)),0),MATCH($J$1,INDIRECT(VLOOKUP($X12,Source_Master,3,0),),0)),0)</f>
        <v>0</v>
      </c>
      <c r="H12" s="989">
        <f t="shared" ref="H12:H20" ca="1" si="6">IFERROR(INDEX(INDIRECT(VLOOKUP($X12,Source_Master,2,0),),MATCH(TEXT(U12,0),INDIRECT(VLOOKUP($X12,Source_Master,4,0)),0),MATCH($J$1,INDIRECT(VLOOKUP($X12,Source_Master,3,0),),0)),0)</f>
        <v>0</v>
      </c>
      <c r="I12" s="989">
        <f t="shared" ref="I12:I20" ca="1" si="7">IFERROR(INDEX(INDIRECT(VLOOKUP($X12,Source_Master,2,0),),MATCH(TEXT(V12,0),INDIRECT(VLOOKUP($X12,Source_Master,4,0)),0),MATCH($J$1,INDIRECT(VLOOKUP($X12,Source_Master,3,0),),0)),0)</f>
        <v>0</v>
      </c>
      <c r="J12" s="989">
        <f t="shared" ref="J12:J20" ca="1" si="8">SUM(F12:I12)</f>
        <v>0</v>
      </c>
      <c r="K12" s="990">
        <f t="shared" ref="K12:K20" ca="1" si="9">SUM(C12:D12)+SUM(F12:I12)</f>
        <v>0</v>
      </c>
      <c r="M12" s="1245"/>
      <c r="O12" s="2" t="str">
        <f t="shared" ref="O12:O31" ca="1" si="10">IF(AND(C12=0,D12=0,F12=0,G12=0,H12=0,I12=0),"##H","")</f>
        <v>##H</v>
      </c>
      <c r="P12" s="24" t="s">
        <v>1059</v>
      </c>
      <c r="Q12" s="24" t="s">
        <v>1060</v>
      </c>
      <c r="S12" s="24" t="s">
        <v>1061</v>
      </c>
      <c r="T12" s="24" t="s">
        <v>1062</v>
      </c>
      <c r="U12" s="24" t="s">
        <v>1063</v>
      </c>
      <c r="V12" s="24" t="s">
        <v>1064</v>
      </c>
      <c r="X12" s="24" t="s">
        <v>51</v>
      </c>
    </row>
    <row r="13" spans="1:24" ht="15" hidden="1" customHeight="1">
      <c r="B13" s="703" t="s">
        <v>1065</v>
      </c>
      <c r="C13" s="989">
        <f ca="1">SUM(C11:C12)</f>
        <v>0</v>
      </c>
      <c r="D13" s="989">
        <f ca="1">SUM(D11:D12)</f>
        <v>0</v>
      </c>
      <c r="E13" s="989">
        <f t="shared" ca="1" si="3"/>
        <v>0</v>
      </c>
      <c r="F13" s="989">
        <f ca="1">SUM(F11:F12)</f>
        <v>0</v>
      </c>
      <c r="G13" s="989">
        <f t="shared" ref="G13:I13" ca="1" si="11">SUM(G11:G12)</f>
        <v>0</v>
      </c>
      <c r="H13" s="989">
        <f t="shared" ca="1" si="11"/>
        <v>0</v>
      </c>
      <c r="I13" s="989">
        <f t="shared" ca="1" si="11"/>
        <v>0</v>
      </c>
      <c r="J13" s="989">
        <f t="shared" ca="1" si="8"/>
        <v>0</v>
      </c>
      <c r="K13" s="990">
        <f t="shared" ca="1" si="9"/>
        <v>0</v>
      </c>
      <c r="M13" s="1245"/>
      <c r="O13" s="2" t="str">
        <f t="shared" ca="1" si="10"/>
        <v>##H</v>
      </c>
      <c r="X13" s="24" t="s">
        <v>51</v>
      </c>
    </row>
    <row r="14" spans="1:24" ht="15" hidden="1" customHeight="1">
      <c r="B14" s="703" t="s">
        <v>888</v>
      </c>
      <c r="C14" s="989">
        <f t="shared" ca="1" si="1"/>
        <v>0</v>
      </c>
      <c r="D14" s="989">
        <f t="shared" ca="1" si="2"/>
        <v>0</v>
      </c>
      <c r="E14" s="989">
        <f t="shared" ca="1" si="3"/>
        <v>0</v>
      </c>
      <c r="F14" s="989">
        <f t="shared" ca="1" si="4"/>
        <v>0</v>
      </c>
      <c r="G14" s="989">
        <f t="shared" ca="1" si="5"/>
        <v>0</v>
      </c>
      <c r="H14" s="989">
        <f t="shared" ca="1" si="6"/>
        <v>0</v>
      </c>
      <c r="I14" s="989">
        <f t="shared" ca="1" si="7"/>
        <v>0</v>
      </c>
      <c r="J14" s="989">
        <f t="shared" ca="1" si="8"/>
        <v>0</v>
      </c>
      <c r="K14" s="990">
        <f t="shared" ca="1" si="9"/>
        <v>0</v>
      </c>
      <c r="M14" s="1245"/>
      <c r="O14" s="2" t="str">
        <f t="shared" ca="1" si="10"/>
        <v>##H</v>
      </c>
      <c r="P14" s="24" t="s">
        <v>1066</v>
      </c>
      <c r="Q14" s="24" t="s">
        <v>1067</v>
      </c>
      <c r="S14" s="24" t="s">
        <v>1068</v>
      </c>
      <c r="T14" s="24" t="s">
        <v>1069</v>
      </c>
      <c r="U14" s="24" t="s">
        <v>1070</v>
      </c>
      <c r="V14" s="24" t="s">
        <v>1071</v>
      </c>
      <c r="X14" s="24" t="s">
        <v>51</v>
      </c>
    </row>
    <row r="15" spans="1:24" ht="15" hidden="1" customHeight="1">
      <c r="B15" s="703" t="s">
        <v>1072</v>
      </c>
      <c r="C15" s="989">
        <f t="shared" ca="1" si="1"/>
        <v>0</v>
      </c>
      <c r="D15" s="989">
        <f t="shared" ca="1" si="2"/>
        <v>0</v>
      </c>
      <c r="E15" s="989">
        <f t="shared" ca="1" si="3"/>
        <v>0</v>
      </c>
      <c r="F15" s="989">
        <f t="shared" ca="1" si="4"/>
        <v>0</v>
      </c>
      <c r="G15" s="989">
        <f t="shared" ca="1" si="5"/>
        <v>0</v>
      </c>
      <c r="H15" s="989">
        <f t="shared" ca="1" si="6"/>
        <v>0</v>
      </c>
      <c r="I15" s="989">
        <f t="shared" ca="1" si="7"/>
        <v>0</v>
      </c>
      <c r="J15" s="989">
        <f t="shared" ca="1" si="8"/>
        <v>0</v>
      </c>
      <c r="K15" s="990">
        <f t="shared" ca="1" si="9"/>
        <v>0</v>
      </c>
      <c r="M15" s="1245"/>
      <c r="O15" s="2" t="str">
        <f t="shared" ca="1" si="10"/>
        <v>##H</v>
      </c>
      <c r="P15" s="24" t="s">
        <v>1073</v>
      </c>
      <c r="Q15" s="24" t="s">
        <v>1074</v>
      </c>
      <c r="S15" s="24" t="s">
        <v>1075</v>
      </c>
      <c r="T15" s="24" t="s">
        <v>1076</v>
      </c>
      <c r="U15" s="24" t="s">
        <v>1077</v>
      </c>
      <c r="V15" s="24" t="s">
        <v>1078</v>
      </c>
      <c r="X15" s="24" t="s">
        <v>51</v>
      </c>
    </row>
    <row r="16" spans="1:24" ht="15" hidden="1" customHeight="1">
      <c r="B16" s="703" t="s">
        <v>915</v>
      </c>
      <c r="C16" s="989">
        <f t="shared" ca="1" si="1"/>
        <v>0</v>
      </c>
      <c r="D16" s="989">
        <f t="shared" ca="1" si="2"/>
        <v>0</v>
      </c>
      <c r="E16" s="989">
        <f t="shared" ca="1" si="3"/>
        <v>0</v>
      </c>
      <c r="F16" s="989">
        <f t="shared" ca="1" si="4"/>
        <v>0</v>
      </c>
      <c r="G16" s="989">
        <f t="shared" ca="1" si="5"/>
        <v>0</v>
      </c>
      <c r="H16" s="989">
        <f t="shared" ca="1" si="6"/>
        <v>0</v>
      </c>
      <c r="I16" s="989">
        <f t="shared" ca="1" si="7"/>
        <v>0</v>
      </c>
      <c r="J16" s="989">
        <f t="shared" ca="1" si="8"/>
        <v>0</v>
      </c>
      <c r="K16" s="990">
        <f t="shared" ca="1" si="9"/>
        <v>0</v>
      </c>
      <c r="M16" s="1245"/>
      <c r="O16" s="2" t="str">
        <f t="shared" ca="1" si="10"/>
        <v>##H</v>
      </c>
      <c r="P16" s="24" t="s">
        <v>1079</v>
      </c>
      <c r="Q16" s="24" t="s">
        <v>1080</v>
      </c>
      <c r="S16" s="24" t="s">
        <v>1081</v>
      </c>
      <c r="T16" s="24" t="s">
        <v>1082</v>
      </c>
      <c r="U16" s="24" t="s">
        <v>1083</v>
      </c>
      <c r="V16" s="24" t="s">
        <v>1084</v>
      </c>
      <c r="X16" s="24" t="s">
        <v>51</v>
      </c>
    </row>
    <row r="17" spans="2:24" ht="15" hidden="1" customHeight="1">
      <c r="B17" s="703" t="s">
        <v>924</v>
      </c>
      <c r="C17" s="989">
        <f t="shared" ca="1" si="1"/>
        <v>0</v>
      </c>
      <c r="D17" s="989">
        <f t="shared" ca="1" si="2"/>
        <v>0</v>
      </c>
      <c r="E17" s="989">
        <f t="shared" ca="1" si="3"/>
        <v>0</v>
      </c>
      <c r="F17" s="989">
        <f t="shared" ca="1" si="4"/>
        <v>0</v>
      </c>
      <c r="G17" s="989">
        <f t="shared" ca="1" si="5"/>
        <v>0</v>
      </c>
      <c r="H17" s="989">
        <f t="shared" ca="1" si="6"/>
        <v>0</v>
      </c>
      <c r="I17" s="989">
        <f t="shared" ca="1" si="7"/>
        <v>0</v>
      </c>
      <c r="J17" s="989">
        <f t="shared" ca="1" si="8"/>
        <v>0</v>
      </c>
      <c r="K17" s="990">
        <f t="shared" ca="1" si="9"/>
        <v>0</v>
      </c>
      <c r="M17" s="1245"/>
      <c r="O17" s="2" t="str">
        <f t="shared" ca="1" si="10"/>
        <v>##H</v>
      </c>
      <c r="X17" s="24" t="s">
        <v>51</v>
      </c>
    </row>
    <row r="18" spans="2:24" ht="15" hidden="1" customHeight="1">
      <c r="B18" s="703" t="s">
        <v>1085</v>
      </c>
      <c r="C18" s="989">
        <f t="shared" ca="1" si="1"/>
        <v>0</v>
      </c>
      <c r="D18" s="989">
        <f t="shared" ca="1" si="2"/>
        <v>0</v>
      </c>
      <c r="E18" s="989">
        <f t="shared" ca="1" si="3"/>
        <v>0</v>
      </c>
      <c r="F18" s="989">
        <f t="shared" ca="1" si="4"/>
        <v>0</v>
      </c>
      <c r="G18" s="989">
        <f t="shared" ca="1" si="5"/>
        <v>0</v>
      </c>
      <c r="H18" s="989">
        <f t="shared" ca="1" si="6"/>
        <v>0</v>
      </c>
      <c r="I18" s="989">
        <f t="shared" ca="1" si="7"/>
        <v>0</v>
      </c>
      <c r="J18" s="989">
        <f t="shared" ca="1" si="8"/>
        <v>0</v>
      </c>
      <c r="K18" s="990">
        <f t="shared" ca="1" si="9"/>
        <v>0</v>
      </c>
      <c r="M18" s="1245"/>
      <c r="O18" s="2" t="str">
        <f t="shared" ca="1" si="10"/>
        <v>##H</v>
      </c>
      <c r="P18" s="24" t="s">
        <v>1086</v>
      </c>
      <c r="Q18" s="24" t="s">
        <v>1087</v>
      </c>
      <c r="S18" s="24" t="s">
        <v>1088</v>
      </c>
      <c r="T18" s="24" t="s">
        <v>1089</v>
      </c>
      <c r="U18" s="24" t="s">
        <v>1090</v>
      </c>
      <c r="V18" s="24" t="s">
        <v>1091</v>
      </c>
      <c r="X18" s="24" t="s">
        <v>51</v>
      </c>
    </row>
    <row r="19" spans="2:24" ht="15" hidden="1" customHeight="1">
      <c r="B19" s="703" t="s">
        <v>1092</v>
      </c>
      <c r="C19" s="989">
        <f t="shared" ca="1" si="1"/>
        <v>0</v>
      </c>
      <c r="D19" s="989">
        <f t="shared" ca="1" si="2"/>
        <v>0</v>
      </c>
      <c r="E19" s="989">
        <f t="shared" ca="1" si="3"/>
        <v>0</v>
      </c>
      <c r="F19" s="989">
        <f t="shared" ca="1" si="4"/>
        <v>0</v>
      </c>
      <c r="G19" s="989">
        <f t="shared" ca="1" si="5"/>
        <v>0</v>
      </c>
      <c r="H19" s="989">
        <f t="shared" ca="1" si="6"/>
        <v>0</v>
      </c>
      <c r="I19" s="989">
        <f t="shared" ca="1" si="7"/>
        <v>0</v>
      </c>
      <c r="J19" s="989">
        <f t="shared" ca="1" si="8"/>
        <v>0</v>
      </c>
      <c r="K19" s="991">
        <f t="shared" ca="1" si="9"/>
        <v>0</v>
      </c>
      <c r="M19" s="598" t="s">
        <v>496</v>
      </c>
      <c r="O19" s="2" t="str">
        <f t="shared" ca="1" si="10"/>
        <v>##H</v>
      </c>
      <c r="P19" s="24" t="s">
        <v>1093</v>
      </c>
      <c r="Q19" s="24" t="s">
        <v>1094</v>
      </c>
      <c r="S19" s="24" t="s">
        <v>1095</v>
      </c>
      <c r="T19" s="24" t="s">
        <v>1096</v>
      </c>
      <c r="U19" s="24" t="s">
        <v>1097</v>
      </c>
      <c r="V19" s="24" t="s">
        <v>1098</v>
      </c>
      <c r="X19" s="24" t="s">
        <v>51</v>
      </c>
    </row>
    <row r="20" spans="2:24" ht="15" customHeight="1">
      <c r="B20" s="1139" t="e">
        <f ca="1">PPE_PVS_CL_BAL</f>
        <v>#NAME?</v>
      </c>
      <c r="C20" s="792">
        <f t="shared" ca="1" si="1"/>
        <v>0</v>
      </c>
      <c r="D20" s="792">
        <f t="shared" ca="1" si="2"/>
        <v>0</v>
      </c>
      <c r="E20" s="792">
        <f ca="1">SUM(C20:D20)</f>
        <v>0</v>
      </c>
      <c r="F20" s="792">
        <f t="shared" ca="1" si="4"/>
        <v>0</v>
      </c>
      <c r="G20" s="792">
        <f t="shared" ca="1" si="5"/>
        <v>0</v>
      </c>
      <c r="H20" s="792">
        <f t="shared" ca="1" si="6"/>
        <v>0</v>
      </c>
      <c r="I20" s="792">
        <f t="shared" ca="1" si="7"/>
        <v>0</v>
      </c>
      <c r="J20" s="792">
        <f t="shared" ca="1" si="8"/>
        <v>0</v>
      </c>
      <c r="K20" s="792">
        <f t="shared" ca="1" si="9"/>
        <v>0</v>
      </c>
      <c r="M20" s="1140">
        <f ca="1">K20-SUM(K13:K19)</f>
        <v>0</v>
      </c>
      <c r="O20" s="2" t="str">
        <f t="shared" ca="1" si="10"/>
        <v>##H</v>
      </c>
      <c r="P20" s="24" t="s">
        <v>1050</v>
      </c>
      <c r="Q20" s="24" t="s">
        <v>1051</v>
      </c>
      <c r="R20" s="24" t="s">
        <v>1052</v>
      </c>
      <c r="S20" s="24" t="s">
        <v>1053</v>
      </c>
      <c r="T20" s="24" t="s">
        <v>1054</v>
      </c>
      <c r="U20" s="24" t="s">
        <v>1055</v>
      </c>
      <c r="V20" s="24" t="s">
        <v>1056</v>
      </c>
      <c r="W20" s="24" t="s">
        <v>1057</v>
      </c>
      <c r="X20" s="24" t="s">
        <v>50</v>
      </c>
    </row>
    <row r="21" spans="2:24" ht="15" customHeight="1">
      <c r="B21" s="703"/>
      <c r="C21" s="985"/>
      <c r="D21" s="985"/>
      <c r="E21" s="985"/>
      <c r="F21" s="985"/>
      <c r="G21" s="985"/>
      <c r="H21" s="985"/>
      <c r="I21" s="985"/>
      <c r="J21" s="985"/>
      <c r="K21" s="992"/>
      <c r="M21" s="1245"/>
    </row>
    <row r="22" spans="2:24" ht="15" customHeight="1">
      <c r="B22" s="1139" t="e">
        <f ca="1">PPE_OP_BAL</f>
        <v>#NAME?</v>
      </c>
      <c r="C22" s="993">
        <f ca="1">C20</f>
        <v>0</v>
      </c>
      <c r="D22" s="993">
        <f ca="1">D20</f>
        <v>0</v>
      </c>
      <c r="E22" s="993">
        <f ca="1">SUM(C22:D22)</f>
        <v>0</v>
      </c>
      <c r="F22" s="993">
        <f ca="1">F20</f>
        <v>0</v>
      </c>
      <c r="G22" s="993">
        <f t="shared" ref="G22:I22" ca="1" si="12">G20</f>
        <v>0</v>
      </c>
      <c r="H22" s="993">
        <f t="shared" ca="1" si="12"/>
        <v>0</v>
      </c>
      <c r="I22" s="993">
        <f t="shared" ca="1" si="12"/>
        <v>0</v>
      </c>
      <c r="J22" s="993">
        <f ca="1">SUM(F22:I22)</f>
        <v>0</v>
      </c>
      <c r="K22" s="994">
        <f ca="1">SUM(C22:D22)+SUM(F22:I22)</f>
        <v>0</v>
      </c>
      <c r="M22" s="1245"/>
      <c r="O22" s="2" t="str">
        <f t="shared" ca="1" si="10"/>
        <v>##H</v>
      </c>
    </row>
    <row r="23" spans="2:24" ht="15" hidden="1" customHeight="1">
      <c r="B23" s="703" t="s">
        <v>1058</v>
      </c>
      <c r="C23" s="989">
        <f t="shared" ref="C23:C31" ca="1" si="13">IFERROR(INDEX(INDIRECT(VLOOKUP($X23,Source_Master,2,0),),MATCH(TEXT(P23,0),INDIRECT(VLOOKUP($X23,Source_Master,4,0)),0),MATCH($I$1,INDIRECT(VLOOKUP($X23,Source_Master,3,0),),0)),0)</f>
        <v>0</v>
      </c>
      <c r="D23" s="989">
        <f t="shared" ref="D23:D31" ca="1" si="14">IFERROR(INDEX(INDIRECT(VLOOKUP($X23,Source_Master,2,0),),MATCH(TEXT(Q23,0),INDIRECT(VLOOKUP($X23,Source_Master,4,0)),0),MATCH($I$1,INDIRECT(VLOOKUP($X23,Source_Master,3,0),),0)),0)</f>
        <v>0</v>
      </c>
      <c r="E23" s="989">
        <f t="shared" ref="E23:E31" ca="1" si="15">SUM(C23:D23)</f>
        <v>0</v>
      </c>
      <c r="F23" s="989">
        <f t="shared" ref="F23:F31" ca="1" si="16">IFERROR(INDEX(INDIRECT(VLOOKUP($X23,Source_Master,2,0),),MATCH(TEXT(S23,0),INDIRECT(VLOOKUP($X23,Source_Master,4,0)),0),MATCH($I$1,INDIRECT(VLOOKUP($X23,Source_Master,3,0),),0)),0)</f>
        <v>0</v>
      </c>
      <c r="G23" s="989">
        <f t="shared" ref="G23:G31" ca="1" si="17">IFERROR(INDEX(INDIRECT(VLOOKUP($X23,Source_Master,2,0),),MATCH(TEXT(T23,0),INDIRECT(VLOOKUP($X23,Source_Master,4,0)),0),MATCH($I$1,INDIRECT(VLOOKUP($X23,Source_Master,3,0),),0)),0)</f>
        <v>0</v>
      </c>
      <c r="H23" s="989">
        <f t="shared" ref="H23:H31" ca="1" si="18">IFERROR(INDEX(INDIRECT(VLOOKUP($X23,Source_Master,2,0),),MATCH(TEXT(U23,0),INDIRECT(VLOOKUP($X23,Source_Master,4,0)),0),MATCH($I$1,INDIRECT(VLOOKUP($X23,Source_Master,3,0),),0)),0)</f>
        <v>0</v>
      </c>
      <c r="I23" s="989">
        <f t="shared" ref="I23:I31" ca="1" si="19">IFERROR(INDEX(INDIRECT(VLOOKUP($X23,Source_Master,2,0),),MATCH(TEXT(V23,0),INDIRECT(VLOOKUP($X23,Source_Master,4,0)),0),MATCH($I$1,INDIRECT(VLOOKUP($X23,Source_Master,3,0),),0)),0)</f>
        <v>0</v>
      </c>
      <c r="J23" s="989">
        <f t="shared" ref="J23:J31" ca="1" si="20">SUM(F23:I23)</f>
        <v>0</v>
      </c>
      <c r="K23" s="990">
        <f t="shared" ref="K23:K31" ca="1" si="21">SUM(C23:D23)+SUM(F23:I23)</f>
        <v>0</v>
      </c>
      <c r="M23" s="1245"/>
      <c r="O23" s="2" t="str">
        <f t="shared" ca="1" si="10"/>
        <v>##H</v>
      </c>
      <c r="P23" s="24" t="s">
        <v>1059</v>
      </c>
      <c r="Q23" s="24" t="s">
        <v>1060</v>
      </c>
      <c r="S23" s="24" t="s">
        <v>1061</v>
      </c>
      <c r="T23" s="24" t="s">
        <v>1062</v>
      </c>
      <c r="U23" s="24" t="s">
        <v>1063</v>
      </c>
      <c r="V23" s="24" t="s">
        <v>1064</v>
      </c>
      <c r="X23" s="24" t="s">
        <v>51</v>
      </c>
    </row>
    <row r="24" spans="2:24" ht="15" customHeight="1">
      <c r="B24" s="703" t="s">
        <v>1099</v>
      </c>
      <c r="C24" s="989">
        <f ca="1">SUM(C22:C23)</f>
        <v>0</v>
      </c>
      <c r="D24" s="989">
        <f ca="1">SUM(D22:D23)</f>
        <v>0</v>
      </c>
      <c r="E24" s="989">
        <f t="shared" ca="1" si="15"/>
        <v>0</v>
      </c>
      <c r="F24" s="989">
        <f ca="1">SUM(F22:F23)</f>
        <v>0</v>
      </c>
      <c r="G24" s="989">
        <f t="shared" ref="G24:I24" ca="1" si="22">SUM(G22:G23)</f>
        <v>0</v>
      </c>
      <c r="H24" s="989">
        <f t="shared" ca="1" si="22"/>
        <v>0</v>
      </c>
      <c r="I24" s="989">
        <f t="shared" ca="1" si="22"/>
        <v>0</v>
      </c>
      <c r="J24" s="989">
        <f t="shared" ca="1" si="20"/>
        <v>0</v>
      </c>
      <c r="K24" s="990">
        <f t="shared" ca="1" si="21"/>
        <v>0</v>
      </c>
      <c r="M24" s="1245"/>
      <c r="O24" s="2" t="str">
        <f t="shared" ca="1" si="10"/>
        <v>##H</v>
      </c>
      <c r="X24" s="24" t="s">
        <v>51</v>
      </c>
    </row>
    <row r="25" spans="2:24" ht="15" hidden="1" customHeight="1">
      <c r="B25" s="703" t="s">
        <v>888</v>
      </c>
      <c r="C25" s="989">
        <f t="shared" ca="1" si="13"/>
        <v>0</v>
      </c>
      <c r="D25" s="989">
        <f t="shared" ca="1" si="14"/>
        <v>0</v>
      </c>
      <c r="E25" s="989">
        <f t="shared" ca="1" si="15"/>
        <v>0</v>
      </c>
      <c r="F25" s="989">
        <f t="shared" ca="1" si="16"/>
        <v>0</v>
      </c>
      <c r="G25" s="989">
        <f t="shared" ca="1" si="17"/>
        <v>0</v>
      </c>
      <c r="H25" s="989">
        <f t="shared" ca="1" si="18"/>
        <v>0</v>
      </c>
      <c r="I25" s="989">
        <f t="shared" ca="1" si="19"/>
        <v>0</v>
      </c>
      <c r="J25" s="989">
        <f t="shared" ca="1" si="20"/>
        <v>0</v>
      </c>
      <c r="K25" s="990">
        <f t="shared" ca="1" si="21"/>
        <v>0</v>
      </c>
      <c r="M25" s="1245"/>
      <c r="O25" s="2" t="str">
        <f t="shared" ca="1" si="10"/>
        <v>##H</v>
      </c>
      <c r="P25" s="24" t="s">
        <v>1066</v>
      </c>
      <c r="Q25" s="24" t="s">
        <v>1067</v>
      </c>
      <c r="S25" s="24" t="s">
        <v>1068</v>
      </c>
      <c r="T25" s="24" t="s">
        <v>1069</v>
      </c>
      <c r="U25" s="24" t="s">
        <v>1070</v>
      </c>
      <c r="V25" s="24" t="s">
        <v>1071</v>
      </c>
      <c r="X25" s="24" t="s">
        <v>51</v>
      </c>
    </row>
    <row r="26" spans="2:24" ht="15" hidden="1" customHeight="1">
      <c r="B26" s="703" t="s">
        <v>1072</v>
      </c>
      <c r="C26" s="989">
        <f t="shared" ca="1" si="13"/>
        <v>0</v>
      </c>
      <c r="D26" s="989">
        <f t="shared" ca="1" si="14"/>
        <v>0</v>
      </c>
      <c r="E26" s="989">
        <f t="shared" ca="1" si="15"/>
        <v>0</v>
      </c>
      <c r="F26" s="989">
        <f t="shared" ca="1" si="16"/>
        <v>0</v>
      </c>
      <c r="G26" s="989">
        <f t="shared" ca="1" si="17"/>
        <v>0</v>
      </c>
      <c r="H26" s="989">
        <f t="shared" ca="1" si="18"/>
        <v>0</v>
      </c>
      <c r="I26" s="989">
        <f t="shared" ca="1" si="19"/>
        <v>0</v>
      </c>
      <c r="J26" s="989">
        <f t="shared" ca="1" si="20"/>
        <v>0</v>
      </c>
      <c r="K26" s="990">
        <f t="shared" ca="1" si="21"/>
        <v>0</v>
      </c>
      <c r="M26" s="1245"/>
      <c r="O26" s="2" t="str">
        <f t="shared" ca="1" si="10"/>
        <v>##H</v>
      </c>
      <c r="P26" s="24" t="s">
        <v>1073</v>
      </c>
      <c r="Q26" s="24" t="s">
        <v>1074</v>
      </c>
      <c r="S26" s="24" t="s">
        <v>1075</v>
      </c>
      <c r="T26" s="24" t="s">
        <v>1076</v>
      </c>
      <c r="U26" s="24" t="s">
        <v>1077</v>
      </c>
      <c r="V26" s="24" t="s">
        <v>1078</v>
      </c>
      <c r="X26" s="24" t="s">
        <v>51</v>
      </c>
    </row>
    <row r="27" spans="2:24" ht="15" hidden="1" customHeight="1">
      <c r="B27" s="703" t="s">
        <v>915</v>
      </c>
      <c r="C27" s="989">
        <f t="shared" ca="1" si="13"/>
        <v>0</v>
      </c>
      <c r="D27" s="989">
        <f t="shared" ca="1" si="14"/>
        <v>0</v>
      </c>
      <c r="E27" s="989">
        <f t="shared" ca="1" si="15"/>
        <v>0</v>
      </c>
      <c r="F27" s="989">
        <f t="shared" ca="1" si="16"/>
        <v>0</v>
      </c>
      <c r="G27" s="989">
        <f t="shared" ca="1" si="17"/>
        <v>0</v>
      </c>
      <c r="H27" s="989">
        <f t="shared" ca="1" si="18"/>
        <v>0</v>
      </c>
      <c r="I27" s="989">
        <f t="shared" ca="1" si="19"/>
        <v>0</v>
      </c>
      <c r="J27" s="989">
        <f t="shared" ca="1" si="20"/>
        <v>0</v>
      </c>
      <c r="K27" s="990">
        <f t="shared" ca="1" si="21"/>
        <v>0</v>
      </c>
      <c r="M27" s="1245"/>
      <c r="O27" s="2" t="str">
        <f t="shared" ca="1" si="10"/>
        <v>##H</v>
      </c>
      <c r="P27" s="24" t="s">
        <v>1079</v>
      </c>
      <c r="Q27" s="24" t="s">
        <v>1080</v>
      </c>
      <c r="S27" s="24" t="s">
        <v>1081</v>
      </c>
      <c r="T27" s="24" t="s">
        <v>1082</v>
      </c>
      <c r="U27" s="24" t="s">
        <v>1083</v>
      </c>
      <c r="V27" s="24" t="s">
        <v>1084</v>
      </c>
      <c r="X27" s="24" t="s">
        <v>51</v>
      </c>
    </row>
    <row r="28" spans="2:24" ht="15" hidden="1" customHeight="1">
      <c r="B28" s="703" t="s">
        <v>924</v>
      </c>
      <c r="C28" s="989">
        <f t="shared" ca="1" si="13"/>
        <v>0</v>
      </c>
      <c r="D28" s="989">
        <f t="shared" ca="1" si="14"/>
        <v>0</v>
      </c>
      <c r="E28" s="989">
        <f t="shared" ca="1" si="15"/>
        <v>0</v>
      </c>
      <c r="F28" s="989">
        <f t="shared" ca="1" si="16"/>
        <v>0</v>
      </c>
      <c r="G28" s="989">
        <f t="shared" ca="1" si="17"/>
        <v>0</v>
      </c>
      <c r="H28" s="989">
        <f t="shared" ca="1" si="18"/>
        <v>0</v>
      </c>
      <c r="I28" s="989">
        <f t="shared" ca="1" si="19"/>
        <v>0</v>
      </c>
      <c r="J28" s="989">
        <f t="shared" ca="1" si="20"/>
        <v>0</v>
      </c>
      <c r="K28" s="990">
        <f t="shared" ca="1" si="21"/>
        <v>0</v>
      </c>
      <c r="M28" s="1245"/>
      <c r="O28" s="2" t="str">
        <f t="shared" ca="1" si="10"/>
        <v>##H</v>
      </c>
      <c r="X28" s="24" t="s">
        <v>51</v>
      </c>
    </row>
    <row r="29" spans="2:24" ht="15" hidden="1" customHeight="1">
      <c r="B29" s="703" t="s">
        <v>1085</v>
      </c>
      <c r="C29" s="989">
        <f t="shared" ca="1" si="13"/>
        <v>0</v>
      </c>
      <c r="D29" s="989">
        <f t="shared" ca="1" si="14"/>
        <v>0</v>
      </c>
      <c r="E29" s="989">
        <f t="shared" ca="1" si="15"/>
        <v>0</v>
      </c>
      <c r="F29" s="989">
        <f t="shared" ca="1" si="16"/>
        <v>0</v>
      </c>
      <c r="G29" s="989">
        <f t="shared" ca="1" si="17"/>
        <v>0</v>
      </c>
      <c r="H29" s="989">
        <f t="shared" ca="1" si="18"/>
        <v>0</v>
      </c>
      <c r="I29" s="989">
        <f t="shared" ca="1" si="19"/>
        <v>0</v>
      </c>
      <c r="J29" s="989">
        <f t="shared" ca="1" si="20"/>
        <v>0</v>
      </c>
      <c r="K29" s="990">
        <f t="shared" ca="1" si="21"/>
        <v>0</v>
      </c>
      <c r="M29" s="1245"/>
      <c r="O29" s="2" t="str">
        <f t="shared" ca="1" si="10"/>
        <v>##H</v>
      </c>
      <c r="P29" s="24" t="s">
        <v>1086</v>
      </c>
      <c r="Q29" s="24" t="s">
        <v>1087</v>
      </c>
      <c r="S29" s="24" t="s">
        <v>1088</v>
      </c>
      <c r="T29" s="24" t="s">
        <v>1089</v>
      </c>
      <c r="U29" s="24" t="s">
        <v>1090</v>
      </c>
      <c r="V29" s="24" t="s">
        <v>1091</v>
      </c>
      <c r="X29" s="24" t="s">
        <v>51</v>
      </c>
    </row>
    <row r="30" spans="2:24" ht="15" hidden="1" customHeight="1">
      <c r="B30" s="703" t="s">
        <v>1100</v>
      </c>
      <c r="C30" s="989">
        <f t="shared" ca="1" si="13"/>
        <v>0</v>
      </c>
      <c r="D30" s="989">
        <f t="shared" ca="1" si="14"/>
        <v>0</v>
      </c>
      <c r="E30" s="989">
        <f t="shared" ca="1" si="15"/>
        <v>0</v>
      </c>
      <c r="F30" s="989">
        <f t="shared" ca="1" si="16"/>
        <v>0</v>
      </c>
      <c r="G30" s="989">
        <f t="shared" ca="1" si="17"/>
        <v>0</v>
      </c>
      <c r="H30" s="989">
        <f t="shared" ca="1" si="18"/>
        <v>0</v>
      </c>
      <c r="I30" s="989">
        <f t="shared" ca="1" si="19"/>
        <v>0</v>
      </c>
      <c r="J30" s="989">
        <f t="shared" ca="1" si="20"/>
        <v>0</v>
      </c>
      <c r="K30" s="990">
        <f t="shared" ca="1" si="21"/>
        <v>0</v>
      </c>
      <c r="M30" s="598" t="s">
        <v>496</v>
      </c>
      <c r="O30" s="2" t="str">
        <f t="shared" ca="1" si="10"/>
        <v>##H</v>
      </c>
      <c r="P30" s="24" t="s">
        <v>1093</v>
      </c>
      <c r="Q30" s="24" t="s">
        <v>1094</v>
      </c>
      <c r="S30" s="24" t="s">
        <v>1095</v>
      </c>
      <c r="T30" s="24" t="s">
        <v>1096</v>
      </c>
      <c r="U30" s="24" t="s">
        <v>1097</v>
      </c>
      <c r="V30" s="24" t="s">
        <v>1098</v>
      </c>
      <c r="X30" s="24" t="s">
        <v>51</v>
      </c>
    </row>
    <row r="31" spans="2:24" ht="15" customHeight="1">
      <c r="B31" s="1139" t="e">
        <f ca="1">PPE_CL_BAL</f>
        <v>#NAME?</v>
      </c>
      <c r="C31" s="792">
        <f t="shared" ca="1" si="13"/>
        <v>0</v>
      </c>
      <c r="D31" s="792">
        <f t="shared" ca="1" si="14"/>
        <v>0</v>
      </c>
      <c r="E31" s="792">
        <f t="shared" ca="1" si="15"/>
        <v>0</v>
      </c>
      <c r="F31" s="792">
        <f t="shared" ca="1" si="16"/>
        <v>0</v>
      </c>
      <c r="G31" s="792">
        <f t="shared" ca="1" si="17"/>
        <v>0</v>
      </c>
      <c r="H31" s="792">
        <f t="shared" ca="1" si="18"/>
        <v>0</v>
      </c>
      <c r="I31" s="792">
        <f t="shared" ca="1" si="19"/>
        <v>0</v>
      </c>
      <c r="J31" s="792">
        <f t="shared" ca="1" si="20"/>
        <v>0</v>
      </c>
      <c r="K31" s="792">
        <f t="shared" ca="1" si="21"/>
        <v>0</v>
      </c>
      <c r="M31" s="1140">
        <f ca="1">K31-SUM(K24:K30)</f>
        <v>0</v>
      </c>
      <c r="O31" s="2" t="str">
        <f t="shared" ca="1" si="10"/>
        <v>##H</v>
      </c>
      <c r="P31" s="24" t="s">
        <v>1050</v>
      </c>
      <c r="Q31" s="24" t="s">
        <v>1051</v>
      </c>
      <c r="R31" s="24" t="s">
        <v>1052</v>
      </c>
      <c r="S31" s="24" t="s">
        <v>1053</v>
      </c>
      <c r="T31" s="24" t="s">
        <v>1054</v>
      </c>
      <c r="U31" s="24" t="s">
        <v>1055</v>
      </c>
      <c r="V31" s="24" t="s">
        <v>1056</v>
      </c>
      <c r="W31" s="24" t="s">
        <v>1057</v>
      </c>
      <c r="X31" s="24" t="s">
        <v>50</v>
      </c>
    </row>
    <row r="32" spans="2:24" ht="15" customHeight="1">
      <c r="B32" s="703"/>
      <c r="C32" s="985"/>
      <c r="D32" s="985"/>
      <c r="E32" s="985"/>
      <c r="F32" s="985"/>
      <c r="G32" s="985"/>
      <c r="H32" s="985"/>
      <c r="I32" s="985"/>
      <c r="J32" s="985"/>
      <c r="K32" s="992"/>
      <c r="M32" s="1245"/>
    </row>
    <row r="33" spans="2:24" ht="15" customHeight="1">
      <c r="B33" s="703"/>
      <c r="C33" s="987"/>
      <c r="D33" s="987"/>
      <c r="E33" s="987"/>
      <c r="F33" s="987"/>
      <c r="G33" s="987"/>
      <c r="H33" s="987"/>
      <c r="I33" s="987"/>
      <c r="J33" s="987"/>
      <c r="K33" s="988"/>
      <c r="M33" s="1245"/>
    </row>
    <row r="34" spans="2:24" ht="15" customHeight="1">
      <c r="B34" s="680" t="s">
        <v>1101</v>
      </c>
      <c r="C34" s="987"/>
      <c r="D34" s="987"/>
      <c r="E34" s="987"/>
      <c r="F34" s="987"/>
      <c r="G34" s="987"/>
      <c r="H34" s="987"/>
      <c r="I34" s="987"/>
      <c r="J34" s="987"/>
      <c r="K34" s="988"/>
      <c r="M34" s="1245"/>
    </row>
    <row r="35" spans="2:24" ht="15" customHeight="1">
      <c r="B35" s="703"/>
      <c r="C35" s="987"/>
      <c r="D35" s="987"/>
      <c r="E35" s="987"/>
      <c r="F35" s="987"/>
      <c r="G35" s="987"/>
      <c r="H35" s="987"/>
      <c r="I35" s="987"/>
      <c r="J35" s="987"/>
      <c r="K35" s="988"/>
      <c r="M35" s="1245"/>
    </row>
    <row r="36" spans="2:24" ht="15" hidden="1" customHeight="1">
      <c r="B36" s="1139" t="e">
        <f ca="1">B11</f>
        <v>#NAME?</v>
      </c>
      <c r="C36" s="989">
        <f ca="1">-IFERROR(INDEX(INDIRECT(VLOOKUP($X36,Source_Master,2,0),),MATCH(TEXT(P36,0),INDIRECT(VLOOKUP($X36,Source_Master,4,0)),0),MATCH($K$1,INDIRECT(VLOOKUP($X36,Source_Master,3,0),),0)),0)</f>
        <v>0</v>
      </c>
      <c r="D36" s="989">
        <f ca="1">-IFERROR(INDEX(INDIRECT(VLOOKUP($X36,Source_Master,2,0),),MATCH(TEXT(Q36,0),INDIRECT(VLOOKUP($X36,Source_Master,4,0)),0),MATCH($K$1,INDIRECT(VLOOKUP($X36,Source_Master,3,0),),0)),0)</f>
        <v>0</v>
      </c>
      <c r="E36" s="989">
        <f ca="1">SUM(C36:D36)</f>
        <v>0</v>
      </c>
      <c r="F36" s="989">
        <f ca="1">-IFERROR(INDEX(INDIRECT(VLOOKUP($X36,Source_Master,2,0),),MATCH(TEXT(S36,0),INDIRECT(VLOOKUP($X36,Source_Master,4,0)),0),MATCH($K$1,INDIRECT(VLOOKUP($X36,Source_Master,3,0),),0)),0)</f>
        <v>0</v>
      </c>
      <c r="G36" s="989">
        <f ca="1">-IFERROR(INDEX(INDIRECT(VLOOKUP($X36,Source_Master,2,0),),MATCH(TEXT(T36,0),INDIRECT(VLOOKUP($X36,Source_Master,4,0)),0),MATCH($K$1,INDIRECT(VLOOKUP($X36,Source_Master,3,0),),0)),0)</f>
        <v>0</v>
      </c>
      <c r="H36" s="989">
        <f ca="1">-IFERROR(INDEX(INDIRECT(VLOOKUP($X36,Source_Master,2,0),),MATCH(TEXT(U36,0),INDIRECT(VLOOKUP($X36,Source_Master,4,0)),0),MATCH($K$1,INDIRECT(VLOOKUP($X36,Source_Master,3,0),),0)),0)</f>
        <v>0</v>
      </c>
      <c r="I36" s="989">
        <f ca="1">-IFERROR(INDEX(INDIRECT(VLOOKUP($X36,Source_Master,2,0),),MATCH(TEXT(V36,0),INDIRECT(VLOOKUP($X36,Source_Master,4,0)),0),MATCH($K$1,INDIRECT(VLOOKUP($X36,Source_Master,3,0),),0)),0)</f>
        <v>0</v>
      </c>
      <c r="J36" s="989">
        <f ca="1">SUM(F36:I36)</f>
        <v>0</v>
      </c>
      <c r="K36" s="990">
        <f ca="1">SUM(C36:D36)+SUM(F36:I36)</f>
        <v>0</v>
      </c>
      <c r="M36" s="1245"/>
      <c r="O36" s="2" t="str">
        <f t="shared" ref="O36:O57" ca="1" si="23">IF(AND(C36=0,D36=0,F36=0,G36=0,H36=0,I36=0),"##H","")</f>
        <v>##H</v>
      </c>
      <c r="P36" s="24" t="s">
        <v>1102</v>
      </c>
      <c r="Q36" s="24" t="s">
        <v>1103</v>
      </c>
      <c r="R36" s="24" t="s">
        <v>1104</v>
      </c>
      <c r="S36" s="24" t="s">
        <v>1105</v>
      </c>
      <c r="T36" s="24" t="s">
        <v>1106</v>
      </c>
      <c r="U36" s="24" t="s">
        <v>1107</v>
      </c>
      <c r="V36" s="24" t="s">
        <v>1108</v>
      </c>
      <c r="W36" s="24" t="s">
        <v>1109</v>
      </c>
      <c r="X36" s="24" t="s">
        <v>50</v>
      </c>
    </row>
    <row r="37" spans="2:24" ht="15" hidden="1" customHeight="1">
      <c r="B37" s="703" t="s">
        <v>1110</v>
      </c>
      <c r="C37" s="989">
        <f t="shared" ref="C37:I43" ca="1" si="24">IFERROR(INDEX(INDIRECT(VLOOKUP($X37,Source_Master,2,0),),MATCH(TEXT(P37,0),INDIRECT(VLOOKUP($X37,Source_Master,4,0)),0),MATCH($J$1,INDIRECT(VLOOKUP($X37,Source_Master,3,0),),0)),0)</f>
        <v>0</v>
      </c>
      <c r="D37" s="989">
        <f t="shared" ca="1" si="24"/>
        <v>0</v>
      </c>
      <c r="E37" s="989">
        <f t="shared" ref="E37:E44" ca="1" si="25">SUM(C37:D37)</f>
        <v>0</v>
      </c>
      <c r="F37" s="989">
        <f t="shared" ca="1" si="24"/>
        <v>0</v>
      </c>
      <c r="G37" s="989">
        <f t="shared" ca="1" si="24"/>
        <v>0</v>
      </c>
      <c r="H37" s="989">
        <f t="shared" ca="1" si="24"/>
        <v>0</v>
      </c>
      <c r="I37" s="989">
        <f t="shared" ca="1" si="24"/>
        <v>0</v>
      </c>
      <c r="J37" s="989">
        <f t="shared" ref="J37:J44" ca="1" si="26">SUM(F37:I37)</f>
        <v>0</v>
      </c>
      <c r="K37" s="990">
        <f t="shared" ref="K37:K44" ca="1" si="27">SUM(C37:D37)+SUM(F37:I37)</f>
        <v>0</v>
      </c>
      <c r="M37" s="1245"/>
      <c r="O37" s="2" t="str">
        <f t="shared" ca="1" si="23"/>
        <v>##H</v>
      </c>
      <c r="P37" s="24" t="s">
        <v>1111</v>
      </c>
      <c r="Q37" s="24" t="s">
        <v>1112</v>
      </c>
      <c r="S37" s="24" t="s">
        <v>1113</v>
      </c>
      <c r="T37" s="24" t="s">
        <v>1114</v>
      </c>
      <c r="U37" s="24" t="s">
        <v>1115</v>
      </c>
      <c r="V37" s="24" t="s">
        <v>1116</v>
      </c>
      <c r="X37" s="24" t="s">
        <v>51</v>
      </c>
    </row>
    <row r="38" spans="2:24" ht="15" hidden="1" customHeight="1">
      <c r="B38" s="1141" t="e">
        <f>"Impairment loss for the year (refer note "&amp;#REF!&amp;")"</f>
        <v>#REF!</v>
      </c>
      <c r="C38" s="989">
        <f t="shared" ca="1" si="24"/>
        <v>0</v>
      </c>
      <c r="D38" s="989">
        <f t="shared" ca="1" si="24"/>
        <v>0</v>
      </c>
      <c r="E38" s="989">
        <f t="shared" ca="1" si="25"/>
        <v>0</v>
      </c>
      <c r="F38" s="989">
        <f t="shared" ca="1" si="24"/>
        <v>0</v>
      </c>
      <c r="G38" s="989">
        <f t="shared" ca="1" si="24"/>
        <v>0</v>
      </c>
      <c r="H38" s="989">
        <f t="shared" ca="1" si="24"/>
        <v>0</v>
      </c>
      <c r="I38" s="989">
        <f t="shared" ca="1" si="24"/>
        <v>0</v>
      </c>
      <c r="J38" s="989">
        <f t="shared" ca="1" si="26"/>
        <v>0</v>
      </c>
      <c r="K38" s="990">
        <f t="shared" ca="1" si="27"/>
        <v>0</v>
      </c>
      <c r="M38" s="1245"/>
      <c r="O38" s="2" t="str">
        <f t="shared" ca="1" si="23"/>
        <v>##H</v>
      </c>
      <c r="P38" s="24" t="s">
        <v>1117</v>
      </c>
      <c r="Q38" s="24" t="s">
        <v>1118</v>
      </c>
      <c r="S38" s="24" t="s">
        <v>1119</v>
      </c>
      <c r="T38" s="24" t="s">
        <v>1120</v>
      </c>
      <c r="U38" s="24" t="s">
        <v>1121</v>
      </c>
      <c r="V38" s="24" t="s">
        <v>1122</v>
      </c>
      <c r="X38" s="24" t="s">
        <v>51</v>
      </c>
    </row>
    <row r="39" spans="2:24" ht="15" hidden="1" customHeight="1">
      <c r="B39" s="703" t="s">
        <v>1072</v>
      </c>
      <c r="C39" s="989">
        <f t="shared" ca="1" si="24"/>
        <v>0</v>
      </c>
      <c r="D39" s="989">
        <f t="shared" ca="1" si="24"/>
        <v>0</v>
      </c>
      <c r="E39" s="989">
        <f t="shared" ca="1" si="25"/>
        <v>0</v>
      </c>
      <c r="F39" s="989">
        <f t="shared" ca="1" si="24"/>
        <v>0</v>
      </c>
      <c r="G39" s="989">
        <f t="shared" ca="1" si="24"/>
        <v>0</v>
      </c>
      <c r="H39" s="989">
        <f t="shared" ca="1" si="24"/>
        <v>0</v>
      </c>
      <c r="I39" s="989">
        <f t="shared" ca="1" si="24"/>
        <v>0</v>
      </c>
      <c r="J39" s="989">
        <f t="shared" ca="1" si="26"/>
        <v>0</v>
      </c>
      <c r="K39" s="990">
        <f t="shared" ca="1" si="27"/>
        <v>0</v>
      </c>
      <c r="M39" s="1245"/>
      <c r="O39" s="2" t="str">
        <f t="shared" ca="1" si="23"/>
        <v>##H</v>
      </c>
      <c r="P39" s="24" t="s">
        <v>1123</v>
      </c>
      <c r="Q39" s="24" t="s">
        <v>1124</v>
      </c>
      <c r="S39" s="24" t="s">
        <v>1125</v>
      </c>
      <c r="T39" s="24" t="s">
        <v>1126</v>
      </c>
      <c r="U39" s="24" t="s">
        <v>1127</v>
      </c>
      <c r="V39" s="24" t="s">
        <v>1128</v>
      </c>
      <c r="X39" s="24" t="s">
        <v>51</v>
      </c>
    </row>
    <row r="40" spans="2:24" ht="15" hidden="1" customHeight="1">
      <c r="B40" s="703" t="s">
        <v>915</v>
      </c>
      <c r="C40" s="989">
        <f t="shared" ca="1" si="24"/>
        <v>0</v>
      </c>
      <c r="D40" s="989">
        <f t="shared" ca="1" si="24"/>
        <v>0</v>
      </c>
      <c r="E40" s="989">
        <f t="shared" ca="1" si="25"/>
        <v>0</v>
      </c>
      <c r="F40" s="989">
        <f t="shared" ca="1" si="24"/>
        <v>0</v>
      </c>
      <c r="G40" s="989">
        <f t="shared" ca="1" si="24"/>
        <v>0</v>
      </c>
      <c r="H40" s="989">
        <f t="shared" ca="1" si="24"/>
        <v>0</v>
      </c>
      <c r="I40" s="989">
        <f t="shared" ca="1" si="24"/>
        <v>0</v>
      </c>
      <c r="J40" s="989">
        <f t="shared" ca="1" si="26"/>
        <v>0</v>
      </c>
      <c r="K40" s="990">
        <f t="shared" ca="1" si="27"/>
        <v>0</v>
      </c>
      <c r="M40" s="1245"/>
      <c r="O40" s="2" t="str">
        <f t="shared" ca="1" si="23"/>
        <v>##H</v>
      </c>
      <c r="P40" s="24" t="s">
        <v>1129</v>
      </c>
      <c r="Q40" s="24" t="s">
        <v>1130</v>
      </c>
      <c r="S40" s="24" t="s">
        <v>1131</v>
      </c>
      <c r="T40" s="24" t="s">
        <v>1132</v>
      </c>
      <c r="U40" s="24" t="s">
        <v>1133</v>
      </c>
      <c r="V40" s="24" t="s">
        <v>1134</v>
      </c>
      <c r="X40" s="24" t="s">
        <v>51</v>
      </c>
    </row>
    <row r="41" spans="2:24" ht="15" hidden="1" customHeight="1">
      <c r="B41" s="703" t="s">
        <v>924</v>
      </c>
      <c r="C41" s="989">
        <f t="shared" ca="1" si="24"/>
        <v>0</v>
      </c>
      <c r="D41" s="989">
        <f t="shared" ca="1" si="24"/>
        <v>0</v>
      </c>
      <c r="E41" s="989">
        <f t="shared" ca="1" si="25"/>
        <v>0</v>
      </c>
      <c r="F41" s="989">
        <f t="shared" ca="1" si="24"/>
        <v>0</v>
      </c>
      <c r="G41" s="989">
        <f t="shared" ca="1" si="24"/>
        <v>0</v>
      </c>
      <c r="H41" s="989">
        <f t="shared" ca="1" si="24"/>
        <v>0</v>
      </c>
      <c r="I41" s="989">
        <f t="shared" ca="1" si="24"/>
        <v>0</v>
      </c>
      <c r="J41" s="989">
        <f t="shared" ca="1" si="26"/>
        <v>0</v>
      </c>
      <c r="K41" s="990">
        <f t="shared" ca="1" si="27"/>
        <v>0</v>
      </c>
      <c r="M41" s="1245"/>
      <c r="O41" s="2" t="str">
        <f t="shared" ca="1" si="23"/>
        <v>##H</v>
      </c>
      <c r="X41" s="24" t="s">
        <v>51</v>
      </c>
    </row>
    <row r="42" spans="2:24" ht="15" hidden="1" customHeight="1">
      <c r="B42" s="703" t="s">
        <v>1085</v>
      </c>
      <c r="C42" s="989">
        <f t="shared" ca="1" si="24"/>
        <v>0</v>
      </c>
      <c r="D42" s="989">
        <f t="shared" ca="1" si="24"/>
        <v>0</v>
      </c>
      <c r="E42" s="989">
        <f t="shared" ca="1" si="25"/>
        <v>0</v>
      </c>
      <c r="F42" s="989">
        <f t="shared" ca="1" si="24"/>
        <v>0</v>
      </c>
      <c r="G42" s="989">
        <f t="shared" ca="1" si="24"/>
        <v>0</v>
      </c>
      <c r="H42" s="989">
        <f t="shared" ca="1" si="24"/>
        <v>0</v>
      </c>
      <c r="I42" s="989">
        <f t="shared" ca="1" si="24"/>
        <v>0</v>
      </c>
      <c r="J42" s="989">
        <f t="shared" ca="1" si="26"/>
        <v>0</v>
      </c>
      <c r="K42" s="990">
        <f t="shared" ca="1" si="27"/>
        <v>0</v>
      </c>
      <c r="M42" s="1245"/>
      <c r="O42" s="2" t="str">
        <f t="shared" ca="1" si="23"/>
        <v>##H</v>
      </c>
      <c r="P42" s="24" t="s">
        <v>1135</v>
      </c>
      <c r="Q42" s="24" t="s">
        <v>1136</v>
      </c>
      <c r="S42" s="24" t="s">
        <v>1137</v>
      </c>
      <c r="T42" s="24" t="s">
        <v>1138</v>
      </c>
      <c r="U42" s="24" t="s">
        <v>1139</v>
      </c>
      <c r="V42" s="24" t="s">
        <v>1140</v>
      </c>
      <c r="X42" s="24" t="s">
        <v>51</v>
      </c>
    </row>
    <row r="43" spans="2:24" ht="15" hidden="1" customHeight="1">
      <c r="B43" s="703" t="s">
        <v>1100</v>
      </c>
      <c r="C43" s="989">
        <f t="shared" ca="1" si="24"/>
        <v>0</v>
      </c>
      <c r="D43" s="989">
        <f t="shared" ca="1" si="24"/>
        <v>0</v>
      </c>
      <c r="E43" s="989">
        <f t="shared" ca="1" si="25"/>
        <v>0</v>
      </c>
      <c r="F43" s="989">
        <f t="shared" ca="1" si="24"/>
        <v>0</v>
      </c>
      <c r="G43" s="989">
        <f t="shared" ca="1" si="24"/>
        <v>0</v>
      </c>
      <c r="H43" s="989">
        <f t="shared" ca="1" si="24"/>
        <v>0</v>
      </c>
      <c r="I43" s="989">
        <f t="shared" ca="1" si="24"/>
        <v>0</v>
      </c>
      <c r="J43" s="989">
        <f t="shared" ca="1" si="26"/>
        <v>0</v>
      </c>
      <c r="K43" s="990">
        <f t="shared" ca="1" si="27"/>
        <v>0</v>
      </c>
      <c r="M43" s="598" t="s">
        <v>496</v>
      </c>
      <c r="O43" s="2" t="str">
        <f t="shared" ca="1" si="23"/>
        <v>##H</v>
      </c>
      <c r="P43" s="24" t="s">
        <v>1141</v>
      </c>
      <c r="Q43" s="24" t="s">
        <v>1142</v>
      </c>
      <c r="S43" s="24" t="s">
        <v>1143</v>
      </c>
      <c r="T43" s="24" t="s">
        <v>1144</v>
      </c>
      <c r="U43" s="24" t="s">
        <v>1145</v>
      </c>
      <c r="V43" s="24" t="s">
        <v>1146</v>
      </c>
      <c r="X43" s="24" t="s">
        <v>51</v>
      </c>
    </row>
    <row r="44" spans="2:24" ht="15" customHeight="1">
      <c r="B44" s="1139" t="e">
        <f ca="1">B20</f>
        <v>#NAME?</v>
      </c>
      <c r="C44" s="792">
        <f ca="1">-IFERROR(INDEX(INDIRECT(VLOOKUP($X44,Source_Master,2,0),),MATCH(TEXT(P44,0),INDIRECT(VLOOKUP($X44,Source_Master,4,0)),0),MATCH($J$1,INDIRECT(VLOOKUP($X44,Source_Master,3,0),),0)),0)</f>
        <v>0</v>
      </c>
      <c r="D44" s="792">
        <f ca="1">-IFERROR(INDEX(INDIRECT(VLOOKUP($X44,Source_Master,2,0),),MATCH(TEXT(Q44,0),INDIRECT(VLOOKUP($X44,Source_Master,4,0)),0),MATCH($J$1,INDIRECT(VLOOKUP($X44,Source_Master,3,0),),0)),0)</f>
        <v>0</v>
      </c>
      <c r="E44" s="792">
        <f t="shared" ca="1" si="25"/>
        <v>0</v>
      </c>
      <c r="F44" s="792">
        <f ca="1">-IFERROR(INDEX(INDIRECT(VLOOKUP($X44,Source_Master,2,0),),MATCH(TEXT(S44,0),INDIRECT(VLOOKUP($X44,Source_Master,4,0)),0),MATCH($J$1,INDIRECT(VLOOKUP($X44,Source_Master,3,0),),0)),0)</f>
        <v>0</v>
      </c>
      <c r="G44" s="792">
        <f ca="1">-IFERROR(INDEX(INDIRECT(VLOOKUP($X44,Source_Master,2,0),),MATCH(TEXT(T44,0),INDIRECT(VLOOKUP($X44,Source_Master,4,0)),0),MATCH($J$1,INDIRECT(VLOOKUP($X44,Source_Master,3,0),),0)),0)</f>
        <v>0</v>
      </c>
      <c r="H44" s="792">
        <f ca="1">-IFERROR(INDEX(INDIRECT(VLOOKUP($X44,Source_Master,2,0),),MATCH(TEXT(U44,0),INDIRECT(VLOOKUP($X44,Source_Master,4,0)),0),MATCH($J$1,INDIRECT(VLOOKUP($X44,Source_Master,3,0),),0)),0)</f>
        <v>0</v>
      </c>
      <c r="I44" s="792">
        <f ca="1">-IFERROR(INDEX(INDIRECT(VLOOKUP($X44,Source_Master,2,0),),MATCH(TEXT(V44,0),INDIRECT(VLOOKUP($X44,Source_Master,4,0)),0),MATCH($J$1,INDIRECT(VLOOKUP($X44,Source_Master,3,0),),0)),0)</f>
        <v>0</v>
      </c>
      <c r="J44" s="792">
        <f t="shared" ca="1" si="26"/>
        <v>0</v>
      </c>
      <c r="K44" s="792">
        <f t="shared" ca="1" si="27"/>
        <v>0</v>
      </c>
      <c r="M44" s="1140">
        <f ca="1">K44-SUM(K36:K43)</f>
        <v>0</v>
      </c>
      <c r="O44" s="2" t="str">
        <f t="shared" ca="1" si="23"/>
        <v>##H</v>
      </c>
      <c r="P44" s="24" t="s">
        <v>1102</v>
      </c>
      <c r="Q44" s="24" t="s">
        <v>1103</v>
      </c>
      <c r="R44" s="24" t="s">
        <v>1104</v>
      </c>
      <c r="S44" s="24" t="s">
        <v>1105</v>
      </c>
      <c r="T44" s="24" t="s">
        <v>1106</v>
      </c>
      <c r="U44" s="24" t="s">
        <v>1107</v>
      </c>
      <c r="V44" s="24" t="s">
        <v>1108</v>
      </c>
      <c r="W44" s="24" t="s">
        <v>1109</v>
      </c>
      <c r="X44" s="24" t="s">
        <v>50</v>
      </c>
    </row>
    <row r="45" spans="2:24" ht="15" customHeight="1">
      <c r="B45" s="703"/>
      <c r="C45" s="985"/>
      <c r="D45" s="985"/>
      <c r="E45" s="985"/>
      <c r="F45" s="985"/>
      <c r="G45" s="985"/>
      <c r="H45" s="985"/>
      <c r="I45" s="985"/>
      <c r="J45" s="985"/>
      <c r="K45" s="992"/>
      <c r="M45" s="1245"/>
    </row>
    <row r="46" spans="2:24" ht="15" customHeight="1">
      <c r="B46" s="1139" t="e">
        <f ca="1">B22</f>
        <v>#NAME?</v>
      </c>
      <c r="C46" s="993">
        <f ca="1">C44</f>
        <v>0</v>
      </c>
      <c r="D46" s="993">
        <f ca="1">D44</f>
        <v>0</v>
      </c>
      <c r="E46" s="993">
        <f t="shared" ref="E46:E54" ca="1" si="28">SUM(C46:D46)</f>
        <v>0</v>
      </c>
      <c r="F46" s="993">
        <f ca="1">F44</f>
        <v>0</v>
      </c>
      <c r="G46" s="993">
        <f t="shared" ref="G46:I46" ca="1" si="29">G44</f>
        <v>0</v>
      </c>
      <c r="H46" s="993">
        <f t="shared" ca="1" si="29"/>
        <v>0</v>
      </c>
      <c r="I46" s="993">
        <f t="shared" ca="1" si="29"/>
        <v>0</v>
      </c>
      <c r="J46" s="993">
        <f ca="1">SUM(F46:I46)</f>
        <v>0</v>
      </c>
      <c r="K46" s="994">
        <f ca="1">SUM(C46:D46)+SUM(F46:I46)</f>
        <v>0</v>
      </c>
      <c r="M46" s="1245"/>
      <c r="O46" s="2" t="str">
        <f t="shared" ca="1" si="23"/>
        <v>##H</v>
      </c>
    </row>
    <row r="47" spans="2:24" ht="15" hidden="1" customHeight="1">
      <c r="B47" s="703" t="s">
        <v>1110</v>
      </c>
      <c r="C47" s="989">
        <f t="shared" ref="C47:I53" ca="1" si="30">IFERROR(INDEX(INDIRECT(VLOOKUP($X47,Source_Master,2,0),),MATCH(TEXT(P47,0),INDIRECT(VLOOKUP($X47,Source_Master,4,0)),0),MATCH($I$1,INDIRECT(VLOOKUP($X47,Source_Master,3,0),),0)),0)</f>
        <v>0</v>
      </c>
      <c r="D47" s="989">
        <f t="shared" ca="1" si="30"/>
        <v>0</v>
      </c>
      <c r="E47" s="989">
        <f t="shared" ca="1" si="28"/>
        <v>0</v>
      </c>
      <c r="F47" s="989">
        <f t="shared" ca="1" si="30"/>
        <v>0</v>
      </c>
      <c r="G47" s="989">
        <f t="shared" ca="1" si="30"/>
        <v>0</v>
      </c>
      <c r="H47" s="989">
        <f t="shared" ca="1" si="30"/>
        <v>0</v>
      </c>
      <c r="I47" s="989">
        <f t="shared" ca="1" si="30"/>
        <v>0</v>
      </c>
      <c r="J47" s="989">
        <f t="shared" ref="J47:J54" ca="1" si="31">SUM(F47:I47)</f>
        <v>0</v>
      </c>
      <c r="K47" s="990">
        <f t="shared" ref="K47:K54" ca="1" si="32">SUM(C47:D47)+SUM(F47:I47)</f>
        <v>0</v>
      </c>
      <c r="M47" s="1245"/>
      <c r="O47" s="2" t="str">
        <f t="shared" ca="1" si="23"/>
        <v>##H</v>
      </c>
      <c r="P47" s="24" t="s">
        <v>1111</v>
      </c>
      <c r="Q47" s="24" t="s">
        <v>1112</v>
      </c>
      <c r="S47" s="24" t="s">
        <v>1113</v>
      </c>
      <c r="T47" s="24" t="s">
        <v>1114</v>
      </c>
      <c r="U47" s="24" t="s">
        <v>1115</v>
      </c>
      <c r="V47" s="24" t="s">
        <v>1116</v>
      </c>
      <c r="X47" s="24" t="s">
        <v>51</v>
      </c>
    </row>
    <row r="48" spans="2:24" ht="15" hidden="1" customHeight="1">
      <c r="B48" s="703" t="s">
        <v>1147</v>
      </c>
      <c r="C48" s="989">
        <f t="shared" ca="1" si="30"/>
        <v>0</v>
      </c>
      <c r="D48" s="989">
        <f t="shared" ca="1" si="30"/>
        <v>0</v>
      </c>
      <c r="E48" s="989">
        <f t="shared" ca="1" si="28"/>
        <v>0</v>
      </c>
      <c r="F48" s="989">
        <f t="shared" ca="1" si="30"/>
        <v>0</v>
      </c>
      <c r="G48" s="989">
        <f t="shared" ca="1" si="30"/>
        <v>0</v>
      </c>
      <c r="H48" s="989">
        <f t="shared" ca="1" si="30"/>
        <v>0</v>
      </c>
      <c r="I48" s="989">
        <f t="shared" ca="1" si="30"/>
        <v>0</v>
      </c>
      <c r="J48" s="989">
        <f t="shared" ca="1" si="31"/>
        <v>0</v>
      </c>
      <c r="K48" s="990">
        <f t="shared" ca="1" si="32"/>
        <v>0</v>
      </c>
      <c r="M48" s="1245"/>
      <c r="O48" s="2" t="str">
        <f t="shared" ca="1" si="23"/>
        <v>##H</v>
      </c>
      <c r="P48" s="24" t="s">
        <v>1117</v>
      </c>
      <c r="Q48" s="24" t="s">
        <v>1118</v>
      </c>
      <c r="S48" s="24" t="s">
        <v>1119</v>
      </c>
      <c r="T48" s="24" t="s">
        <v>1120</v>
      </c>
      <c r="U48" s="24" t="s">
        <v>1121</v>
      </c>
      <c r="V48" s="24" t="s">
        <v>1122</v>
      </c>
      <c r="X48" s="24" t="s">
        <v>51</v>
      </c>
    </row>
    <row r="49" spans="2:24" ht="15" hidden="1" customHeight="1">
      <c r="B49" s="703" t="s">
        <v>1072</v>
      </c>
      <c r="C49" s="989">
        <f t="shared" ca="1" si="30"/>
        <v>0</v>
      </c>
      <c r="D49" s="989">
        <f t="shared" ca="1" si="30"/>
        <v>0</v>
      </c>
      <c r="E49" s="989">
        <f t="shared" ca="1" si="28"/>
        <v>0</v>
      </c>
      <c r="F49" s="989">
        <f t="shared" ca="1" si="30"/>
        <v>0</v>
      </c>
      <c r="G49" s="989">
        <f t="shared" ca="1" si="30"/>
        <v>0</v>
      </c>
      <c r="H49" s="989">
        <f t="shared" ca="1" si="30"/>
        <v>0</v>
      </c>
      <c r="I49" s="989">
        <f t="shared" ca="1" si="30"/>
        <v>0</v>
      </c>
      <c r="J49" s="989">
        <f t="shared" ca="1" si="31"/>
        <v>0</v>
      </c>
      <c r="K49" s="990">
        <f t="shared" ca="1" si="32"/>
        <v>0</v>
      </c>
      <c r="M49" s="1245"/>
      <c r="O49" s="2" t="str">
        <f t="shared" ca="1" si="23"/>
        <v>##H</v>
      </c>
      <c r="P49" s="24" t="s">
        <v>1123</v>
      </c>
      <c r="Q49" s="24" t="s">
        <v>1124</v>
      </c>
      <c r="S49" s="24" t="s">
        <v>1125</v>
      </c>
      <c r="T49" s="24" t="s">
        <v>1126</v>
      </c>
      <c r="U49" s="24" t="s">
        <v>1127</v>
      </c>
      <c r="V49" s="24" t="s">
        <v>1128</v>
      </c>
      <c r="X49" s="24" t="s">
        <v>51</v>
      </c>
    </row>
    <row r="50" spans="2:24" ht="15" hidden="1" customHeight="1">
      <c r="B50" s="703" t="s">
        <v>915</v>
      </c>
      <c r="C50" s="989">
        <f t="shared" ca="1" si="30"/>
        <v>0</v>
      </c>
      <c r="D50" s="989">
        <f t="shared" ca="1" si="30"/>
        <v>0</v>
      </c>
      <c r="E50" s="989">
        <f t="shared" ca="1" si="28"/>
        <v>0</v>
      </c>
      <c r="F50" s="989">
        <f t="shared" ca="1" si="30"/>
        <v>0</v>
      </c>
      <c r="G50" s="989">
        <f t="shared" ca="1" si="30"/>
        <v>0</v>
      </c>
      <c r="H50" s="989">
        <f t="shared" ca="1" si="30"/>
        <v>0</v>
      </c>
      <c r="I50" s="989">
        <f t="shared" ca="1" si="30"/>
        <v>0</v>
      </c>
      <c r="J50" s="989">
        <f t="shared" ca="1" si="31"/>
        <v>0</v>
      </c>
      <c r="K50" s="990">
        <f t="shared" ca="1" si="32"/>
        <v>0</v>
      </c>
      <c r="M50" s="1245"/>
      <c r="O50" s="2" t="str">
        <f t="shared" ca="1" si="23"/>
        <v>##H</v>
      </c>
      <c r="P50" s="24" t="s">
        <v>1129</v>
      </c>
      <c r="Q50" s="24" t="s">
        <v>1130</v>
      </c>
      <c r="S50" s="24" t="s">
        <v>1131</v>
      </c>
      <c r="T50" s="24" t="s">
        <v>1132</v>
      </c>
      <c r="U50" s="24" t="s">
        <v>1133</v>
      </c>
      <c r="V50" s="24" t="s">
        <v>1134</v>
      </c>
      <c r="X50" s="24" t="s">
        <v>51</v>
      </c>
    </row>
    <row r="51" spans="2:24" ht="15" hidden="1" customHeight="1">
      <c r="B51" s="703" t="s">
        <v>924</v>
      </c>
      <c r="C51" s="989">
        <f t="shared" ca="1" si="30"/>
        <v>0</v>
      </c>
      <c r="D51" s="989">
        <f t="shared" ca="1" si="30"/>
        <v>0</v>
      </c>
      <c r="E51" s="989">
        <f t="shared" ca="1" si="28"/>
        <v>0</v>
      </c>
      <c r="F51" s="989">
        <f t="shared" ca="1" si="30"/>
        <v>0</v>
      </c>
      <c r="G51" s="989">
        <f t="shared" ca="1" si="30"/>
        <v>0</v>
      </c>
      <c r="H51" s="989">
        <f t="shared" ca="1" si="30"/>
        <v>0</v>
      </c>
      <c r="I51" s="989">
        <f t="shared" ca="1" si="30"/>
        <v>0</v>
      </c>
      <c r="J51" s="989">
        <f t="shared" ca="1" si="31"/>
        <v>0</v>
      </c>
      <c r="K51" s="990">
        <f t="shared" ca="1" si="32"/>
        <v>0</v>
      </c>
      <c r="M51" s="1245"/>
      <c r="O51" s="2" t="str">
        <f t="shared" ca="1" si="23"/>
        <v>##H</v>
      </c>
      <c r="X51" s="24" t="s">
        <v>51</v>
      </c>
    </row>
    <row r="52" spans="2:24" ht="15" hidden="1" customHeight="1">
      <c r="B52" s="703" t="s">
        <v>1085</v>
      </c>
      <c r="C52" s="989">
        <f t="shared" ca="1" si="30"/>
        <v>0</v>
      </c>
      <c r="D52" s="989">
        <f t="shared" ca="1" si="30"/>
        <v>0</v>
      </c>
      <c r="E52" s="989">
        <f t="shared" ca="1" si="28"/>
        <v>0</v>
      </c>
      <c r="F52" s="989">
        <f t="shared" ca="1" si="30"/>
        <v>0</v>
      </c>
      <c r="G52" s="989">
        <f t="shared" ca="1" si="30"/>
        <v>0</v>
      </c>
      <c r="H52" s="989">
        <f t="shared" ca="1" si="30"/>
        <v>0</v>
      </c>
      <c r="I52" s="989">
        <f t="shared" ca="1" si="30"/>
        <v>0</v>
      </c>
      <c r="J52" s="989">
        <f t="shared" ca="1" si="31"/>
        <v>0</v>
      </c>
      <c r="K52" s="990">
        <f t="shared" ca="1" si="32"/>
        <v>0</v>
      </c>
      <c r="M52" s="1245"/>
      <c r="O52" s="2" t="str">
        <f t="shared" ca="1" si="23"/>
        <v>##H</v>
      </c>
      <c r="P52" s="24" t="s">
        <v>1135</v>
      </c>
      <c r="Q52" s="24" t="s">
        <v>1136</v>
      </c>
      <c r="S52" s="24" t="s">
        <v>1137</v>
      </c>
      <c r="T52" s="24" t="s">
        <v>1138</v>
      </c>
      <c r="U52" s="24" t="s">
        <v>1139</v>
      </c>
      <c r="V52" s="24" t="s">
        <v>1140</v>
      </c>
      <c r="X52" s="24" t="s">
        <v>51</v>
      </c>
    </row>
    <row r="53" spans="2:24" ht="15" hidden="1" customHeight="1">
      <c r="B53" s="703" t="s">
        <v>1100</v>
      </c>
      <c r="C53" s="989">
        <f t="shared" ca="1" si="30"/>
        <v>0</v>
      </c>
      <c r="D53" s="989">
        <f t="shared" ca="1" si="30"/>
        <v>0</v>
      </c>
      <c r="E53" s="989">
        <f t="shared" ca="1" si="28"/>
        <v>0</v>
      </c>
      <c r="F53" s="989">
        <f t="shared" ca="1" si="30"/>
        <v>0</v>
      </c>
      <c r="G53" s="989">
        <f t="shared" ca="1" si="30"/>
        <v>0</v>
      </c>
      <c r="H53" s="989">
        <f t="shared" ca="1" si="30"/>
        <v>0</v>
      </c>
      <c r="I53" s="989">
        <f t="shared" ca="1" si="30"/>
        <v>0</v>
      </c>
      <c r="J53" s="989">
        <f t="shared" ca="1" si="31"/>
        <v>0</v>
      </c>
      <c r="K53" s="990">
        <f t="shared" ca="1" si="32"/>
        <v>0</v>
      </c>
      <c r="M53" s="598" t="s">
        <v>496</v>
      </c>
      <c r="O53" s="2" t="str">
        <f t="shared" ca="1" si="23"/>
        <v>##H</v>
      </c>
      <c r="P53" s="24" t="s">
        <v>1141</v>
      </c>
      <c r="Q53" s="24" t="s">
        <v>1142</v>
      </c>
      <c r="S53" s="24" t="s">
        <v>1143</v>
      </c>
      <c r="T53" s="24" t="s">
        <v>1144</v>
      </c>
      <c r="U53" s="24" t="s">
        <v>1145</v>
      </c>
      <c r="V53" s="24" t="s">
        <v>1146</v>
      </c>
      <c r="X53" s="24" t="s">
        <v>51</v>
      </c>
    </row>
    <row r="54" spans="2:24" ht="15" customHeight="1">
      <c r="B54" s="1139" t="e">
        <f ca="1">B31</f>
        <v>#NAME?</v>
      </c>
      <c r="C54" s="792">
        <f ca="1">-IFERROR(INDEX(INDIRECT(VLOOKUP($X54,Source_Master,2,0),),MATCH(TEXT(P54,0),INDIRECT(VLOOKUP($X54,Source_Master,4,0)),0),MATCH($I$1,INDIRECT(VLOOKUP($X54,Source_Master,3,0),),0)),0)</f>
        <v>0</v>
      </c>
      <c r="D54" s="792">
        <f ca="1">-IFERROR(INDEX(INDIRECT(VLOOKUP($X54,Source_Master,2,0),),MATCH(TEXT(Q54,0),INDIRECT(VLOOKUP($X54,Source_Master,4,0)),0),MATCH($I$1,INDIRECT(VLOOKUP($X54,Source_Master,3,0),),0)),0)</f>
        <v>0</v>
      </c>
      <c r="E54" s="792">
        <f t="shared" ca="1" si="28"/>
        <v>0</v>
      </c>
      <c r="F54" s="792">
        <f ca="1">-IFERROR(INDEX(INDIRECT(VLOOKUP($X54,Source_Master,2,0),),MATCH(TEXT(S54,0),INDIRECT(VLOOKUP($X54,Source_Master,4,0)),0),MATCH($I$1,INDIRECT(VLOOKUP($X54,Source_Master,3,0),),0)),0)</f>
        <v>0</v>
      </c>
      <c r="G54" s="792">
        <f ca="1">-IFERROR(INDEX(INDIRECT(VLOOKUP($X54,Source_Master,2,0),),MATCH(TEXT(T54,0),INDIRECT(VLOOKUP($X54,Source_Master,4,0)),0),MATCH($I$1,INDIRECT(VLOOKUP($X54,Source_Master,3,0),),0)),0)</f>
        <v>0</v>
      </c>
      <c r="H54" s="792">
        <f ca="1">-IFERROR(INDEX(INDIRECT(VLOOKUP($X54,Source_Master,2,0),),MATCH(TEXT(U54,0),INDIRECT(VLOOKUP($X54,Source_Master,4,0)),0),MATCH($I$1,INDIRECT(VLOOKUP($X54,Source_Master,3,0),),0)),0)</f>
        <v>0</v>
      </c>
      <c r="I54" s="792">
        <f ca="1">-IFERROR(INDEX(INDIRECT(VLOOKUP($X54,Source_Master,2,0),),MATCH(TEXT(V54,0),INDIRECT(VLOOKUP($X54,Source_Master,4,0)),0),MATCH($I$1,INDIRECT(VLOOKUP($X54,Source_Master,3,0),),0)),0)</f>
        <v>0</v>
      </c>
      <c r="J54" s="792">
        <f t="shared" ca="1" si="31"/>
        <v>0</v>
      </c>
      <c r="K54" s="792">
        <f t="shared" ca="1" si="32"/>
        <v>0</v>
      </c>
      <c r="M54" s="1140">
        <f ca="1">K54-SUM(K46:K53)</f>
        <v>0</v>
      </c>
      <c r="O54" s="2" t="str">
        <f t="shared" ca="1" si="23"/>
        <v>##H</v>
      </c>
      <c r="P54" s="24" t="s">
        <v>1102</v>
      </c>
      <c r="Q54" s="24" t="s">
        <v>1103</v>
      </c>
      <c r="R54" s="24" t="s">
        <v>1104</v>
      </c>
      <c r="S54" s="24" t="s">
        <v>1105</v>
      </c>
      <c r="T54" s="24" t="s">
        <v>1106</v>
      </c>
      <c r="U54" s="24" t="s">
        <v>1107</v>
      </c>
      <c r="V54" s="24" t="s">
        <v>1108</v>
      </c>
      <c r="W54" s="24" t="s">
        <v>1109</v>
      </c>
      <c r="X54" s="24" t="s">
        <v>50</v>
      </c>
    </row>
    <row r="55" spans="2:24" ht="15" customHeight="1">
      <c r="B55" s="703"/>
      <c r="C55" s="995"/>
      <c r="D55" s="995"/>
      <c r="E55" s="995"/>
      <c r="F55" s="995"/>
      <c r="G55" s="995"/>
      <c r="H55" s="995"/>
      <c r="I55" s="995"/>
      <c r="J55" s="995"/>
      <c r="K55" s="996"/>
      <c r="M55" s="1245"/>
    </row>
    <row r="56" spans="2:24" ht="15" customHeight="1">
      <c r="B56" s="1139" t="e">
        <f ca="1">NCV_PY</f>
        <v>#NAME?</v>
      </c>
      <c r="C56" s="792">
        <f t="shared" ref="C56:I56" ca="1" si="33">C20-C44</f>
        <v>0</v>
      </c>
      <c r="D56" s="792">
        <f t="shared" ca="1" si="33"/>
        <v>0</v>
      </c>
      <c r="E56" s="792">
        <f ca="1">SUM(C56:D56)</f>
        <v>0</v>
      </c>
      <c r="F56" s="792">
        <f t="shared" ca="1" si="33"/>
        <v>0</v>
      </c>
      <c r="G56" s="792">
        <f t="shared" ca="1" si="33"/>
        <v>0</v>
      </c>
      <c r="H56" s="792">
        <f t="shared" ca="1" si="33"/>
        <v>0</v>
      </c>
      <c r="I56" s="792">
        <f t="shared" ca="1" si="33"/>
        <v>0</v>
      </c>
      <c r="J56" s="792">
        <f ca="1">SUM(F56:I56)</f>
        <v>0</v>
      </c>
      <c r="K56" s="792">
        <f ca="1">SUM(C56:D56)+SUM(F56:I56)</f>
        <v>0</v>
      </c>
      <c r="M56" s="1245"/>
      <c r="O56" s="2" t="str">
        <f t="shared" ca="1" si="23"/>
        <v>##H</v>
      </c>
    </row>
    <row r="57" spans="2:24" ht="15" customHeight="1">
      <c r="B57" s="1142" t="e">
        <f ca="1">NCV_CY</f>
        <v>#NAME?</v>
      </c>
      <c r="C57" s="792">
        <f t="shared" ref="C57:I57" ca="1" si="34">C31-C54</f>
        <v>0</v>
      </c>
      <c r="D57" s="792">
        <f t="shared" ca="1" si="34"/>
        <v>0</v>
      </c>
      <c r="E57" s="792">
        <f ca="1">SUM(C57:D57)</f>
        <v>0</v>
      </c>
      <c r="F57" s="792">
        <f t="shared" ca="1" si="34"/>
        <v>0</v>
      </c>
      <c r="G57" s="792">
        <f t="shared" ca="1" si="34"/>
        <v>0</v>
      </c>
      <c r="H57" s="792">
        <f t="shared" ca="1" si="34"/>
        <v>0</v>
      </c>
      <c r="I57" s="792">
        <f t="shared" ca="1" si="34"/>
        <v>0</v>
      </c>
      <c r="J57" s="792">
        <f ca="1">SUM(F57:I57)</f>
        <v>0</v>
      </c>
      <c r="K57" s="792">
        <f ca="1">SUM(C57:D57)+SUM(F57:I57)</f>
        <v>0</v>
      </c>
      <c r="M57" s="1245"/>
      <c r="O57" s="2" t="str">
        <f t="shared" ca="1" si="23"/>
        <v>##H</v>
      </c>
    </row>
    <row r="58" spans="2:24">
      <c r="B58" s="15"/>
      <c r="C58" s="15"/>
      <c r="D58" s="15"/>
      <c r="E58" s="15"/>
      <c r="F58" s="15"/>
      <c r="G58" s="15"/>
      <c r="H58" s="15"/>
      <c r="I58" s="15"/>
      <c r="J58" s="15"/>
      <c r="K58" s="15"/>
      <c r="M58" s="1245"/>
    </row>
    <row r="60" spans="2:24" hidden="1">
      <c r="M60" s="1245"/>
    </row>
    <row r="61" spans="2:24" hidden="1">
      <c r="B61" s="22" t="s">
        <v>973</v>
      </c>
      <c r="M61" s="1245"/>
    </row>
    <row r="62" spans="2:24" hidden="1">
      <c r="B62" s="22"/>
      <c r="M62" s="1245"/>
    </row>
    <row r="63" spans="2:24" hidden="1">
      <c r="B63" s="767" t="s">
        <v>30</v>
      </c>
      <c r="M63" s="1245"/>
    </row>
    <row r="64" spans="2:24" hidden="1">
      <c r="B64" s="647" t="s">
        <v>974</v>
      </c>
      <c r="C64" s="1126">
        <f ca="1">C31-SUM(C22:C30)</f>
        <v>0</v>
      </c>
      <c r="D64" s="1126">
        <f t="shared" ref="D64:K64" ca="1" si="35">D31-SUM(D22:D30)</f>
        <v>0</v>
      </c>
      <c r="E64" s="1126">
        <f t="shared" ca="1" si="35"/>
        <v>0</v>
      </c>
      <c r="F64" s="1126">
        <f t="shared" ca="1" si="35"/>
        <v>0</v>
      </c>
      <c r="G64" s="1126">
        <f t="shared" ca="1" si="35"/>
        <v>0</v>
      </c>
      <c r="H64" s="1126">
        <f t="shared" ca="1" si="35"/>
        <v>0</v>
      </c>
      <c r="I64" s="1126">
        <f t="shared" ca="1" si="35"/>
        <v>0</v>
      </c>
      <c r="J64" s="1126">
        <f t="shared" ca="1" si="35"/>
        <v>0</v>
      </c>
      <c r="K64" s="1126">
        <f t="shared" ca="1" si="35"/>
        <v>0</v>
      </c>
      <c r="M64" s="1245"/>
    </row>
    <row r="65" spans="2:11" hidden="1">
      <c r="B65" s="647" t="s">
        <v>975</v>
      </c>
      <c r="C65" s="1126">
        <f ca="1">C54-SUM(C46:C53)</f>
        <v>0</v>
      </c>
      <c r="D65" s="1126">
        <f t="shared" ref="D65:K65" ca="1" si="36">D54-SUM(D46:D53)</f>
        <v>0</v>
      </c>
      <c r="E65" s="1126">
        <f t="shared" ca="1" si="36"/>
        <v>0</v>
      </c>
      <c r="F65" s="1126">
        <f t="shared" ca="1" si="36"/>
        <v>0</v>
      </c>
      <c r="G65" s="1126">
        <f t="shared" ca="1" si="36"/>
        <v>0</v>
      </c>
      <c r="H65" s="1126">
        <f t="shared" ca="1" si="36"/>
        <v>0</v>
      </c>
      <c r="I65" s="1126">
        <f t="shared" ca="1" si="36"/>
        <v>0</v>
      </c>
      <c r="J65" s="1126">
        <f t="shared" ca="1" si="36"/>
        <v>0</v>
      </c>
      <c r="K65" s="1126">
        <f t="shared" ca="1" si="36"/>
        <v>0</v>
      </c>
    </row>
    <row r="66" spans="2:11" hidden="1">
      <c r="C66" s="22"/>
      <c r="D66" s="22"/>
      <c r="E66" s="22"/>
      <c r="F66" s="22"/>
      <c r="G66" s="22"/>
      <c r="H66" s="22"/>
      <c r="I66" s="22"/>
      <c r="J66" s="22"/>
      <c r="K66" s="22"/>
    </row>
    <row r="67" spans="2:11" hidden="1">
      <c r="B67" s="767" t="s">
        <v>31</v>
      </c>
      <c r="C67" s="22"/>
      <c r="D67" s="22"/>
      <c r="E67" s="22"/>
      <c r="F67" s="22"/>
      <c r="G67" s="22"/>
      <c r="H67" s="22"/>
      <c r="I67" s="22"/>
      <c r="J67" s="22"/>
      <c r="K67" s="22"/>
    </row>
    <row r="68" spans="2:11" hidden="1">
      <c r="B68" s="647" t="s">
        <v>974</v>
      </c>
      <c r="C68" s="1126">
        <f ca="1">C20-SUM(C11:C19)</f>
        <v>0</v>
      </c>
      <c r="D68" s="1126">
        <f t="shared" ref="D68:K68" ca="1" si="37">D20-SUM(D11:D19)</f>
        <v>0</v>
      </c>
      <c r="E68" s="1126">
        <f t="shared" ca="1" si="37"/>
        <v>0</v>
      </c>
      <c r="F68" s="1126">
        <f t="shared" ca="1" si="37"/>
        <v>0</v>
      </c>
      <c r="G68" s="1126">
        <f t="shared" ca="1" si="37"/>
        <v>0</v>
      </c>
      <c r="H68" s="1126">
        <f t="shared" ca="1" si="37"/>
        <v>0</v>
      </c>
      <c r="I68" s="1126">
        <f t="shared" ca="1" si="37"/>
        <v>0</v>
      </c>
      <c r="J68" s="1126">
        <f t="shared" ca="1" si="37"/>
        <v>0</v>
      </c>
      <c r="K68" s="1126">
        <f t="shared" ca="1" si="37"/>
        <v>0</v>
      </c>
    </row>
    <row r="69" spans="2:11" hidden="1">
      <c r="B69" s="647" t="s">
        <v>975</v>
      </c>
      <c r="C69" s="1126">
        <f ca="1">C44-SUM(C36:C43)</f>
        <v>0</v>
      </c>
      <c r="D69" s="1126">
        <f t="shared" ref="D69:K69" ca="1" si="38">D44-SUM(D36:D43)</f>
        <v>0</v>
      </c>
      <c r="E69" s="1126">
        <f t="shared" ca="1" si="38"/>
        <v>0</v>
      </c>
      <c r="F69" s="1126">
        <f t="shared" ca="1" si="38"/>
        <v>0</v>
      </c>
      <c r="G69" s="1126">
        <f t="shared" ca="1" si="38"/>
        <v>0</v>
      </c>
      <c r="H69" s="1126">
        <f t="shared" ca="1" si="38"/>
        <v>0</v>
      </c>
      <c r="I69" s="1126">
        <f t="shared" ca="1" si="38"/>
        <v>0</v>
      </c>
      <c r="J69" s="1126">
        <f t="shared" ca="1" si="38"/>
        <v>0</v>
      </c>
      <c r="K69" s="1126">
        <f t="shared" ca="1" si="38"/>
        <v>0</v>
      </c>
    </row>
    <row r="70" spans="2:11" hidden="1"/>
    <row r="71" spans="2:11" hidden="1"/>
    <row r="72" spans="2:11" hidden="1"/>
    <row r="73" spans="2:11" hidden="1"/>
    <row r="74" spans="2:11" hidden="1"/>
    <row r="75" spans="2:11" hidden="1"/>
    <row r="76" spans="2:11" hidden="1"/>
    <row r="77" spans="2:11" hidden="1"/>
    <row r="78" spans="2:11" hidden="1"/>
    <row r="79" spans="2:11" hidden="1"/>
    <row r="80" spans="2:11" hidden="1"/>
    <row r="81" hidden="1"/>
    <row r="82" hidden="1"/>
  </sheetData>
  <sheetProtection algorithmName="SHA-512" hashValue="U48CFwfFgJXy+/OEnZx3jUPSU7jczRGnXDXaDwMEbpMYEhuzhBUyFsswukZOYsaeYLjan1NAVtV0/4eU1nt14g==" saltValue="8/Z/sqbqN3UGdtFP/iipng==" spinCount="100000" sheet="1" objects="1" scenarios="1"/>
  <pageMargins left="0.31496062992125984" right="0.31496062992125984" top="0.74803149606299213" bottom="0.74803149606299213" header="0.31496062992125984" footer="0.11811023622047245"/>
  <pageSetup scale="56" fitToHeight="0" orientation="landscape" r:id="rId1"/>
  <ignoredErrors>
    <ignoredError sqref="E11:E23 C13:D13 F13:I13 E24:E54 C24:D24 F24:J24 E56:E57"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5F669D-2CAC-4F80-A056-18932D92AEC3}">
          <x14:formula1>
            <xm:f>'Master Sheet'!$C$37:$C$41</xm:f>
          </x14:formula1>
          <xm:sqref>X36:X44 X47:X54 X23:X31 X11:X20</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90C08-58AB-462D-992C-290053792197}">
  <sheetPr codeName="Sheet24">
    <tabColor theme="5" tint="0.59999389629810485"/>
    <pageSetUpPr fitToPage="1"/>
  </sheetPr>
  <dimension ref="A1:L50"/>
  <sheetViews>
    <sheetView showGridLines="0" view="pageBreakPreview" topLeftCell="A4" zoomScaleNormal="100" zoomScaleSheetLayoutView="100" workbookViewId="0">
      <selection activeCell="E14" sqref="E14"/>
    </sheetView>
  </sheetViews>
  <sheetFormatPr defaultColWidth="8.85546875" defaultRowHeight="13.15" outlineLevelRow="1" outlineLevelCol="1"/>
  <cols>
    <col min="1" max="2" customWidth="true" style="2" width="4.42578125"/>
    <col min="3" max="3" customWidth="true" style="2" width="53.0"/>
    <col min="4" max="4" customWidth="true" style="2" width="14.7109375"/>
    <col min="5" max="5" customWidth="true" style="2" width="16.0"/>
    <col min="6" max="6" customWidth="true" style="2" width="5.7109375"/>
    <col min="7" max="10" style="2" width="8.85546875"/>
    <col min="11" max="12" customWidth="true" hidden="true" style="24" width="13.5703125" outlineLevel="1"/>
    <col min="13" max="13" style="2" width="8.85546875" collapsed="true"/>
    <col min="14" max="16384" style="2" width="8.85546875"/>
  </cols>
  <sheetData>
    <row r="1" spans="1:12" hidden="1" outlineLevel="1">
      <c r="D1" s="1083" t="str">
        <f>BS!C1</f>
        <v>7756|001|INR|Actual|Standalone</v>
      </c>
      <c r="E1" s="1083" t="str">
        <f>BS!D1</f>
        <v>7756|002|INR|Actual|Standalone</v>
      </c>
      <c r="F1" s="1083" t="str">
        <f>BS!E1</f>
        <v>7756|003|INR|Actual|Standalone</v>
      </c>
      <c r="I1" s="2" t="s">
        <v>492</v>
      </c>
    </row>
    <row r="2" spans="1:12" hidden="1" outlineLevel="1"/>
    <row r="3" spans="1:12" hidden="1" outlineLevel="1"/>
    <row r="4" spans="1:12" ht="17.45" collapsed="1">
      <c r="A4" s="1077" t="e">
        <f ca="1">Company</f>
        <v>#NAME?</v>
      </c>
      <c r="B4" s="721"/>
    </row>
    <row r="5" spans="1:12" ht="15.6">
      <c r="A5" s="1078" t="e">
        <f ca="1">Note_Head</f>
        <v>#NAME?</v>
      </c>
      <c r="B5" s="1"/>
    </row>
    <row r="7" spans="1:12">
      <c r="A7" s="1122">
        <f>NTA!F22</f>
        <v>8</v>
      </c>
      <c r="B7" s="1134" t="str">
        <f>NTA!C22</f>
        <v>Intangible Assets Under Development</v>
      </c>
      <c r="E7" s="1124" t="str">
        <f>+'Master Sheet'!$C$65</f>
        <v>(Amount in INR)</v>
      </c>
    </row>
    <row r="8" spans="1:12">
      <c r="B8" s="1313" t="s">
        <v>500</v>
      </c>
      <c r="C8" s="1313"/>
      <c r="D8" s="1088" t="e">
        <f ca="1">BS_CY</f>
        <v>#NAME?</v>
      </c>
      <c r="E8" s="1089" t="e">
        <f ca="1">BS_PY</f>
        <v>#NAME?</v>
      </c>
    </row>
    <row r="9" spans="1:12" ht="15" hidden="1" customHeight="1">
      <c r="B9" s="192" t="s">
        <v>1148</v>
      </c>
      <c r="C9" s="192"/>
      <c r="D9" s="806">
        <f ca="1">IFERROR(INDEX(INDIRECT(VLOOKUP($L9,Source_Master,2,0),),MATCH(TEXT($K9,0),INDIRECT(VLOOKUP($L9,Source_Master,4,0)),0),MATCH(D$1,INDIRECT(VLOOKUP($L9,Source_Master,3,0),),0)),0)</f>
        <v>0</v>
      </c>
      <c r="E9" s="807">
        <f ca="1">IFERROR(INDEX(INDIRECT(VLOOKUP($L9,Source_Master,2,0),),MATCH(TEXT($K9,0),INDIRECT(VLOOKUP($L9,Source_Master,4,0)),0),MATCH(E$1,INDIRECT(VLOOKUP($L9,Source_Master,3,0),),0)),0)</f>
        <v>0</v>
      </c>
      <c r="I9" s="2" t="str">
        <f ca="1">IF(AND(D9=0,E9=0),"##H","")</f>
        <v>##H</v>
      </c>
      <c r="K9" s="24" t="s">
        <v>507</v>
      </c>
      <c r="L9" s="24" t="s">
        <v>50</v>
      </c>
    </row>
    <row r="10" spans="1:12" ht="15" hidden="1" customHeight="1">
      <c r="B10" s="205" t="s">
        <v>246</v>
      </c>
      <c r="C10" s="195"/>
      <c r="D10" s="287">
        <f ca="1">SUM(D9:D9)</f>
        <v>0</v>
      </c>
      <c r="E10" s="798">
        <f ca="1">SUM(E9:E9)</f>
        <v>0</v>
      </c>
      <c r="I10" s="2" t="str">
        <f ca="1">IF(AND(D10=0,E10=0),"##H","")</f>
        <v>##H</v>
      </c>
    </row>
    <row r="12" spans="1:12">
      <c r="B12" s="1143">
        <f>NTA!F23</f>
        <v>8.1</v>
      </c>
      <c r="C12" s="1134" t="str">
        <f>NTA!C23</f>
        <v>Intangible Assets Under Development aging schedule</v>
      </c>
      <c r="D12" s="196"/>
      <c r="E12" s="1144" t="str">
        <f>+'Master Sheet'!$C$65</f>
        <v>(Amount in INR)</v>
      </c>
    </row>
    <row r="13" spans="1:12">
      <c r="C13" s="1248" t="s">
        <v>500</v>
      </c>
      <c r="D13" s="1088" t="e">
        <f ca="1">BS_CY</f>
        <v>#NAME?</v>
      </c>
      <c r="E13" s="1089" t="e">
        <f ca="1">BS_PY</f>
        <v>#NAME?</v>
      </c>
    </row>
    <row r="14" spans="1:12" ht="15" customHeight="1">
      <c r="C14" s="197" t="s">
        <v>1019</v>
      </c>
      <c r="D14" s="203"/>
      <c r="E14" s="204"/>
    </row>
    <row r="15" spans="1:12" ht="15" hidden="1" customHeight="1">
      <c r="C15" s="198" t="s">
        <v>1020</v>
      </c>
      <c r="D15" s="806">
        <f t="shared" ref="D15:E18" ca="1" si="0">IFERROR(INDEX(INDIRECT(VLOOKUP($L15,Source_Master,2,0),),MATCH(TEXT($K15,0),INDIRECT(VLOOKUP($L15,Source_Master,4,0)),0),MATCH(D$1,INDIRECT(VLOOKUP($L15,Source_Master,3,0),),0)),0)</f>
        <v>0</v>
      </c>
      <c r="E15" s="800">
        <f t="shared" ca="1" si="0"/>
        <v>0</v>
      </c>
      <c r="I15" s="2" t="str">
        <f ca="1">IF(AND(D15=0,E15=0),"##H","")</f>
        <v>##H</v>
      </c>
      <c r="K15" s="24" t="s">
        <v>1149</v>
      </c>
      <c r="L15" s="24" t="s">
        <v>51</v>
      </c>
    </row>
    <row r="16" spans="1:12" ht="15" hidden="1" customHeight="1">
      <c r="C16" s="198" t="s">
        <v>1022</v>
      </c>
      <c r="D16" s="799">
        <f t="shared" ca="1" si="0"/>
        <v>0</v>
      </c>
      <c r="E16" s="800">
        <f t="shared" ca="1" si="0"/>
        <v>0</v>
      </c>
      <c r="I16" s="2" t="str">
        <f t="shared" ref="I16:I19" ca="1" si="1">IF(AND(D16=0,E16=0),"##H","")</f>
        <v>##H</v>
      </c>
      <c r="K16" s="24" t="s">
        <v>1149</v>
      </c>
      <c r="L16" s="24" t="s">
        <v>51</v>
      </c>
    </row>
    <row r="17" spans="2:12" ht="15" hidden="1" customHeight="1">
      <c r="C17" s="198" t="s">
        <v>1024</v>
      </c>
      <c r="D17" s="799">
        <f t="shared" ca="1" si="0"/>
        <v>0</v>
      </c>
      <c r="E17" s="800">
        <f t="shared" ca="1" si="0"/>
        <v>0</v>
      </c>
      <c r="I17" s="2" t="str">
        <f t="shared" ca="1" si="1"/>
        <v>##H</v>
      </c>
      <c r="K17" s="24" t="s">
        <v>1149</v>
      </c>
      <c r="L17" s="24" t="s">
        <v>51</v>
      </c>
    </row>
    <row r="18" spans="2:12" ht="15" hidden="1" customHeight="1">
      <c r="C18" s="198" t="s">
        <v>1026</v>
      </c>
      <c r="D18" s="808">
        <f t="shared" ca="1" si="0"/>
        <v>0</v>
      </c>
      <c r="E18" s="809">
        <f t="shared" ca="1" si="0"/>
        <v>0</v>
      </c>
      <c r="G18" s="647"/>
      <c r="I18" s="2" t="str">
        <f t="shared" ca="1" si="1"/>
        <v>##H</v>
      </c>
      <c r="K18" s="24" t="s">
        <v>1149</v>
      </c>
      <c r="L18" s="24" t="s">
        <v>51</v>
      </c>
    </row>
    <row r="19" spans="2:12" ht="15" hidden="1" customHeight="1">
      <c r="C19" s="205" t="s">
        <v>246</v>
      </c>
      <c r="D19" s="1145">
        <f ca="1">SUM(D15:D18)</f>
        <v>0</v>
      </c>
      <c r="E19" s="1146">
        <f ca="1">SUM(E15:E18)</f>
        <v>0</v>
      </c>
      <c r="G19" s="648"/>
      <c r="H19" s="649"/>
      <c r="I19" s="2" t="str">
        <f t="shared" ca="1" si="1"/>
        <v>##H</v>
      </c>
      <c r="K19" s="24" t="s">
        <v>507</v>
      </c>
      <c r="L19" s="24" t="s">
        <v>50</v>
      </c>
    </row>
    <row r="20" spans="2:12">
      <c r="C20" s="459"/>
      <c r="D20" s="460"/>
      <c r="E20" s="461"/>
    </row>
    <row r="21" spans="2:12" ht="25.5" customHeight="1">
      <c r="B21" s="1064">
        <f>NTA!F24</f>
        <v>8.1999999999999993</v>
      </c>
      <c r="C21" s="1317" t="str">
        <f>NTA!C24</f>
        <v>Aging schedule of Intangible Assets Under Development, whose completion is overdue or has exceeded its cost compared to its original plan</v>
      </c>
      <c r="D21" s="1317"/>
      <c r="E21" s="1317"/>
    </row>
    <row r="22" spans="2:12">
      <c r="D22" s="18"/>
      <c r="E22" s="1144" t="str">
        <f>+'Master Sheet'!$C$65</f>
        <v>(Amount in INR)</v>
      </c>
    </row>
    <row r="23" spans="2:12">
      <c r="C23" s="1314" t="s">
        <v>500</v>
      </c>
      <c r="D23" s="1318" t="s">
        <v>1150</v>
      </c>
      <c r="E23" s="1318"/>
    </row>
    <row r="24" spans="2:12">
      <c r="C24" s="1315"/>
      <c r="D24" s="1136" t="e">
        <f ca="1">BS_CY</f>
        <v>#NAME?</v>
      </c>
      <c r="E24" s="1089" t="e">
        <f ca="1">BS_PY</f>
        <v>#NAME?</v>
      </c>
    </row>
    <row r="25" spans="2:12" ht="15" customHeight="1">
      <c r="C25" s="197" t="s">
        <v>1151</v>
      </c>
      <c r="D25" s="207"/>
      <c r="E25" s="75"/>
    </row>
    <row r="26" spans="2:12" ht="15" hidden="1" customHeight="1">
      <c r="C26" s="198" t="s">
        <v>1020</v>
      </c>
      <c r="D26" s="799">
        <f t="shared" ref="D26:E29" ca="1" si="2">IFERROR(INDEX(INDIRECT(VLOOKUP($L26,Source_Master,2,0),),MATCH(TEXT($K26,0),INDIRECT(VLOOKUP($L26,Source_Master,4,0)),0),MATCH(D$1,INDIRECT(VLOOKUP($L26,Source_Master,3,0),),0)),0)</f>
        <v>0</v>
      </c>
      <c r="E26" s="800">
        <f t="shared" ca="1" si="2"/>
        <v>0</v>
      </c>
      <c r="I26" s="2" t="str">
        <f t="shared" ref="I26:I29" ca="1" si="3">IF(AND(D26=0,E26=0),"##H","")</f>
        <v>##H</v>
      </c>
      <c r="K26" s="24" t="s">
        <v>1152</v>
      </c>
      <c r="L26" s="24" t="s">
        <v>51</v>
      </c>
    </row>
    <row r="27" spans="2:12" ht="15" hidden="1" customHeight="1">
      <c r="C27" s="198" t="s">
        <v>1022</v>
      </c>
      <c r="D27" s="799">
        <f t="shared" ca="1" si="2"/>
        <v>0</v>
      </c>
      <c r="E27" s="800">
        <f t="shared" ca="1" si="2"/>
        <v>0</v>
      </c>
      <c r="I27" s="2" t="str">
        <f t="shared" ca="1" si="3"/>
        <v>##H</v>
      </c>
      <c r="K27" s="24" t="s">
        <v>1152</v>
      </c>
      <c r="L27" s="24" t="s">
        <v>51</v>
      </c>
    </row>
    <row r="28" spans="2:12" ht="15" hidden="1" customHeight="1">
      <c r="C28" s="198" t="s">
        <v>1024</v>
      </c>
      <c r="D28" s="799">
        <f t="shared" ca="1" si="2"/>
        <v>0</v>
      </c>
      <c r="E28" s="800">
        <f t="shared" ca="1" si="2"/>
        <v>0</v>
      </c>
      <c r="I28" s="2" t="str">
        <f t="shared" ca="1" si="3"/>
        <v>##H</v>
      </c>
      <c r="K28" s="24" t="s">
        <v>1152</v>
      </c>
      <c r="L28" s="24" t="s">
        <v>51</v>
      </c>
    </row>
    <row r="29" spans="2:12" ht="15" hidden="1" customHeight="1">
      <c r="C29" s="198" t="s">
        <v>1026</v>
      </c>
      <c r="D29" s="799">
        <f t="shared" ca="1" si="2"/>
        <v>0</v>
      </c>
      <c r="E29" s="800">
        <f t="shared" ca="1" si="2"/>
        <v>0</v>
      </c>
      <c r="I29" s="2" t="str">
        <f t="shared" ca="1" si="3"/>
        <v>##H</v>
      </c>
      <c r="K29" s="24" t="s">
        <v>1152</v>
      </c>
      <c r="L29" s="24" t="s">
        <v>51</v>
      </c>
    </row>
    <row r="30" spans="2:12" ht="15" customHeight="1">
      <c r="C30" s="197"/>
      <c r="D30" s="78"/>
      <c r="E30" s="79"/>
    </row>
    <row r="31" spans="2:12" ht="15" customHeight="1">
      <c r="C31" s="197" t="s">
        <v>1153</v>
      </c>
      <c r="D31" s="78"/>
      <c r="E31" s="79"/>
    </row>
    <row r="32" spans="2:12" ht="15" hidden="1" customHeight="1">
      <c r="C32" s="198" t="s">
        <v>1020</v>
      </c>
      <c r="D32" s="799">
        <f t="shared" ref="D32:E35" ca="1" si="4">IFERROR(INDEX(INDIRECT(VLOOKUP($L32,Source_Master,2,0),),MATCH(TEXT($K32,0),INDIRECT(VLOOKUP($L32,Source_Master,4,0)),0),MATCH(D$1,INDIRECT(VLOOKUP($L32,Source_Master,3,0),),0)),0)</f>
        <v>0</v>
      </c>
      <c r="E32" s="800">
        <f t="shared" ca="1" si="4"/>
        <v>0</v>
      </c>
      <c r="I32" s="2" t="str">
        <f t="shared" ref="I32:I35" ca="1" si="5">IF(AND(D32=0,E32=0),"##H","")</f>
        <v>##H</v>
      </c>
      <c r="K32" s="24" t="s">
        <v>1154</v>
      </c>
      <c r="L32" s="24" t="s">
        <v>51</v>
      </c>
    </row>
    <row r="33" spans="3:12" ht="15" hidden="1" customHeight="1">
      <c r="C33" s="198" t="s">
        <v>1022</v>
      </c>
      <c r="D33" s="799">
        <f t="shared" ca="1" si="4"/>
        <v>0</v>
      </c>
      <c r="E33" s="800">
        <f t="shared" ca="1" si="4"/>
        <v>0</v>
      </c>
      <c r="I33" s="2" t="str">
        <f t="shared" ca="1" si="5"/>
        <v>##H</v>
      </c>
      <c r="K33" s="24" t="s">
        <v>1154</v>
      </c>
      <c r="L33" s="24" t="s">
        <v>51</v>
      </c>
    </row>
    <row r="34" spans="3:12" ht="15" hidden="1" customHeight="1">
      <c r="C34" s="198" t="s">
        <v>1024</v>
      </c>
      <c r="D34" s="799">
        <f t="shared" ca="1" si="4"/>
        <v>0</v>
      </c>
      <c r="E34" s="800">
        <f t="shared" ca="1" si="4"/>
        <v>0</v>
      </c>
      <c r="I34" s="2" t="str">
        <f t="shared" ca="1" si="5"/>
        <v>##H</v>
      </c>
      <c r="K34" s="24" t="s">
        <v>1154</v>
      </c>
      <c r="L34" s="24" t="s">
        <v>51</v>
      </c>
    </row>
    <row r="35" spans="3:12" ht="15" hidden="1" customHeight="1">
      <c r="C35" s="198" t="s">
        <v>1026</v>
      </c>
      <c r="D35" s="799">
        <f t="shared" ca="1" si="4"/>
        <v>0</v>
      </c>
      <c r="E35" s="800">
        <f t="shared" ca="1" si="4"/>
        <v>0</v>
      </c>
      <c r="I35" s="2" t="str">
        <f t="shared" ca="1" si="5"/>
        <v>##H</v>
      </c>
      <c r="K35" s="24" t="s">
        <v>1154</v>
      </c>
      <c r="L35" s="24" t="s">
        <v>51</v>
      </c>
    </row>
    <row r="36" spans="3:12" ht="15" customHeight="1">
      <c r="C36" s="197"/>
      <c r="D36" s="78"/>
      <c r="E36" s="79"/>
    </row>
    <row r="37" spans="3:12" ht="15" customHeight="1">
      <c r="C37" s="197" t="s">
        <v>1155</v>
      </c>
      <c r="D37" s="78"/>
      <c r="E37" s="79"/>
    </row>
    <row r="38" spans="3:12" ht="15" hidden="1" customHeight="1">
      <c r="C38" s="198" t="s">
        <v>1020</v>
      </c>
      <c r="D38" s="799">
        <f t="shared" ref="D38:E41" ca="1" si="6">IFERROR(INDEX(INDIRECT(VLOOKUP($L38,Source_Master,2,0),),MATCH(TEXT($K38,0),INDIRECT(VLOOKUP($L38,Source_Master,4,0)),0),MATCH(D$1,INDIRECT(VLOOKUP($L38,Source_Master,3,0),),0)),0)</f>
        <v>0</v>
      </c>
      <c r="E38" s="800">
        <f t="shared" ca="1" si="6"/>
        <v>0</v>
      </c>
      <c r="I38" s="2" t="str">
        <f t="shared" ref="I38:I42" ca="1" si="7">IF(AND(D38=0,E38=0),"##H","")</f>
        <v>##H</v>
      </c>
      <c r="K38" s="24" t="s">
        <v>1156</v>
      </c>
      <c r="L38" s="24" t="s">
        <v>51</v>
      </c>
    </row>
    <row r="39" spans="3:12" ht="15" hidden="1" customHeight="1">
      <c r="C39" s="198" t="s">
        <v>1022</v>
      </c>
      <c r="D39" s="799">
        <f t="shared" ca="1" si="6"/>
        <v>0</v>
      </c>
      <c r="E39" s="800">
        <f t="shared" ca="1" si="6"/>
        <v>0</v>
      </c>
      <c r="I39" s="2" t="str">
        <f t="shared" ca="1" si="7"/>
        <v>##H</v>
      </c>
      <c r="K39" s="24" t="s">
        <v>1156</v>
      </c>
      <c r="L39" s="24" t="s">
        <v>51</v>
      </c>
    </row>
    <row r="40" spans="3:12" ht="15" hidden="1" customHeight="1">
      <c r="C40" s="198" t="s">
        <v>1024</v>
      </c>
      <c r="D40" s="799">
        <f t="shared" ca="1" si="6"/>
        <v>0</v>
      </c>
      <c r="E40" s="800">
        <f t="shared" ca="1" si="6"/>
        <v>0</v>
      </c>
      <c r="I40" s="2" t="str">
        <f t="shared" ca="1" si="7"/>
        <v>##H</v>
      </c>
      <c r="K40" s="24" t="s">
        <v>1156</v>
      </c>
      <c r="L40" s="24" t="s">
        <v>51</v>
      </c>
    </row>
    <row r="41" spans="3:12" ht="15" hidden="1" customHeight="1">
      <c r="C41" s="457" t="s">
        <v>1026</v>
      </c>
      <c r="D41" s="808">
        <f t="shared" ca="1" si="6"/>
        <v>0</v>
      </c>
      <c r="E41" s="809">
        <f t="shared" ca="1" si="6"/>
        <v>0</v>
      </c>
      <c r="I41" s="2" t="str">
        <f t="shared" ca="1" si="7"/>
        <v>##H</v>
      </c>
      <c r="K41" s="24" t="s">
        <v>1156</v>
      </c>
      <c r="L41" s="24" t="s">
        <v>51</v>
      </c>
    </row>
    <row r="42" spans="3:12" hidden="1">
      <c r="C42" s="451" t="s">
        <v>246</v>
      </c>
      <c r="D42" s="1147">
        <f ca="1">SUM(D26:D29)+SUM(D32:D35)+SUM(D38:D41)</f>
        <v>0</v>
      </c>
      <c r="E42" s="810">
        <f ca="1">SUM(E26:E29)+SUM(E32:E35)+SUM(E38:E41)</f>
        <v>0</v>
      </c>
      <c r="I42" s="2" t="str">
        <f t="shared" ca="1" si="7"/>
        <v>##H</v>
      </c>
    </row>
    <row r="46" spans="3:12" hidden="1"/>
    <row r="47" spans="3:12" hidden="1">
      <c r="C47" s="22" t="s">
        <v>1041</v>
      </c>
    </row>
    <row r="48" spans="3:12" hidden="1">
      <c r="C48" s="669" t="s">
        <v>214</v>
      </c>
      <c r="D48" s="1126">
        <f ca="1">D19-D10</f>
        <v>0</v>
      </c>
      <c r="E48" s="1126">
        <f ca="1">E19-E10</f>
        <v>0</v>
      </c>
    </row>
    <row r="49" hidden="1"/>
    <row r="50" hidden="1"/>
  </sheetData>
  <sheetProtection algorithmName="SHA-512" hashValue="JoregcTwMP1155NppEVh0Is9qg4CWUXtCaZRNODqmdleIRT8tScWK9aVPX6IqlXNgMsCBnmOBLD6LujbTj+d3g==" saltValue="1BD2hYJAIm1NXWUgV8yo0g==" spinCount="100000" sheet="1" objects="1" scenarios="1"/>
  <mergeCells count="4">
    <mergeCell ref="C21:E21"/>
    <mergeCell ref="C23:C24"/>
    <mergeCell ref="D23:E23"/>
    <mergeCell ref="B8:C8"/>
  </mergeCells>
  <pageMargins left="0.70866141732283472" right="0.70866141732283472" top="0.74803149606299213" bottom="0.74803149606299213" header="0.31496062992125984" footer="0.31496062992125984"/>
  <pageSetup scale="9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1E17451-58C4-42C4-87FE-FC74E2A0F342}">
          <x14:formula1>
            <xm:f>'Master Sheet'!$C$37:$C$41</xm:f>
          </x14:formula1>
          <xm:sqref>L9 L38:L41 L32:L35 L26:L29 L15:L19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7F8DD-BDA5-4399-8459-AB8426C2A489}">
  <sheetPr codeName="Sheet25">
    <tabColor theme="5" tint="0.59999389629810485"/>
    <pageSetUpPr fitToPage="1"/>
  </sheetPr>
  <dimension ref="A1:AJ326"/>
  <sheetViews>
    <sheetView showGridLines="0" view="pageBreakPreview" zoomScaleNormal="100" zoomScaleSheetLayoutView="100" workbookViewId="0">
      <pane ySplit="2" topLeftCell="A3" activePane="bottomLeft" state="frozen"/>
      <selection pane="bottomLeft" activeCell="HJ63" sqref="HJ63"/>
    </sheetView>
  </sheetViews>
  <sheetFormatPr defaultColWidth="9.42578125" defaultRowHeight="13.15" outlineLevelRow="1" outlineLevelCol="1"/>
  <cols>
    <col min="1" max="1" customWidth="true" style="21" width="3.5703125"/>
    <col min="2" max="2" customWidth="true" style="187" width="5.28515625"/>
    <col min="3" max="3" customWidth="true" style="20" width="42.28515625"/>
    <col min="4" max="4" bestFit="true" customWidth="true" style="20" width="17.5703125"/>
    <col min="5" max="7" customWidth="true" style="20" width="16.28515625"/>
    <col min="8" max="10" customWidth="true" style="123" width="16.28515625"/>
    <col min="11" max="11" customWidth="true" style="123" width="2.5703125"/>
    <col min="12" max="12" customWidth="true" style="123" width="7.7109375"/>
    <col min="13" max="13" customWidth="true" hidden="true" style="20" width="6.5703125"/>
    <col min="14" max="14" customWidth="true" hidden="true" style="114" width="11.0"/>
    <col min="15" max="15" customWidth="true" hidden="true" style="271" width="15.42578125"/>
    <col min="16" max="16" customWidth="true" style="24" width="15.42578125"/>
    <col min="17" max="18" customWidth="true" hidden="true" style="24" width="13.42578125" outlineLevel="1"/>
    <col min="19" max="19" customWidth="true" hidden="true" style="271" width="14.5703125" outlineLevel="1"/>
    <col min="20" max="20" customWidth="true" hidden="true" style="271" width="15.42578125" outlineLevel="1"/>
    <col min="21" max="21" customWidth="true" hidden="true" style="271" width="13.5703125" outlineLevel="1"/>
    <col min="22" max="22" customWidth="true" hidden="true" style="20" width="13.5703125" outlineLevel="1"/>
    <col min="23" max="23" bestFit="true" customWidth="true" style="20" width="12.0" collapsed="true"/>
    <col min="24" max="24" style="20" width="9.42578125"/>
    <col min="25" max="25" bestFit="true" customWidth="true" style="20" width="12.5703125"/>
    <col min="26" max="27" style="20" width="9.42578125"/>
    <col min="28" max="28" customWidth="true" style="20" width="13.5703125"/>
    <col min="29" max="29" bestFit="true" customWidth="true" style="20" width="13.42578125"/>
    <col min="30" max="16384" style="20" width="9.42578125"/>
  </cols>
  <sheetData>
    <row r="1" spans="1:23" hidden="1" outlineLevel="1">
      <c r="B1" s="1264"/>
      <c r="H1" s="1148" t="str">
        <f>BS!C1</f>
        <v>7756|001|INR|Actual|Standalone</v>
      </c>
      <c r="J1" s="1148" t="str">
        <f>BS!D1</f>
        <v>7756|002|INR|Actual|Standalone</v>
      </c>
      <c r="K1" s="208"/>
      <c r="L1" s="208"/>
      <c r="M1" s="208"/>
      <c r="N1" s="208"/>
      <c r="O1" s="29" t="s">
        <v>492</v>
      </c>
      <c r="P1" s="29"/>
      <c r="Q1" s="29" t="s">
        <v>553</v>
      </c>
      <c r="R1" s="29"/>
      <c r="S1" s="29"/>
      <c r="T1" s="29"/>
      <c r="U1" s="29"/>
      <c r="V1" s="25"/>
      <c r="W1" s="2"/>
    </row>
    <row r="2" spans="1:23" hidden="1" outlineLevel="1">
      <c r="B2" s="1264"/>
      <c r="G2" s="208"/>
      <c r="H2" s="208"/>
      <c r="I2" s="208"/>
      <c r="J2" s="208"/>
      <c r="K2" s="208"/>
      <c r="L2" s="208"/>
      <c r="M2" s="208"/>
      <c r="N2" s="208"/>
      <c r="O2" s="29"/>
      <c r="P2" s="29"/>
      <c r="Q2" s="29"/>
      <c r="R2" s="29"/>
      <c r="S2" s="29"/>
      <c r="T2" s="24"/>
      <c r="U2" s="588"/>
    </row>
    <row r="3" spans="1:23" ht="17.45" collapsed="1">
      <c r="A3" s="1085" t="e">
        <f ca="1">Company</f>
        <v>#NAME?</v>
      </c>
      <c r="B3" s="1264"/>
      <c r="C3" s="21"/>
      <c r="D3" s="21"/>
      <c r="E3" s="21"/>
      <c r="H3" s="115"/>
      <c r="I3" s="115"/>
      <c r="J3" s="115"/>
      <c r="K3" s="115"/>
      <c r="L3" s="115"/>
      <c r="M3" s="115"/>
      <c r="N3" s="115"/>
      <c r="O3" s="589"/>
      <c r="P3" s="606"/>
      <c r="Q3" s="271"/>
      <c r="S3" s="24"/>
      <c r="T3" s="24"/>
    </row>
    <row r="4" spans="1:23" ht="15.6">
      <c r="A4" s="1086" t="e">
        <f ca="1">Note_Head</f>
        <v>#NAME?</v>
      </c>
      <c r="B4" s="1264"/>
      <c r="C4" s="21"/>
      <c r="D4" s="21"/>
      <c r="E4" s="21"/>
      <c r="H4" s="145"/>
      <c r="I4" s="145"/>
      <c r="J4" s="145"/>
      <c r="K4" s="145"/>
      <c r="L4" s="145"/>
      <c r="M4" s="145"/>
      <c r="N4" s="145"/>
      <c r="P4" s="271"/>
      <c r="Q4" s="271"/>
      <c r="S4" s="24"/>
      <c r="T4" s="24"/>
    </row>
    <row r="5" spans="1:23" ht="15.6">
      <c r="A5" s="116"/>
      <c r="B5" s="1264"/>
      <c r="C5" s="21"/>
      <c r="D5" s="21"/>
      <c r="E5" s="21"/>
      <c r="H5" s="145"/>
      <c r="I5" s="145"/>
      <c r="J5" s="145"/>
      <c r="K5" s="145"/>
      <c r="L5" s="145"/>
      <c r="M5" s="145"/>
      <c r="N5" s="145"/>
      <c r="P5" s="271"/>
      <c r="Q5" s="271"/>
      <c r="S5" s="24"/>
      <c r="T5" s="24"/>
    </row>
    <row r="6" spans="1:23" ht="15" customHeight="1">
      <c r="A6" s="1149">
        <f>NTA!F26</f>
        <v>9</v>
      </c>
      <c r="B6" s="1149" t="str">
        <f>NTA!C26&amp;" (Non-Current)"</f>
        <v>Investments (Non-Current)</v>
      </c>
      <c r="G6" s="21"/>
      <c r="H6" s="20"/>
      <c r="I6" s="117"/>
      <c r="J6" s="1114" t="str">
        <f>+'Master Sheet'!$C$65</f>
        <v>(Amount in INR)</v>
      </c>
      <c r="K6" s="211"/>
      <c r="L6" s="211"/>
      <c r="M6" s="637"/>
      <c r="N6" s="117"/>
      <c r="P6" s="271"/>
      <c r="Q6" s="271"/>
      <c r="S6" s="24"/>
      <c r="T6" s="24"/>
    </row>
    <row r="7" spans="1:23" ht="16.5" customHeight="1">
      <c r="A7" s="49"/>
      <c r="B7" s="1324" t="s">
        <v>500</v>
      </c>
      <c r="C7" s="1324"/>
      <c r="D7" s="1324"/>
      <c r="E7" s="1324"/>
      <c r="F7" s="1324"/>
      <c r="G7" s="811"/>
      <c r="H7" s="1150" t="e">
        <f ca="1">BS_CY</f>
        <v>#NAME?</v>
      </c>
      <c r="I7" s="812"/>
      <c r="J7" s="1151" t="e">
        <f ca="1">BS_PY</f>
        <v>#NAME?</v>
      </c>
      <c r="K7" s="43"/>
      <c r="L7" s="43"/>
      <c r="M7" s="43"/>
      <c r="N7" s="100"/>
      <c r="P7" s="588"/>
      <c r="Q7" s="29"/>
      <c r="S7" s="24"/>
      <c r="T7" s="24"/>
      <c r="U7" s="588"/>
      <c r="V7" s="209"/>
    </row>
    <row r="8" spans="1:23" ht="15" customHeight="1">
      <c r="A8" s="46"/>
      <c r="B8" s="58" t="s">
        <v>1157</v>
      </c>
      <c r="C8" s="212"/>
      <c r="D8" s="58"/>
      <c r="E8" s="58"/>
      <c r="F8" s="58"/>
      <c r="G8" s="86"/>
      <c r="H8" s="176">
        <f ca="1">IFERROR(INDEX(INDIRECT(VLOOKUP($U8,Source_Master,2,0),),MATCH(TEXT($Q9,0),INDIRECT(VLOOKUP($U8,Source_Master,4,0)),0),MATCH(H$1,INDIRECT(VLOOKUP($U8,Source_Master,3,0),),0)),0)</f>
        <v>0</v>
      </c>
      <c r="I8" s="215"/>
      <c r="J8" s="185">
        <f ca="1">IFERROR(INDEX(INDIRECT(VLOOKUP($U8,Source_Master,2,0),),MATCH(TEXT($Q9,0),INDIRECT(VLOOKUP($U8,Source_Master,4,0)),0),MATCH(J$1,INDIRECT(VLOOKUP($U8,Source_Master,3,0),),0)),0)</f>
        <v>0</v>
      </c>
      <c r="K8" s="1572"/>
      <c r="L8" s="1572"/>
      <c r="M8" s="1572"/>
      <c r="N8" s="1573"/>
      <c r="P8" s="607"/>
      <c r="Q8" s="590" t="s">
        <v>1158</v>
      </c>
      <c r="S8" s="24"/>
      <c r="T8" s="24"/>
      <c r="U8" s="24" t="s">
        <v>50</v>
      </c>
      <c r="V8" s="213"/>
    </row>
    <row r="9" spans="1:23" ht="15.6" hidden="1">
      <c r="A9" s="116"/>
      <c r="B9" s="216" t="s">
        <v>1159</v>
      </c>
      <c r="C9" s="217"/>
      <c r="D9" s="216"/>
      <c r="E9" s="216"/>
      <c r="F9" s="177"/>
      <c r="G9" s="592"/>
      <c r="H9" s="178">
        <f ca="1">SUM(H8)</f>
        <v>0</v>
      </c>
      <c r="I9" s="593"/>
      <c r="J9" s="175">
        <f ca="1">SUM(J8)</f>
        <v>0</v>
      </c>
      <c r="K9" s="145"/>
      <c r="L9" s="145"/>
      <c r="M9" s="145"/>
      <c r="N9" s="145"/>
      <c r="O9" s="1152" t="str">
        <f ca="1">IF(AND(H9=0,J9=0),"##H","")</f>
        <v>##H</v>
      </c>
      <c r="P9" s="271"/>
      <c r="Q9" s="271" t="s">
        <v>508</v>
      </c>
      <c r="S9" s="24"/>
      <c r="T9" s="24"/>
      <c r="U9" s="24" t="s">
        <v>50</v>
      </c>
    </row>
    <row r="10" spans="1:23" ht="15.6">
      <c r="A10" s="116"/>
      <c r="B10" s="21"/>
      <c r="C10" s="1243"/>
      <c r="D10" s="21"/>
      <c r="E10" s="21"/>
      <c r="G10" s="1574"/>
      <c r="H10" s="1568"/>
      <c r="I10" s="145"/>
      <c r="J10" s="1568"/>
      <c r="K10" s="145"/>
      <c r="L10" s="145"/>
      <c r="M10" s="145"/>
      <c r="N10" s="145"/>
      <c r="P10" s="271"/>
      <c r="Q10" s="271"/>
      <c r="S10" s="24"/>
      <c r="T10" s="24"/>
    </row>
    <row r="11" spans="1:23" ht="15" customHeight="1">
      <c r="A11" s="1149">
        <f>NTA!F28</f>
        <v>10</v>
      </c>
      <c r="B11" s="1149" t="str">
        <f>NTA!C28&amp;" (Non-Current)"</f>
        <v>Loans (Non-Current)</v>
      </c>
      <c r="G11" s="21"/>
      <c r="H11" s="20"/>
      <c r="I11" s="117"/>
      <c r="J11" s="1114" t="str">
        <f>+'Master Sheet'!$C$65</f>
        <v>(Amount in INR)</v>
      </c>
      <c r="K11" s="211"/>
      <c r="L11" s="211"/>
      <c r="M11" s="220" t="s">
        <v>1160</v>
      </c>
      <c r="N11" s="117"/>
      <c r="P11" s="271"/>
      <c r="Q11" s="271"/>
      <c r="S11" s="24"/>
      <c r="T11" s="24"/>
      <c r="U11" s="24"/>
    </row>
    <row r="12" spans="1:23" ht="15" customHeight="1">
      <c r="A12" s="49"/>
      <c r="B12" s="1324" t="s">
        <v>500</v>
      </c>
      <c r="C12" s="1324"/>
      <c r="D12" s="1324"/>
      <c r="E12" s="1324"/>
      <c r="F12" s="1324"/>
      <c r="G12" s="811"/>
      <c r="H12" s="1150" t="e">
        <f ca="1">BS_CY</f>
        <v>#NAME?</v>
      </c>
      <c r="I12" s="812"/>
      <c r="J12" s="1151" t="e">
        <f ca="1">BS_PY</f>
        <v>#NAME?</v>
      </c>
      <c r="K12" s="43"/>
      <c r="L12" s="43"/>
      <c r="M12" s="43"/>
      <c r="N12" s="100"/>
      <c r="P12" s="588"/>
      <c r="Q12" s="29"/>
      <c r="S12" s="24"/>
      <c r="T12" s="24"/>
      <c r="U12" s="24"/>
      <c r="V12" s="209"/>
    </row>
    <row r="13" spans="1:23" ht="15" hidden="1" customHeight="1">
      <c r="A13" s="46"/>
      <c r="B13" s="814" t="s">
        <v>1161</v>
      </c>
      <c r="C13" s="58"/>
      <c r="D13" s="58"/>
      <c r="E13" s="58"/>
      <c r="F13" s="58"/>
      <c r="G13" s="86"/>
      <c r="H13" s="214"/>
      <c r="I13" s="79"/>
      <c r="J13" s="215"/>
      <c r="K13" s="1572"/>
      <c r="L13" s="1572"/>
      <c r="M13" s="1572"/>
      <c r="N13" s="1573"/>
      <c r="O13" s="1152" t="str">
        <f>IF(AND(H13=0,J13=0),"##H","")</f>
        <v>##H</v>
      </c>
      <c r="P13" s="607"/>
      <c r="Q13" s="594"/>
      <c r="S13" s="24"/>
      <c r="T13" s="24"/>
      <c r="U13" s="24"/>
      <c r="V13" s="213"/>
    </row>
    <row r="14" spans="1:23" ht="15" customHeight="1">
      <c r="A14" s="46"/>
      <c r="B14" s="814"/>
      <c r="C14" s="68" t="s">
        <v>1162</v>
      </c>
      <c r="D14" s="58"/>
      <c r="E14" s="58"/>
      <c r="F14" s="58"/>
      <c r="G14" s="214"/>
      <c r="H14" s="176">
        <f ca="1">IFERROR(INDEX(INDIRECT(VLOOKUP($U14,Source_Master,2,0),),MATCH(TEXT($Q14,0),INDIRECT(VLOOKUP($U14,Source_Master,4,0)),0),MATCH(H$1,INDIRECT(VLOOKUP($U14,Source_Master,3,0),),0)),0)</f>
        <v>0</v>
      </c>
      <c r="I14" s="215"/>
      <c r="J14" s="185">
        <f ca="1">IFERROR(INDEX(INDIRECT(VLOOKUP($U14,Source_Master,2,0),),MATCH(TEXT($Q14,0),INDIRECT(VLOOKUP($U14,Source_Master,4,0)),0),MATCH(J$1,INDIRECT(VLOOKUP($U14,Source_Master,3,0),),0)),0)</f>
        <v>0</v>
      </c>
      <c r="K14" s="1572"/>
      <c r="L14" s="1572"/>
      <c r="M14" s="1572"/>
      <c r="N14" s="1573"/>
      <c r="O14" s="1152" t="str">
        <f t="shared" ref="O14:O17" ca="1" si="0">IF(AND(H14=0,J14=0),"##H","")</f>
        <v>##H</v>
      </c>
      <c r="P14" s="607"/>
      <c r="Q14" s="590" t="s">
        <v>1163</v>
      </c>
      <c r="S14" s="24"/>
      <c r="T14" s="24"/>
      <c r="U14" s="24" t="s">
        <v>50</v>
      </c>
      <c r="V14" s="213"/>
    </row>
    <row r="15" spans="1:23" ht="15" hidden="1" customHeight="1">
      <c r="A15" s="46"/>
      <c r="B15" s="814"/>
      <c r="C15" s="68" t="s">
        <v>1164</v>
      </c>
      <c r="D15" s="58"/>
      <c r="E15" s="58"/>
      <c r="F15" s="58"/>
      <c r="G15" s="214"/>
      <c r="H15" s="176">
        <f ca="1">IFERROR(INDEX(INDIRECT(VLOOKUP($U15,Source_Master,2,0),),MATCH(TEXT($Q15,0),INDIRECT(VLOOKUP($U15,Source_Master,4,0)),0),MATCH(H$1,INDIRECT(VLOOKUP($U15,Source_Master,3,0),),0)),0)</f>
        <v>0</v>
      </c>
      <c r="I15" s="215"/>
      <c r="J15" s="185">
        <f ca="1">IFERROR(INDEX(INDIRECT(VLOOKUP($U15,Source_Master,2,0),),MATCH(TEXT($Q15,0),INDIRECT(VLOOKUP($U15,Source_Master,4,0)),0),MATCH(J$1,INDIRECT(VLOOKUP($U15,Source_Master,3,0),),0)),0)</f>
        <v>0</v>
      </c>
      <c r="K15" s="1572"/>
      <c r="L15" s="1572"/>
      <c r="M15" s="1572"/>
      <c r="N15" s="1573"/>
      <c r="O15" s="1152" t="str">
        <f t="shared" ca="1" si="0"/>
        <v>##H</v>
      </c>
      <c r="P15" s="607"/>
      <c r="Q15" s="594"/>
      <c r="S15" s="24"/>
      <c r="T15" s="24"/>
      <c r="U15" s="24"/>
      <c r="V15" s="213"/>
    </row>
    <row r="16" spans="1:23" ht="15" customHeight="1">
      <c r="A16" s="46"/>
      <c r="B16" s="223" t="s">
        <v>1165</v>
      </c>
      <c r="C16" s="58"/>
      <c r="D16" s="58"/>
      <c r="E16" s="58"/>
      <c r="F16" s="58"/>
      <c r="G16" s="214"/>
      <c r="H16" s="176">
        <f ca="1">IFERROR(INDEX(INDIRECT(VLOOKUP($U16,Source_Master,2,0),),MATCH(TEXT($Q16,0),INDIRECT(VLOOKUP($U16,Source_Master,4,0)),0),MATCH(H$1,INDIRECT(VLOOKUP($U16,Source_Master,3,0),),0)),0)</f>
        <v>0</v>
      </c>
      <c r="I16" s="215"/>
      <c r="J16" s="185">
        <f ca="1">IFERROR(INDEX(INDIRECT(VLOOKUP($U16,Source_Master,2,0),),MATCH(TEXT($Q16,0),INDIRECT(VLOOKUP($U16,Source_Master,4,0)),0),MATCH(J$1,INDIRECT(VLOOKUP($U16,Source_Master,3,0),),0)),0)</f>
        <v>0</v>
      </c>
      <c r="K16" s="1575"/>
      <c r="L16" s="1575"/>
      <c r="M16" s="1575"/>
      <c r="N16" s="1574"/>
      <c r="O16" s="1152" t="str">
        <f t="shared" ca="1" si="0"/>
        <v>##H</v>
      </c>
      <c r="P16" s="607"/>
      <c r="Q16" s="271" t="s">
        <v>1166</v>
      </c>
      <c r="S16" s="24"/>
      <c r="T16" s="24"/>
      <c r="U16" s="24" t="s">
        <v>50</v>
      </c>
      <c r="V16" s="213"/>
    </row>
    <row r="17" spans="1:22" ht="15" customHeight="1">
      <c r="A17" s="46"/>
      <c r="B17" s="1250" t="s">
        <v>246</v>
      </c>
      <c r="C17" s="224"/>
      <c r="D17" s="224"/>
      <c r="E17" s="224"/>
      <c r="F17" s="224"/>
      <c r="G17" s="362"/>
      <c r="H17" s="604">
        <f ca="1">SUM(H14:H16)</f>
        <v>0</v>
      </c>
      <c r="I17" s="715"/>
      <c r="J17" s="70">
        <f ca="1">SUM(J14:J16)</f>
        <v>0</v>
      </c>
      <c r="K17" s="1576"/>
      <c r="L17" s="1576"/>
      <c r="M17" s="1576"/>
      <c r="N17" s="1573"/>
      <c r="O17" s="1152" t="str">
        <f t="shared" ca="1" si="0"/>
        <v>##H</v>
      </c>
      <c r="P17" s="607"/>
      <c r="Q17" s="271" t="s">
        <v>509</v>
      </c>
      <c r="S17" s="24"/>
      <c r="T17" s="24"/>
      <c r="U17" s="24" t="s">
        <v>50</v>
      </c>
      <c r="V17" s="213"/>
    </row>
    <row r="18" spans="1:22" ht="15" customHeight="1">
      <c r="A18" s="46"/>
      <c r="B18" s="210" t="s">
        <v>1167</v>
      </c>
      <c r="C18" s="32"/>
      <c r="D18" s="32"/>
      <c r="E18" s="32"/>
      <c r="F18" s="1577"/>
      <c r="G18" s="1577"/>
      <c r="H18" s="1577"/>
      <c r="I18" s="1577"/>
      <c r="J18" s="1577"/>
      <c r="K18" s="1577"/>
      <c r="L18" s="1577"/>
      <c r="M18" s="213"/>
      <c r="S18" s="607"/>
      <c r="T18" s="607"/>
    </row>
    <row r="19" spans="1:22" ht="15" customHeight="1">
      <c r="B19" s="210"/>
      <c r="C19" s="21"/>
      <c r="F19" s="1568"/>
      <c r="G19" s="21"/>
      <c r="H19" s="20"/>
      <c r="I19" s="117"/>
      <c r="J19" s="1114" t="str">
        <f>+'Master Sheet'!$C$65</f>
        <v>(Amount in INR)</v>
      </c>
      <c r="K19" s="1574"/>
      <c r="L19" s="1574"/>
      <c r="M19" s="213"/>
      <c r="S19" s="607"/>
      <c r="T19" s="607"/>
    </row>
    <row r="20" spans="1:22" ht="15" customHeight="1">
      <c r="A20" s="46"/>
      <c r="B20" s="1321" t="s">
        <v>500</v>
      </c>
      <c r="C20" s="1321"/>
      <c r="D20" s="1321"/>
      <c r="E20" s="1321"/>
      <c r="F20" s="1321"/>
      <c r="G20" s="811"/>
      <c r="H20" s="1150" t="e">
        <f ca="1">BS_CY</f>
        <v>#NAME?</v>
      </c>
      <c r="I20" s="812"/>
      <c r="J20" s="1151" t="e">
        <f ca="1">BS_PY</f>
        <v>#NAME?</v>
      </c>
      <c r="K20" s="100"/>
      <c r="L20" s="100"/>
      <c r="M20" s="637" t="s">
        <v>1168</v>
      </c>
      <c r="S20" s="607"/>
      <c r="T20" s="607"/>
    </row>
    <row r="21" spans="1:22" ht="15" customHeight="1">
      <c r="A21" s="46"/>
      <c r="B21" s="81" t="s">
        <v>1169</v>
      </c>
      <c r="C21" s="81"/>
      <c r="D21" s="58"/>
      <c r="E21" s="58"/>
      <c r="F21" s="58"/>
      <c r="G21" s="89"/>
      <c r="H21" s="89"/>
      <c r="I21" s="815"/>
      <c r="J21" s="815"/>
      <c r="K21" s="1573"/>
      <c r="L21" s="1573"/>
      <c r="M21" s="1573"/>
      <c r="N21" s="213"/>
      <c r="P21" s="271"/>
      <c r="S21" s="24"/>
      <c r="T21" s="607"/>
      <c r="U21" s="607"/>
    </row>
    <row r="22" spans="1:22" ht="15" customHeight="1">
      <c r="A22" s="46"/>
      <c r="B22" s="414" t="s">
        <v>1170</v>
      </c>
      <c r="C22" s="414"/>
      <c r="D22" s="550"/>
      <c r="E22" s="550"/>
      <c r="F22" s="550"/>
      <c r="G22" s="227"/>
      <c r="H22" s="847">
        <f ca="1">H14</f>
        <v>0</v>
      </c>
      <c r="I22" s="228"/>
      <c r="J22" s="848">
        <f ca="1">J14</f>
        <v>0</v>
      </c>
      <c r="K22" s="1573"/>
      <c r="L22" s="1573"/>
      <c r="M22" s="1573"/>
      <c r="N22" s="213"/>
      <c r="O22" s="1152" t="str">
        <f t="shared" ref="O22" ca="1" si="1">IF(AND(H22=0,J22=0),"##H","")</f>
        <v>##H</v>
      </c>
      <c r="P22" s="271"/>
      <c r="S22" s="24"/>
      <c r="T22" s="607"/>
      <c r="U22" s="607"/>
    </row>
    <row r="23" spans="1:22" ht="15" customHeight="1">
      <c r="A23" s="46"/>
      <c r="B23" s="1245"/>
      <c r="G23" s="816"/>
      <c r="H23" s="816"/>
      <c r="I23" s="816"/>
      <c r="J23" s="816"/>
      <c r="K23" s="1573"/>
      <c r="L23" s="1573"/>
      <c r="M23" s="1573"/>
      <c r="N23" s="213"/>
      <c r="P23" s="271"/>
      <c r="S23" s="24"/>
      <c r="T23" s="607"/>
      <c r="U23" s="607"/>
    </row>
    <row r="24" spans="1:22" ht="15" customHeight="1">
      <c r="A24" s="1149">
        <f>NTA!F29</f>
        <v>11</v>
      </c>
      <c r="B24" s="1149" t="str">
        <f>NTA!C29&amp;" (Non-Current)"</f>
        <v>Other Financial Assets (Non-Current)</v>
      </c>
      <c r="F24" s="21"/>
      <c r="G24" s="21"/>
      <c r="H24" s="20"/>
      <c r="I24" s="117"/>
      <c r="J24" s="1114" t="str">
        <f>+'Master Sheet'!$C$65</f>
        <v>(Amount in INR)</v>
      </c>
      <c r="K24" s="117"/>
      <c r="L24" s="117"/>
    </row>
    <row r="25" spans="1:22" ht="15" customHeight="1">
      <c r="A25" s="49"/>
      <c r="B25" s="1323" t="s">
        <v>500</v>
      </c>
      <c r="C25" s="1323"/>
      <c r="D25" s="1323"/>
      <c r="E25" s="1323"/>
      <c r="F25" s="1323"/>
      <c r="G25" s="811"/>
      <c r="H25" s="1150" t="e">
        <f ca="1">BS_CY</f>
        <v>#NAME?</v>
      </c>
      <c r="I25" s="812"/>
      <c r="J25" s="1151" t="e">
        <f ca="1">BS_PY</f>
        <v>#NAME?</v>
      </c>
      <c r="K25" s="100"/>
      <c r="L25" s="100"/>
      <c r="M25" s="100"/>
      <c r="N25" s="20"/>
      <c r="P25" s="271"/>
      <c r="S25" s="24"/>
      <c r="T25" s="588"/>
      <c r="U25" s="588"/>
    </row>
    <row r="26" spans="1:22" ht="15" customHeight="1">
      <c r="A26" s="46"/>
      <c r="B26" s="68" t="s">
        <v>1171</v>
      </c>
      <c r="C26" s="58"/>
      <c r="D26" s="58"/>
      <c r="E26" s="58"/>
      <c r="F26" s="58"/>
      <c r="G26" s="137"/>
      <c r="H26" s="137"/>
      <c r="I26" s="119"/>
      <c r="J26" s="119"/>
      <c r="K26" s="100"/>
      <c r="L26" s="100"/>
      <c r="M26" s="100"/>
      <c r="N26" s="100"/>
      <c r="O26" s="590"/>
      <c r="P26" s="607"/>
      <c r="Q26" s="271"/>
      <c r="S26" s="24"/>
      <c r="T26" s="24"/>
      <c r="U26" s="607"/>
      <c r="V26" s="213"/>
    </row>
    <row r="27" spans="1:22" ht="15" customHeight="1">
      <c r="A27" s="46" t="s">
        <v>1172</v>
      </c>
      <c r="B27" s="80" t="s">
        <v>1173</v>
      </c>
      <c r="C27" s="80"/>
      <c r="D27" s="80"/>
      <c r="E27" s="80"/>
      <c r="F27" s="80"/>
      <c r="G27" s="86"/>
      <c r="H27" s="129">
        <f ca="1">IFERROR(INDEX(INDIRECT(VLOOKUP($U27,Source_Master,2,0),),MATCH(TEXT($Q27,0),INDIRECT(VLOOKUP($U27,Source_Master,4,0)),0),MATCH(H$1,INDIRECT(VLOOKUP($U27,Source_Master,3,0),),0)),0)</f>
        <v>0</v>
      </c>
      <c r="I27" s="79"/>
      <c r="J27" s="62">
        <f ca="1">IFERROR(INDEX(INDIRECT(VLOOKUP($U27,Source_Master,2,0),),MATCH(TEXT($Q27,0),INDIRECT(VLOOKUP($U27,Source_Master,4,0)),0),MATCH(J$1,INDIRECT(VLOOKUP($U27,Source_Master,3,0),),0)),0)</f>
        <v>0</v>
      </c>
      <c r="K27" s="1574"/>
      <c r="L27" s="1574"/>
      <c r="M27" s="1574"/>
      <c r="N27" s="1574"/>
      <c r="O27" s="1152" t="str">
        <f t="shared" ref="O27" ca="1" si="2">IF(AND(H27=0,J27=0),"##H","")</f>
        <v>##H</v>
      </c>
      <c r="P27" s="607"/>
      <c r="Q27" s="271" t="s">
        <v>1174</v>
      </c>
      <c r="S27" s="24"/>
      <c r="T27" s="24"/>
      <c r="U27" s="24" t="s">
        <v>50</v>
      </c>
      <c r="V27" s="213"/>
    </row>
    <row r="28" spans="1:22" ht="15" customHeight="1">
      <c r="A28" s="46"/>
      <c r="B28" s="80" t="s">
        <v>1175</v>
      </c>
      <c r="C28" s="80"/>
      <c r="D28" s="80"/>
      <c r="E28" s="80"/>
      <c r="F28" s="80"/>
      <c r="G28" s="214"/>
      <c r="H28" s="214"/>
      <c r="I28" s="215"/>
      <c r="J28" s="185">
        <f ca="1">IFERROR(INDEX(INDIRECT(VLOOKUP($U28,Source_Master,2,0),),MATCH(TEXT($Q28,0),INDIRECT(VLOOKUP($U28,Source_Master,4,0)),0),MATCH(J$1,INDIRECT(VLOOKUP($U28,Source_Master,3,0),),0)),0)</f>
        <v>0</v>
      </c>
      <c r="K28" s="1574"/>
      <c r="L28" s="1574"/>
      <c r="M28" s="1574"/>
      <c r="N28" s="1574"/>
      <c r="O28" s="590"/>
      <c r="P28" s="607"/>
      <c r="Q28" s="271"/>
      <c r="S28" s="24"/>
      <c r="T28" s="24"/>
      <c r="U28" s="24"/>
      <c r="V28" s="213"/>
    </row>
    <row r="29" spans="1:22" ht="15" customHeight="1">
      <c r="A29" s="46"/>
      <c r="B29" s="223" t="s">
        <v>1176</v>
      </c>
      <c r="C29" s="80"/>
      <c r="D29" s="80"/>
      <c r="E29" s="80"/>
      <c r="F29" s="80"/>
      <c r="G29" s="214"/>
      <c r="H29" s="176">
        <f ca="1">IFERROR(INDEX(INDIRECT(VLOOKUP($U29,Source_Master,2,0),),MATCH(TEXT($Q29,0),INDIRECT(VLOOKUP($U29,Source_Master,4,0)),0),MATCH(H$1,INDIRECT(VLOOKUP($U29,Source_Master,3,0),),0)),0)</f>
        <v>0</v>
      </c>
      <c r="I29" s="215"/>
      <c r="J29" s="62">
        <f ca="1">IFERROR(INDEX(INDIRECT(VLOOKUP($U29,Source_Master,2,0),),MATCH(TEXT($Q29,0),INDIRECT(VLOOKUP($U29,Source_Master,4,0)),0),MATCH(J$1,INDIRECT(VLOOKUP($U29,Source_Master,3,0),),0)),0)</f>
        <v>0</v>
      </c>
      <c r="K29" s="1574"/>
      <c r="L29" s="1574"/>
      <c r="M29" s="1574"/>
      <c r="N29" s="1574"/>
      <c r="O29" s="1152" t="str">
        <f t="shared" ref="O29:O31" ca="1" si="3">IF(AND(H29=0,J29=0),"##H","")</f>
        <v>##H</v>
      </c>
      <c r="P29" s="607"/>
      <c r="Q29" s="271" t="s">
        <v>1177</v>
      </c>
      <c r="S29" s="24"/>
      <c r="T29" s="24"/>
      <c r="U29" s="24" t="s">
        <v>50</v>
      </c>
      <c r="V29" s="213"/>
    </row>
    <row r="30" spans="1:22" ht="15" customHeight="1">
      <c r="A30" s="46"/>
      <c r="B30" s="223" t="s">
        <v>1178</v>
      </c>
      <c r="C30" s="58"/>
      <c r="D30" s="58"/>
      <c r="E30" s="58"/>
      <c r="F30" s="58"/>
      <c r="G30" s="218"/>
      <c r="H30" s="230">
        <f ca="1">IFERROR(INDEX(INDIRECT(VLOOKUP($U30,Source_Master,2,0),),MATCH(TEXT($Q30,0),INDIRECT(VLOOKUP($U30,Source_Master,4,0)),0),MATCH(H$1,INDIRECT(VLOOKUP($U30,Source_Master,3,0),),0)),0)</f>
        <v>0</v>
      </c>
      <c r="I30" s="270"/>
      <c r="J30" s="231">
        <f ca="1">IFERROR(INDEX(INDIRECT(VLOOKUP($U30,Source_Master,2,0),),MATCH(TEXT($Q30,0),INDIRECT(VLOOKUP($U30,Source_Master,4,0)),0),MATCH(J$1,INDIRECT(VLOOKUP($U30,Source_Master,3,0),),0)),0)</f>
        <v>0</v>
      </c>
      <c r="K30" s="1574"/>
      <c r="L30" s="1574"/>
      <c r="M30" s="1574"/>
      <c r="N30" s="1574"/>
      <c r="O30" s="1152" t="str">
        <f t="shared" ca="1" si="3"/>
        <v>##H</v>
      </c>
      <c r="P30" s="607"/>
      <c r="Q30" s="271" t="s">
        <v>1179</v>
      </c>
      <c r="S30" s="24"/>
      <c r="T30" s="24"/>
      <c r="U30" s="24" t="s">
        <v>50</v>
      </c>
      <c r="V30" s="213"/>
    </row>
    <row r="31" spans="1:22" ht="15" customHeight="1">
      <c r="A31" s="46"/>
      <c r="B31" s="232" t="s">
        <v>246</v>
      </c>
      <c r="C31" s="199"/>
      <c r="D31" s="199"/>
      <c r="E31" s="199"/>
      <c r="F31" s="199"/>
      <c r="G31" s="813"/>
      <c r="H31" s="69">
        <f ca="1">SUM(H27:H30)</f>
        <v>0</v>
      </c>
      <c r="I31" s="817"/>
      <c r="J31" s="350">
        <f ca="1">SUM(J27:J30)</f>
        <v>0</v>
      </c>
      <c r="K31" s="100"/>
      <c r="L31" s="100"/>
      <c r="M31" s="100"/>
      <c r="N31" s="100"/>
      <c r="O31" s="1152" t="str">
        <f t="shared" ca="1" si="3"/>
        <v>##H</v>
      </c>
      <c r="P31" s="607"/>
      <c r="Q31" s="271" t="s">
        <v>510</v>
      </c>
      <c r="S31" s="24"/>
      <c r="T31" s="24"/>
      <c r="U31" s="24" t="s">
        <v>50</v>
      </c>
      <c r="V31" s="213"/>
    </row>
    <row r="32" spans="1:22" ht="15.6">
      <c r="A32" s="116"/>
      <c r="B32" s="1264"/>
      <c r="C32" s="233"/>
      <c r="D32" s="233"/>
      <c r="E32" s="233"/>
      <c r="F32" s="233"/>
      <c r="H32" s="145"/>
      <c r="I32" s="145"/>
      <c r="J32" s="145"/>
      <c r="K32" s="145"/>
      <c r="L32" s="145"/>
      <c r="N32" s="20"/>
      <c r="P32" s="271"/>
      <c r="Q32" s="271"/>
      <c r="S32" s="24"/>
      <c r="T32" s="24"/>
    </row>
    <row r="33" spans="1:21">
      <c r="A33" s="1149">
        <f>NTA!F30</f>
        <v>12</v>
      </c>
      <c r="B33" s="1149" t="str">
        <f>NTA!C30</f>
        <v>Non Current Tax Assets (Net)</v>
      </c>
      <c r="C33" s="234"/>
      <c r="D33" s="234"/>
      <c r="E33" s="234"/>
      <c r="F33" s="234"/>
      <c r="G33" s="21"/>
      <c r="H33" s="21"/>
      <c r="J33" s="1114" t="str">
        <f>+'Master Sheet'!$C$65</f>
        <v>(Amount in INR)</v>
      </c>
      <c r="K33" s="145"/>
      <c r="L33" s="145"/>
      <c r="N33" s="20"/>
      <c r="P33" s="271"/>
      <c r="Q33" s="271"/>
      <c r="S33" s="24"/>
      <c r="T33" s="24"/>
    </row>
    <row r="34" spans="1:21" ht="13.9">
      <c r="A34" s="235"/>
      <c r="B34" s="1323" t="s">
        <v>500</v>
      </c>
      <c r="C34" s="1323"/>
      <c r="D34" s="1323"/>
      <c r="E34" s="1323"/>
      <c r="F34" s="1323"/>
      <c r="G34" s="811"/>
      <c r="H34" s="811" t="s">
        <v>1180</v>
      </c>
      <c r="I34" s="812"/>
      <c r="J34" s="813" t="s">
        <v>1181</v>
      </c>
      <c r="K34" s="145"/>
      <c r="L34" s="145"/>
      <c r="N34" s="20"/>
      <c r="P34" s="271"/>
      <c r="Q34" s="271"/>
      <c r="S34" s="24"/>
      <c r="T34" s="24"/>
    </row>
    <row r="35" spans="1:21">
      <c r="A35" s="29"/>
      <c r="B35" s="818" t="s">
        <v>1182</v>
      </c>
      <c r="C35" s="236"/>
      <c r="D35" s="236"/>
      <c r="E35" s="236"/>
      <c r="F35" s="236"/>
      <c r="G35" s="237"/>
      <c r="H35" s="129">
        <f ca="1">IFERROR(INDEX(INDIRECT(VLOOKUP($U35,Source_Master,2,0),),MATCH(TEXT($Q35,0),INDIRECT(VLOOKUP($U35,Source_Master,4,0)),0),MATCH(H$1,INDIRECT(VLOOKUP($U35,Source_Master,3,0),),0)),0)</f>
        <v>0</v>
      </c>
      <c r="I35" s="121"/>
      <c r="J35" s="62">
        <f ca="1">IFERROR(INDEX(INDIRECT(VLOOKUP($U35,Source_Master,2,0),),MATCH(TEXT($Q35,0),INDIRECT(VLOOKUP($U35,Source_Master,4,0)),0),MATCH(J$1,INDIRECT(VLOOKUP($U35,Source_Master,3,0),),0)),0)</f>
        <v>0</v>
      </c>
      <c r="K35" s="145"/>
      <c r="L35" s="145"/>
      <c r="N35" s="20"/>
      <c r="O35" s="1152" t="str">
        <f t="shared" ref="O35:O40" ca="1" si="4">IF(AND(H35=0,J35=0),"##H","")</f>
        <v>##H</v>
      </c>
      <c r="P35" s="271"/>
      <c r="Q35" s="271" t="s">
        <v>1183</v>
      </c>
      <c r="S35" s="24"/>
      <c r="T35" s="24"/>
      <c r="U35" s="271" t="s">
        <v>50</v>
      </c>
    </row>
    <row r="36" spans="1:21">
      <c r="A36" s="29"/>
      <c r="B36" s="818" t="s">
        <v>1184</v>
      </c>
      <c r="C36" s="236"/>
      <c r="D36" s="236"/>
      <c r="E36" s="236"/>
      <c r="F36" s="236"/>
      <c r="G36" s="237"/>
      <c r="H36" s="129">
        <f ca="1">IFERROR(INDEX(INDIRECT(VLOOKUP($U36,Source_Master,2,0),),MATCH(TEXT($Q36,0),INDIRECT(VLOOKUP($U36,Source_Master,4,0)),0),MATCH(H$1,INDIRECT(VLOOKUP($U36,Source_Master,3,0),),0)),0)</f>
        <v>0</v>
      </c>
      <c r="I36" s="121"/>
      <c r="J36" s="62">
        <f ca="1">IFERROR(INDEX(INDIRECT(VLOOKUP($U36,Source_Master,2,0),),MATCH(TEXT($Q36,0),INDIRECT(VLOOKUP($U36,Source_Master,4,0)),0),MATCH(J$1,INDIRECT(VLOOKUP($U36,Source_Master,3,0),),0)),0)</f>
        <v>0</v>
      </c>
      <c r="K36" s="145"/>
      <c r="L36" s="145"/>
      <c r="N36" s="20"/>
      <c r="O36" s="1152" t="str">
        <f t="shared" ca="1" si="4"/>
        <v>##H</v>
      </c>
      <c r="P36" s="271"/>
      <c r="Q36" s="271" t="s">
        <v>1185</v>
      </c>
      <c r="S36" s="24"/>
      <c r="T36" s="24"/>
      <c r="U36" s="271" t="s">
        <v>50</v>
      </c>
    </row>
    <row r="37" spans="1:21">
      <c r="B37" s="68" t="s">
        <v>1186</v>
      </c>
      <c r="C37" s="81"/>
      <c r="D37" s="81"/>
      <c r="E37" s="81"/>
      <c r="F37" s="81"/>
      <c r="G37" s="137"/>
      <c r="H37" s="129">
        <f ca="1">IFERROR(INDEX(INDIRECT(VLOOKUP($U37,Source_Master,2,0),),MATCH(TEXT($Q37,0),INDIRECT(VLOOKUP($U37,Source_Master,4,0)),0),MATCH(H$1,INDIRECT(VLOOKUP($U37,Source_Master,3,0),),0)),0)</f>
        <v>0</v>
      </c>
      <c r="I37" s="119"/>
      <c r="J37" s="62">
        <f ca="1">IFERROR(INDEX(INDIRECT(VLOOKUP($U37,Source_Master,2,0),),MATCH(TEXT($Q37,0),INDIRECT(VLOOKUP($U37,Source_Master,4,0)),0),MATCH(J$1,INDIRECT(VLOOKUP($U37,Source_Master,3,0),),0)),0)</f>
        <v>0</v>
      </c>
      <c r="K37" s="145"/>
      <c r="L37" s="145"/>
      <c r="N37" s="20"/>
      <c r="O37" s="1152" t="str">
        <f t="shared" ca="1" si="4"/>
        <v>##H</v>
      </c>
      <c r="P37" s="271"/>
      <c r="Q37" s="271" t="s">
        <v>1187</v>
      </c>
      <c r="S37" s="24"/>
      <c r="T37" s="24"/>
      <c r="U37" s="271" t="s">
        <v>50</v>
      </c>
    </row>
    <row r="38" spans="1:21">
      <c r="B38" s="68" t="s">
        <v>1188</v>
      </c>
      <c r="C38" s="58"/>
      <c r="D38" s="58"/>
      <c r="E38" s="58"/>
      <c r="F38" s="58"/>
      <c r="G38" s="137"/>
      <c r="H38" s="129">
        <f ca="1">IFERROR(INDEX(INDIRECT(VLOOKUP($U38,Source_Master,2,0),),MATCH(TEXT($Q38,0),INDIRECT(VLOOKUP($U38,Source_Master,4,0)),0),MATCH(H$1,INDIRECT(VLOOKUP($U38,Source_Master,3,0),),0)),0)</f>
        <v>0</v>
      </c>
      <c r="I38" s="119"/>
      <c r="J38" s="62">
        <f ca="1">IFERROR(INDEX(INDIRECT(VLOOKUP($U38,Source_Master,2,0),),MATCH(TEXT($Q38,0),INDIRECT(VLOOKUP($U38,Source_Master,4,0)),0),MATCH(J$1,INDIRECT(VLOOKUP($U38,Source_Master,3,0),),0)),0)</f>
        <v>0</v>
      </c>
      <c r="K38" s="145"/>
      <c r="L38" s="145"/>
      <c r="N38" s="20"/>
      <c r="O38" s="1152" t="str">
        <f t="shared" ca="1" si="4"/>
        <v>##H</v>
      </c>
      <c r="P38" s="271"/>
      <c r="Q38" s="271" t="s">
        <v>1189</v>
      </c>
      <c r="S38" s="24"/>
      <c r="T38" s="24"/>
      <c r="U38" s="271" t="s">
        <v>50</v>
      </c>
    </row>
    <row r="39" spans="1:21" hidden="1">
      <c r="B39" s="223" t="s">
        <v>1190</v>
      </c>
      <c r="C39" s="58"/>
      <c r="D39" s="58"/>
      <c r="E39" s="58"/>
      <c r="F39" s="58"/>
      <c r="G39" s="819"/>
      <c r="H39" s="129">
        <f ca="1">IFERROR(INDEX(INDIRECT(VLOOKUP($U39,Source_Master,2,0),),MATCH(TEXT($Q39,0),INDIRECT(VLOOKUP($U39,Source_Master,4,0)),0),MATCH(H$1,INDIRECT(VLOOKUP($U39,Source_Master,3,0),),0)),0)</f>
        <v>0</v>
      </c>
      <c r="I39" s="820"/>
      <c r="J39" s="62">
        <f ca="1">IFERROR(INDEX(INDIRECT(VLOOKUP($U39,Source_Master,2,0),),MATCH(TEXT($Q39,0),INDIRECT(VLOOKUP($U39,Source_Master,4,0)),0),MATCH(J$1,INDIRECT(VLOOKUP($U39,Source_Master,3,0),),0)),0)</f>
        <v>0</v>
      </c>
      <c r="K39" s="145"/>
      <c r="L39" s="145"/>
      <c r="N39" s="20"/>
      <c r="O39" s="1152" t="str">
        <f t="shared" ca="1" si="4"/>
        <v>##H</v>
      </c>
      <c r="P39" s="271"/>
      <c r="Q39" s="271" t="s">
        <v>1191</v>
      </c>
      <c r="S39" s="24"/>
      <c r="T39" s="24"/>
      <c r="U39" s="271" t="s">
        <v>50</v>
      </c>
    </row>
    <row r="40" spans="1:21">
      <c r="B40" s="232" t="s">
        <v>246</v>
      </c>
      <c r="C40" s="179"/>
      <c r="D40" s="179"/>
      <c r="E40" s="179"/>
      <c r="F40" s="179"/>
      <c r="G40" s="813"/>
      <c r="H40" s="69">
        <f ca="1">SUM(H35:H39)</f>
        <v>0</v>
      </c>
      <c r="I40" s="817"/>
      <c r="J40" s="350">
        <f ca="1">SUM(J35:J39)</f>
        <v>0</v>
      </c>
      <c r="K40" s="145"/>
      <c r="L40" s="145"/>
      <c r="N40" s="20"/>
      <c r="O40" s="1152" t="str">
        <f t="shared" ca="1" si="4"/>
        <v>##H</v>
      </c>
      <c r="P40" s="271"/>
      <c r="Q40" s="271" t="s">
        <v>511</v>
      </c>
      <c r="S40" s="24"/>
      <c r="T40" s="24"/>
      <c r="U40" s="271" t="s">
        <v>50</v>
      </c>
    </row>
    <row r="41" spans="1:21">
      <c r="B41" s="210"/>
      <c r="G41" s="32"/>
      <c r="H41" s="32"/>
      <c r="I41" s="32"/>
      <c r="J41" s="32"/>
      <c r="K41" s="145"/>
      <c r="L41" s="145"/>
      <c r="N41" s="20"/>
      <c r="P41" s="271"/>
      <c r="Q41" s="271"/>
      <c r="S41" s="24"/>
      <c r="T41" s="24"/>
    </row>
    <row r="42" spans="1:21">
      <c r="A42" s="1149">
        <f>NTA!F31</f>
        <v>13</v>
      </c>
      <c r="B42" s="1149" t="str">
        <f>NTA!C31</f>
        <v>Income Tax</v>
      </c>
      <c r="G42" s="32"/>
      <c r="H42" s="32"/>
      <c r="I42" s="32"/>
      <c r="K42" s="145"/>
      <c r="L42" s="145"/>
      <c r="N42" s="20"/>
      <c r="P42" s="271"/>
      <c r="Q42" s="271"/>
      <c r="S42" s="24"/>
      <c r="T42" s="24"/>
    </row>
    <row r="43" spans="1:21" ht="6" customHeight="1">
      <c r="A43" s="210"/>
      <c r="B43" s="210"/>
      <c r="G43" s="32"/>
      <c r="H43" s="32"/>
      <c r="I43" s="32"/>
      <c r="K43" s="145"/>
      <c r="L43" s="145"/>
      <c r="N43" s="20"/>
      <c r="P43" s="271"/>
      <c r="Q43" s="271"/>
      <c r="S43" s="24"/>
      <c r="T43" s="24"/>
    </row>
    <row r="44" spans="1:21">
      <c r="A44" s="210"/>
      <c r="B44" s="1132">
        <f>NTA!F32</f>
        <v>13.1</v>
      </c>
      <c r="C44" s="1064" t="str">
        <f>NTA!C32</f>
        <v>Income Tax recognized in statement of profit and loss</v>
      </c>
      <c r="G44" s="32"/>
      <c r="H44" s="32"/>
      <c r="I44" s="32"/>
      <c r="J44" s="1087" t="str">
        <f>+'Master Sheet'!$C$65</f>
        <v>(Amount in INR)</v>
      </c>
      <c r="K44" s="145"/>
      <c r="L44" s="145"/>
      <c r="N44" s="20"/>
      <c r="P44" s="271"/>
      <c r="Q44" s="271"/>
      <c r="S44" s="24"/>
      <c r="T44" s="24"/>
    </row>
    <row r="45" spans="1:21" ht="13.9">
      <c r="A45" s="235"/>
      <c r="B45" s="1264"/>
      <c r="C45" s="1323" t="s">
        <v>500</v>
      </c>
      <c r="D45" s="1323"/>
      <c r="E45" s="1323"/>
      <c r="F45" s="1323"/>
      <c r="G45" s="811"/>
      <c r="H45" s="1150" t="e">
        <f ca="1">BS_CY</f>
        <v>#NAME?</v>
      </c>
      <c r="I45" s="812"/>
      <c r="J45" s="1151" t="e">
        <f ca="1">BS_PY</f>
        <v>#NAME?</v>
      </c>
      <c r="K45" s="145"/>
      <c r="L45" s="145"/>
      <c r="N45" s="20"/>
      <c r="P45" s="271"/>
      <c r="Q45" s="271"/>
      <c r="S45" s="24"/>
      <c r="T45" s="24"/>
    </row>
    <row r="46" spans="1:21" ht="15" customHeight="1">
      <c r="A46" s="29"/>
      <c r="B46" s="821"/>
      <c r="C46" s="238" t="s">
        <v>1192</v>
      </c>
      <c r="D46" s="236"/>
      <c r="E46" s="236"/>
      <c r="F46" s="236"/>
      <c r="G46" s="237"/>
      <c r="H46" s="86"/>
      <c r="I46" s="121"/>
      <c r="J46" s="79"/>
      <c r="K46" s="145"/>
      <c r="L46" s="145"/>
      <c r="N46" s="20"/>
      <c r="P46" s="271"/>
      <c r="Q46" s="271"/>
      <c r="S46" s="24"/>
      <c r="T46" s="24"/>
    </row>
    <row r="47" spans="1:21" ht="15" customHeight="1">
      <c r="B47" s="1264"/>
      <c r="C47" s="67" t="s">
        <v>1193</v>
      </c>
      <c r="D47" s="81"/>
      <c r="E47" s="81"/>
      <c r="F47" s="81"/>
      <c r="G47" s="137"/>
      <c r="H47" s="129">
        <f ca="1">IFERROR(INDEX(INDIRECT(VLOOKUP($U47,Source_Master,2,0),),MATCH(TEXT($Q47,0),INDIRECT(VLOOKUP($U47,Source_Master,4,0)),0),MATCH(H$1,INDIRECT(VLOOKUP($U47,Source_Master,3,0),),0)),0)</f>
        <v>0</v>
      </c>
      <c r="I47" s="119"/>
      <c r="J47" s="62">
        <f ca="1">IFERROR(INDEX(INDIRECT(VLOOKUP($U47,Source_Master,2,0),),MATCH(TEXT($Q47,0),INDIRECT(VLOOKUP($U47,Source_Master,4,0)),0),MATCH(J$1,INDIRECT(VLOOKUP($U47,Source_Master,3,0),),0)),0)</f>
        <v>0</v>
      </c>
      <c r="K47" s="145"/>
      <c r="L47" s="145"/>
      <c r="N47" s="20"/>
      <c r="O47" s="1152" t="str">
        <f t="shared" ref="O47:O49" ca="1" si="5">IF(AND(H47=0,J47=0),"##H","")</f>
        <v>##H</v>
      </c>
      <c r="P47" s="271"/>
      <c r="Q47" s="271" t="s">
        <v>564</v>
      </c>
      <c r="S47" s="24"/>
      <c r="T47" s="24"/>
      <c r="U47" s="271" t="s">
        <v>50</v>
      </c>
    </row>
    <row r="48" spans="1:21" ht="15" hidden="1" customHeight="1">
      <c r="B48" s="1264"/>
      <c r="C48" s="67" t="s">
        <v>1194</v>
      </c>
      <c r="D48" s="58"/>
      <c r="E48" s="58"/>
      <c r="F48" s="58"/>
      <c r="G48" s="822"/>
      <c r="H48" s="129">
        <f ca="1">IFERROR(INDEX(INDIRECT(VLOOKUP($U48,Source_Master,2,0),),MATCH(TEXT($Q48,0),INDIRECT(VLOOKUP($U48,Source_Master,4,0)),0),MATCH(H$1,INDIRECT(VLOOKUP($U48,Source_Master,3,0),),0)),0)</f>
        <v>0</v>
      </c>
      <c r="I48" s="823"/>
      <c r="J48" s="62">
        <f ca="1">IFERROR(INDEX(INDIRECT(VLOOKUP($U48,Source_Master,2,0),),MATCH(TEXT($Q48,0),INDIRECT(VLOOKUP($U48,Source_Master,4,0)),0),MATCH(J$1,INDIRECT(VLOOKUP($U48,Source_Master,3,0),),0)),0)</f>
        <v>0</v>
      </c>
      <c r="K48" s="145"/>
      <c r="L48" s="145"/>
      <c r="N48" s="20"/>
      <c r="O48" s="1152" t="str">
        <f t="shared" ca="1" si="5"/>
        <v>##H</v>
      </c>
      <c r="P48" s="271"/>
      <c r="Q48" s="271"/>
      <c r="S48" s="24"/>
      <c r="T48" s="24"/>
    </row>
    <row r="49" spans="1:21" ht="15" customHeight="1">
      <c r="B49" s="1264"/>
      <c r="C49" s="33" t="s">
        <v>1195</v>
      </c>
      <c r="D49" s="58"/>
      <c r="E49" s="58"/>
      <c r="F49" s="58"/>
      <c r="G49" s="824"/>
      <c r="H49" s="239">
        <f ca="1">SUM(H47:H48)</f>
        <v>0</v>
      </c>
      <c r="I49" s="825"/>
      <c r="J49" s="240">
        <f ca="1">SUM(J47:J48)</f>
        <v>0</v>
      </c>
      <c r="K49" s="145"/>
      <c r="L49" s="145"/>
      <c r="N49" s="20"/>
      <c r="O49" s="1152" t="str">
        <f t="shared" ca="1" si="5"/>
        <v>##H</v>
      </c>
      <c r="P49" s="271"/>
      <c r="Q49" s="271"/>
      <c r="S49" s="24"/>
      <c r="T49" s="24"/>
    </row>
    <row r="50" spans="1:21" ht="15" customHeight="1">
      <c r="B50" s="1264"/>
      <c r="C50" s="58" t="s">
        <v>1196</v>
      </c>
      <c r="D50" s="58"/>
      <c r="E50" s="58"/>
      <c r="F50" s="58"/>
      <c r="G50" s="822"/>
      <c r="H50" s="86"/>
      <c r="I50" s="823"/>
      <c r="J50" s="79"/>
      <c r="K50" s="145"/>
      <c r="L50" s="145"/>
      <c r="N50" s="20"/>
      <c r="P50" s="271"/>
      <c r="Q50" s="271"/>
      <c r="S50" s="24"/>
      <c r="T50" s="24"/>
    </row>
    <row r="51" spans="1:21" ht="15" customHeight="1">
      <c r="B51" s="243"/>
      <c r="C51" s="67" t="s">
        <v>1193</v>
      </c>
      <c r="D51" s="58"/>
      <c r="E51" s="58"/>
      <c r="F51" s="58"/>
      <c r="G51" s="822"/>
      <c r="H51" s="129">
        <f ca="1">IFERROR(INDEX(INDIRECT(VLOOKUP($U51,Source_Master,2,0),),MATCH(TEXT($Q51,0),INDIRECT(VLOOKUP($U51,Source_Master,4,0)),0),MATCH(H$1,INDIRECT(VLOOKUP($U51,Source_Master,3,0),),0)),0)</f>
        <v>0</v>
      </c>
      <c r="I51" s="823"/>
      <c r="J51" s="62">
        <f ca="1">IFERROR(INDEX(INDIRECT(VLOOKUP($U51,Source_Master,2,0),),MATCH(TEXT($Q51,0),INDIRECT(VLOOKUP($U51,Source_Master,4,0)),0),MATCH(J$1,INDIRECT(VLOOKUP($U51,Source_Master,3,0),),0)),0)</f>
        <v>0</v>
      </c>
      <c r="K51" s="145"/>
      <c r="L51" s="145"/>
      <c r="N51" s="20"/>
      <c r="O51" s="1152" t="str">
        <f t="shared" ref="O51:O52" ca="1" si="6">IF(AND(H51=0,J51=0),"##H","")</f>
        <v>##H</v>
      </c>
      <c r="P51" s="271"/>
      <c r="Q51" s="271" t="s">
        <v>565</v>
      </c>
      <c r="S51" s="24"/>
      <c r="T51" s="24"/>
      <c r="U51" s="271" t="s">
        <v>50</v>
      </c>
    </row>
    <row r="52" spans="1:21" ht="15" customHeight="1">
      <c r="B52" s="243"/>
      <c r="C52" s="81" t="s">
        <v>1197</v>
      </c>
      <c r="D52" s="58"/>
      <c r="E52" s="58"/>
      <c r="F52" s="58"/>
      <c r="G52" s="824"/>
      <c r="H52" s="241">
        <f ca="1">SUM(H51)</f>
        <v>0</v>
      </c>
      <c r="I52" s="825"/>
      <c r="J52" s="242">
        <f ca="1">SUM(J51)</f>
        <v>0</v>
      </c>
      <c r="K52" s="145"/>
      <c r="L52" s="145"/>
      <c r="N52" s="20"/>
      <c r="O52" s="1152" t="str">
        <f t="shared" ca="1" si="6"/>
        <v>##H</v>
      </c>
      <c r="P52" s="271"/>
      <c r="Q52" s="271"/>
      <c r="S52" s="24"/>
      <c r="T52" s="24"/>
    </row>
    <row r="53" spans="1:21" ht="15" customHeight="1">
      <c r="B53" s="243"/>
      <c r="C53" s="1264"/>
      <c r="G53" s="826"/>
      <c r="H53" s="1578"/>
      <c r="I53" s="117"/>
      <c r="J53" s="1574"/>
      <c r="K53" s="145"/>
      <c r="L53" s="145"/>
      <c r="N53" s="20"/>
      <c r="P53" s="271"/>
      <c r="Q53" s="271"/>
      <c r="S53" s="24"/>
      <c r="T53" s="24"/>
    </row>
    <row r="54" spans="1:21" ht="15" customHeight="1">
      <c r="B54" s="210"/>
      <c r="C54" s="216" t="s">
        <v>1198</v>
      </c>
      <c r="D54" s="177"/>
      <c r="E54" s="177"/>
      <c r="F54" s="177"/>
      <c r="G54" s="813"/>
      <c r="H54" s="69">
        <f ca="1">H49+H52</f>
        <v>0</v>
      </c>
      <c r="I54" s="817"/>
      <c r="J54" s="350">
        <f ca="1">J49+J52</f>
        <v>0</v>
      </c>
      <c r="K54" s="145"/>
      <c r="L54" s="145"/>
      <c r="N54" s="20"/>
      <c r="O54" s="1152" t="str">
        <f t="shared" ref="O54" ca="1" si="7">IF(AND(H54=0,J54=0),"##H","")</f>
        <v>##H</v>
      </c>
      <c r="P54" s="271"/>
      <c r="Q54" s="271"/>
      <c r="S54" s="24"/>
      <c r="T54" s="24"/>
    </row>
    <row r="55" spans="1:21" ht="15" customHeight="1">
      <c r="B55" s="210"/>
      <c r="G55" s="827"/>
      <c r="H55" s="827"/>
      <c r="I55" s="32"/>
      <c r="J55" s="32"/>
      <c r="K55" s="145"/>
      <c r="L55" s="145"/>
      <c r="N55" s="20"/>
      <c r="P55" s="271"/>
      <c r="Q55" s="271"/>
      <c r="S55" s="24"/>
      <c r="T55" s="24"/>
    </row>
    <row r="56" spans="1:21" ht="15" customHeight="1">
      <c r="A56" s="29"/>
      <c r="B56" s="1132">
        <f>NTA!F33</f>
        <v>13.2</v>
      </c>
      <c r="C56" s="1120" t="str">
        <f>NTA!C33</f>
        <v>Income tax recognized in other Comprehensive income</v>
      </c>
      <c r="D56" s="244"/>
      <c r="E56" s="244"/>
      <c r="F56" s="244"/>
      <c r="G56" s="137"/>
      <c r="H56" s="86"/>
      <c r="I56" s="119"/>
      <c r="J56" s="79"/>
      <c r="K56" s="145"/>
      <c r="L56" s="145"/>
      <c r="N56" s="20"/>
      <c r="P56" s="271"/>
      <c r="Q56" s="271"/>
      <c r="S56" s="24"/>
      <c r="T56" s="24"/>
    </row>
    <row r="57" spans="1:21" ht="15" customHeight="1">
      <c r="B57" s="210"/>
      <c r="C57" s="58" t="s">
        <v>1199</v>
      </c>
      <c r="D57" s="58"/>
      <c r="E57" s="58"/>
      <c r="F57" s="58"/>
      <c r="G57" s="828"/>
      <c r="H57" s="828"/>
      <c r="I57" s="314"/>
      <c r="J57" s="314"/>
      <c r="K57" s="145"/>
      <c r="L57" s="145"/>
      <c r="N57" s="20"/>
      <c r="P57" s="271"/>
      <c r="Q57" s="271"/>
      <c r="S57" s="24"/>
      <c r="T57" s="24"/>
    </row>
    <row r="58" spans="1:21" ht="15" hidden="1" customHeight="1">
      <c r="B58" s="210"/>
      <c r="C58" s="36" t="s">
        <v>1200</v>
      </c>
      <c r="D58" s="58"/>
      <c r="E58" s="58"/>
      <c r="F58" s="58"/>
      <c r="G58" s="828"/>
      <c r="H58" s="129">
        <f ca="1">IFERROR(INDEX(INDIRECT(VLOOKUP($U58,Source_Master,2,0),),MATCH(TEXT($Q58,0),INDIRECT(VLOOKUP($U58,Source_Master,4,0)),0),MATCH(H$1,INDIRECT(VLOOKUP($U58,Source_Master,3,0),),0)),0)</f>
        <v>0</v>
      </c>
      <c r="I58" s="119"/>
      <c r="J58" s="62">
        <f ca="1">IFERROR(INDEX(INDIRECT(VLOOKUP($U58,Source_Master,2,0),),MATCH(TEXT($Q58,0),INDIRECT(VLOOKUP($U58,Source_Master,4,0)),0),MATCH(J$1,INDIRECT(VLOOKUP($U58,Source_Master,3,0),),0)),0)</f>
        <v>0</v>
      </c>
      <c r="K58" s="145"/>
      <c r="L58" s="145"/>
      <c r="N58" s="20"/>
      <c r="O58" s="1152" t="str">
        <f t="shared" ref="O58:O60" ca="1" si="8">IF(AND(H58=0,J58=0),"##H","")</f>
        <v>##H</v>
      </c>
      <c r="P58" s="271"/>
      <c r="Q58" s="271" t="s">
        <v>1201</v>
      </c>
      <c r="S58" s="24"/>
      <c r="T58" s="24"/>
      <c r="U58" s="271" t="s">
        <v>51</v>
      </c>
    </row>
    <row r="59" spans="1:21" ht="15" hidden="1" customHeight="1">
      <c r="B59" s="210"/>
      <c r="C59" s="36" t="s">
        <v>1202</v>
      </c>
      <c r="D59" s="58"/>
      <c r="E59" s="58"/>
      <c r="F59" s="58"/>
      <c r="G59" s="829"/>
      <c r="H59" s="176">
        <f ca="1">IFERROR(INDEX(INDIRECT(VLOOKUP($U59,Source_Master,2,0),),MATCH(TEXT($Q59,0),INDIRECT(VLOOKUP($U59,Source_Master,4,0)),0),MATCH(H$1,INDIRECT(VLOOKUP($U59,Source_Master,3,0),),0)),0)</f>
        <v>0</v>
      </c>
      <c r="I59" s="823"/>
      <c r="J59" s="185">
        <f ca="1">IFERROR(INDEX(INDIRECT(VLOOKUP($U59,Source_Master,2,0),),MATCH(TEXT($Q59,0),INDIRECT(VLOOKUP($U59,Source_Master,4,0)),0),MATCH(J$1,INDIRECT(VLOOKUP($U59,Source_Master,3,0),),0)),0)</f>
        <v>0</v>
      </c>
      <c r="K59" s="145"/>
      <c r="L59" s="145"/>
      <c r="N59" s="20"/>
      <c r="O59" s="1152" t="str">
        <f t="shared" ca="1" si="8"/>
        <v>##H</v>
      </c>
      <c r="P59" s="271"/>
      <c r="Q59" s="271" t="s">
        <v>1201</v>
      </c>
      <c r="S59" s="24"/>
      <c r="T59" s="24"/>
      <c r="U59" s="271" t="s">
        <v>51</v>
      </c>
    </row>
    <row r="60" spans="1:21" ht="15" hidden="1" customHeight="1">
      <c r="B60" s="210"/>
      <c r="C60" s="33" t="s">
        <v>246</v>
      </c>
      <c r="D60" s="58"/>
      <c r="E60" s="58"/>
      <c r="F60" s="58"/>
      <c r="G60" s="824"/>
      <c r="H60" s="239">
        <f ca="1">SUM(H58:H59)</f>
        <v>0</v>
      </c>
      <c r="I60" s="825"/>
      <c r="J60" s="240">
        <f ca="1">SUM(J58:J59)</f>
        <v>0</v>
      </c>
      <c r="K60" s="145"/>
      <c r="L60" s="145"/>
      <c r="N60" s="20"/>
      <c r="O60" s="1152" t="str">
        <f t="shared" ca="1" si="8"/>
        <v>##H</v>
      </c>
      <c r="P60" s="271"/>
      <c r="Q60" s="271"/>
      <c r="S60" s="24"/>
      <c r="T60" s="24"/>
    </row>
    <row r="61" spans="1:21" ht="15" customHeight="1">
      <c r="B61" s="210"/>
      <c r="C61" s="58" t="s">
        <v>1203</v>
      </c>
      <c r="D61" s="58"/>
      <c r="E61" s="58"/>
      <c r="F61" s="58"/>
      <c r="G61" s="828"/>
      <c r="H61" s="828"/>
      <c r="I61" s="314"/>
      <c r="J61" s="314"/>
      <c r="K61" s="145"/>
      <c r="L61" s="145"/>
      <c r="N61" s="20"/>
      <c r="P61" s="271"/>
      <c r="Q61" s="271"/>
      <c r="S61" s="24"/>
      <c r="T61" s="24"/>
    </row>
    <row r="62" spans="1:21" ht="15" hidden="1" customHeight="1">
      <c r="B62" s="210"/>
      <c r="C62" s="36" t="s">
        <v>1204</v>
      </c>
      <c r="D62" s="58"/>
      <c r="E62" s="58"/>
      <c r="F62" s="58"/>
      <c r="G62" s="828"/>
      <c r="H62" s="172">
        <f ca="1">IFERROR(INDEX(INDIRECT(VLOOKUP($U62,Source_Master,2,0),),MATCH(TEXT($Q62,0),INDIRECT(VLOOKUP($U62,Source_Master,4,0)),0),MATCH(H$1,INDIRECT(VLOOKUP($U62,Source_Master,3,0),),0)),0)</f>
        <v>0</v>
      </c>
      <c r="I62" s="417"/>
      <c r="J62" s="850">
        <f ca="1">IFERROR(INDEX(INDIRECT(VLOOKUP($U62,Source_Master,2,0),),MATCH(TEXT($Q62,0),INDIRECT(VLOOKUP($U62,Source_Master,4,0)),0),MATCH(J$1,INDIRECT(VLOOKUP($U62,Source_Master,3,0),),0)),0)</f>
        <v>0</v>
      </c>
      <c r="K62" s="145"/>
      <c r="L62" s="145"/>
      <c r="N62" s="20"/>
      <c r="O62" s="1152" t="str">
        <f t="shared" ref="O62:O64" ca="1" si="9">IF(AND(H62=0,J62=0),"##H","")</f>
        <v>##H</v>
      </c>
      <c r="P62" s="271"/>
      <c r="Q62" s="271" t="s">
        <v>1205</v>
      </c>
      <c r="S62" s="24"/>
      <c r="T62" s="24"/>
      <c r="U62" s="271" t="s">
        <v>51</v>
      </c>
    </row>
    <row r="63" spans="1:21" ht="15" hidden="1" customHeight="1">
      <c r="B63" s="210"/>
      <c r="C63" s="36" t="s">
        <v>1206</v>
      </c>
      <c r="D63" s="58"/>
      <c r="E63" s="58"/>
      <c r="F63" s="58"/>
      <c r="G63" s="829"/>
      <c r="H63" s="849">
        <f ca="1">IFERROR(INDEX(INDIRECT(VLOOKUP($U63,Source_Master,2,0),),MATCH(TEXT($Q63,0),INDIRECT(VLOOKUP($U63,Source_Master,4,0)),0),MATCH(H$1,INDIRECT(VLOOKUP($U63,Source_Master,3,0),),0)),0)</f>
        <v>0</v>
      </c>
      <c r="I63" s="830"/>
      <c r="J63" s="851">
        <f ca="1">IFERROR(INDEX(INDIRECT(VLOOKUP($U63,Source_Master,2,0),),MATCH(TEXT($Q63,0),INDIRECT(VLOOKUP($U63,Source_Master,4,0)),0),MATCH(J$1,INDIRECT(VLOOKUP($U63,Source_Master,3,0),),0)),0)</f>
        <v>0</v>
      </c>
      <c r="K63" s="145"/>
      <c r="L63" s="145"/>
      <c r="N63" s="20"/>
      <c r="O63" s="1152" t="str">
        <f t="shared" ca="1" si="9"/>
        <v>##H</v>
      </c>
      <c r="P63" s="271"/>
      <c r="Q63" s="271" t="s">
        <v>1205</v>
      </c>
      <c r="S63" s="24"/>
      <c r="T63" s="24"/>
      <c r="U63" s="271" t="s">
        <v>51</v>
      </c>
    </row>
    <row r="64" spans="1:21" ht="15" hidden="1" customHeight="1">
      <c r="B64" s="210"/>
      <c r="C64" s="33" t="s">
        <v>246</v>
      </c>
      <c r="D64" s="58"/>
      <c r="E64" s="58"/>
      <c r="F64" s="58"/>
      <c r="G64" s="824"/>
      <c r="H64" s="239">
        <f ca="1">SUM(H62:H63)</f>
        <v>0</v>
      </c>
      <c r="I64" s="825"/>
      <c r="J64" s="240">
        <f ca="1">SUM(J62:J63)</f>
        <v>0</v>
      </c>
      <c r="K64" s="145"/>
      <c r="L64" s="145"/>
      <c r="N64" s="20"/>
      <c r="O64" s="1152" t="str">
        <f t="shared" ca="1" si="9"/>
        <v>##H</v>
      </c>
      <c r="P64" s="271"/>
      <c r="Q64" s="271"/>
      <c r="S64" s="24"/>
      <c r="T64" s="24"/>
    </row>
    <row r="65" spans="1:21" ht="15" customHeight="1">
      <c r="B65" s="210"/>
      <c r="C65" s="33"/>
      <c r="D65" s="58"/>
      <c r="E65" s="58"/>
      <c r="F65" s="58"/>
      <c r="G65" s="237"/>
      <c r="H65" s="74"/>
      <c r="I65" s="121"/>
      <c r="J65" s="831"/>
      <c r="K65" s="145"/>
      <c r="L65" s="145"/>
      <c r="N65" s="20"/>
      <c r="P65" s="271"/>
      <c r="Q65" s="271"/>
      <c r="S65" s="24"/>
      <c r="T65" s="24"/>
    </row>
    <row r="66" spans="1:21" ht="25.5" customHeight="1">
      <c r="B66" s="1149">
        <f>NTA!F34</f>
        <v>13.299999999999999</v>
      </c>
      <c r="C66" s="1330" t="str">
        <f>NTA!C34</f>
        <v>Reconciliation of income tax expense and the accounting profit multiplied by Company’s domestic tax rate</v>
      </c>
      <c r="D66" s="1330"/>
      <c r="E66" s="1330"/>
      <c r="F66" s="1330"/>
      <c r="G66" s="828"/>
      <c r="H66" s="828"/>
      <c r="I66" s="314"/>
      <c r="J66" s="314"/>
      <c r="K66" s="145"/>
      <c r="L66" s="145"/>
      <c r="N66" s="20"/>
      <c r="P66" s="271"/>
      <c r="Q66" s="271"/>
      <c r="S66" s="24"/>
      <c r="T66" s="24"/>
    </row>
    <row r="67" spans="1:21" ht="15" customHeight="1">
      <c r="B67" s="210"/>
      <c r="C67" s="58" t="s">
        <v>1207</v>
      </c>
      <c r="D67" s="58"/>
      <c r="E67" s="58"/>
      <c r="F67" s="58"/>
      <c r="G67" s="828"/>
      <c r="H67" s="172">
        <f ca="1">'P&amp;L'!C21</f>
        <v>0</v>
      </c>
      <c r="I67" s="417"/>
      <c r="J67" s="850">
        <f ca="1">'P&amp;L'!D21</f>
        <v>0</v>
      </c>
      <c r="K67" s="145"/>
      <c r="L67" s="145"/>
      <c r="N67" s="20"/>
      <c r="O67" s="1152" t="str">
        <f t="shared" ref="O67" ca="1" si="10">IF(AND(H67=0,J67=0),"##H","")</f>
        <v>##H</v>
      </c>
      <c r="P67" s="271"/>
      <c r="Q67" s="271"/>
      <c r="S67" s="24"/>
      <c r="T67" s="24"/>
    </row>
    <row r="68" spans="1:21" ht="15" customHeight="1">
      <c r="B68" s="210"/>
      <c r="C68" s="58" t="s">
        <v>1208</v>
      </c>
      <c r="D68" s="58"/>
      <c r="E68" s="58"/>
      <c r="F68" s="58"/>
      <c r="G68" s="828"/>
      <c r="H68" s="828"/>
      <c r="I68" s="314"/>
      <c r="J68" s="314"/>
      <c r="K68" s="145"/>
      <c r="L68" s="145"/>
      <c r="N68" s="20"/>
      <c r="P68" s="271"/>
      <c r="Q68" s="271"/>
      <c r="S68" s="24"/>
      <c r="T68" s="24"/>
    </row>
    <row r="69" spans="1:21" ht="15" customHeight="1">
      <c r="B69" s="210"/>
      <c r="C69" s="58" t="s">
        <v>1209</v>
      </c>
      <c r="D69" s="58"/>
      <c r="E69" s="58"/>
      <c r="F69" s="58"/>
      <c r="G69" s="828"/>
      <c r="H69" s="828"/>
      <c r="I69" s="314"/>
      <c r="J69" s="314"/>
      <c r="K69" s="145"/>
      <c r="L69" s="145"/>
      <c r="N69" s="20"/>
      <c r="P69" s="271"/>
      <c r="Q69" s="271"/>
      <c r="S69" s="24"/>
      <c r="T69" s="24"/>
    </row>
    <row r="70" spans="1:21" ht="15" hidden="1" customHeight="1">
      <c r="B70" s="210"/>
      <c r="C70" s="67" t="s">
        <v>1210</v>
      </c>
      <c r="D70" s="58"/>
      <c r="E70" s="58"/>
      <c r="F70" s="58"/>
      <c r="G70" s="828"/>
      <c r="H70" s="172">
        <f t="shared" ref="H70:H76" ca="1" si="11">IFERROR(INDEX(INDIRECT(VLOOKUP($U70,Source_Master,2,0),),MATCH(TEXT($Q70,0),INDIRECT(VLOOKUP($U70,Source_Master,4,0)),0),MATCH(H$1,INDIRECT(VLOOKUP($U70,Source_Master,3,0),),0)),0)</f>
        <v>0</v>
      </c>
      <c r="I70" s="417"/>
      <c r="J70" s="850">
        <f t="shared" ref="J70:J76" ca="1" si="12">IFERROR(INDEX(INDIRECT(VLOOKUP($U70,Source_Master,2,0),),MATCH(TEXT($Q70,0),INDIRECT(VLOOKUP($U70,Source_Master,4,0)),0),MATCH(J$1,INDIRECT(VLOOKUP($U70,Source_Master,3,0),),0)),0)</f>
        <v>0</v>
      </c>
      <c r="K70" s="145"/>
      <c r="L70" s="145"/>
      <c r="N70" s="20"/>
      <c r="O70" s="1152" t="str">
        <f t="shared" ref="O70:O77" ca="1" si="13">IF(AND(H70=0,J70=0),"##H","")</f>
        <v>##H</v>
      </c>
      <c r="P70" s="271"/>
      <c r="Q70" s="271" t="s">
        <v>1211</v>
      </c>
      <c r="S70" s="24"/>
      <c r="T70" s="24"/>
      <c r="U70" s="271" t="s">
        <v>51</v>
      </c>
    </row>
    <row r="71" spans="1:21" ht="15" hidden="1" customHeight="1">
      <c r="B71" s="210"/>
      <c r="C71" s="67" t="s">
        <v>1212</v>
      </c>
      <c r="D71" s="58"/>
      <c r="E71" s="58"/>
      <c r="F71" s="58"/>
      <c r="G71" s="828"/>
      <c r="H71" s="172">
        <f t="shared" ca="1" si="11"/>
        <v>0</v>
      </c>
      <c r="I71" s="417"/>
      <c r="J71" s="850">
        <f t="shared" ca="1" si="12"/>
        <v>0</v>
      </c>
      <c r="K71" s="145"/>
      <c r="L71" s="145"/>
      <c r="N71" s="20"/>
      <c r="O71" s="1152" t="str">
        <f t="shared" ca="1" si="13"/>
        <v>##H</v>
      </c>
      <c r="P71" s="271"/>
      <c r="Q71" s="271" t="s">
        <v>1211</v>
      </c>
      <c r="S71" s="24"/>
      <c r="T71" s="24"/>
      <c r="U71" s="271" t="s">
        <v>51</v>
      </c>
    </row>
    <row r="72" spans="1:21" ht="15" hidden="1" customHeight="1">
      <c r="B72" s="210"/>
      <c r="C72" s="67" t="s">
        <v>1213</v>
      </c>
      <c r="D72" s="58"/>
      <c r="E72" s="58"/>
      <c r="F72" s="58"/>
      <c r="G72" s="828"/>
      <c r="H72" s="172">
        <f t="shared" ca="1" si="11"/>
        <v>0</v>
      </c>
      <c r="I72" s="417"/>
      <c r="J72" s="850">
        <f t="shared" ca="1" si="12"/>
        <v>0</v>
      </c>
      <c r="K72" s="145"/>
      <c r="L72" s="145"/>
      <c r="N72" s="20"/>
      <c r="O72" s="1152" t="str">
        <f t="shared" ca="1" si="13"/>
        <v>##H</v>
      </c>
      <c r="P72" s="271"/>
      <c r="Q72" s="271" t="s">
        <v>1211</v>
      </c>
      <c r="S72" s="24"/>
      <c r="T72" s="24"/>
      <c r="U72" s="271" t="s">
        <v>51</v>
      </c>
    </row>
    <row r="73" spans="1:21" ht="15" hidden="1" customHeight="1">
      <c r="B73" s="210"/>
      <c r="C73" s="67" t="s">
        <v>1214</v>
      </c>
      <c r="D73" s="58"/>
      <c r="E73" s="58"/>
      <c r="F73" s="58"/>
      <c r="G73" s="828"/>
      <c r="H73" s="172">
        <f t="shared" ca="1" si="11"/>
        <v>0</v>
      </c>
      <c r="I73" s="417"/>
      <c r="J73" s="850">
        <f t="shared" ca="1" si="12"/>
        <v>0</v>
      </c>
      <c r="K73" s="145"/>
      <c r="L73" s="145"/>
      <c r="N73" s="20"/>
      <c r="O73" s="1152" t="str">
        <f t="shared" ca="1" si="13"/>
        <v>##H</v>
      </c>
      <c r="P73" s="271"/>
      <c r="Q73" s="271" t="s">
        <v>1211</v>
      </c>
      <c r="S73" s="24"/>
      <c r="T73" s="24"/>
      <c r="U73" s="271" t="s">
        <v>51</v>
      </c>
    </row>
    <row r="74" spans="1:21" ht="15" hidden="1" customHeight="1">
      <c r="B74" s="210"/>
      <c r="C74" s="67" t="s">
        <v>1215</v>
      </c>
      <c r="D74" s="58"/>
      <c r="E74" s="58"/>
      <c r="F74" s="58"/>
      <c r="G74" s="828"/>
      <c r="H74" s="172">
        <f t="shared" ca="1" si="11"/>
        <v>0</v>
      </c>
      <c r="I74" s="417"/>
      <c r="J74" s="850">
        <f t="shared" ca="1" si="12"/>
        <v>0</v>
      </c>
      <c r="K74" s="145"/>
      <c r="L74" s="145"/>
      <c r="N74" s="20"/>
      <c r="O74" s="1152" t="str">
        <f t="shared" ca="1" si="13"/>
        <v>##H</v>
      </c>
      <c r="P74" s="271"/>
      <c r="Q74" s="271" t="s">
        <v>1211</v>
      </c>
      <c r="S74" s="24"/>
      <c r="T74" s="24"/>
      <c r="U74" s="271" t="s">
        <v>51</v>
      </c>
    </row>
    <row r="75" spans="1:21" ht="15" hidden="1" customHeight="1">
      <c r="B75" s="210"/>
      <c r="C75" s="67" t="s">
        <v>1216</v>
      </c>
      <c r="D75" s="58"/>
      <c r="E75" s="58"/>
      <c r="F75" s="58"/>
      <c r="G75" s="828"/>
      <c r="H75" s="172">
        <f t="shared" ca="1" si="11"/>
        <v>0</v>
      </c>
      <c r="I75" s="417"/>
      <c r="J75" s="850">
        <f t="shared" ca="1" si="12"/>
        <v>0</v>
      </c>
      <c r="K75" s="145"/>
      <c r="L75" s="145"/>
      <c r="N75" s="20"/>
      <c r="O75" s="1152" t="str">
        <f t="shared" ca="1" si="13"/>
        <v>##H</v>
      </c>
      <c r="P75" s="271"/>
      <c r="Q75" s="271" t="s">
        <v>1211</v>
      </c>
      <c r="S75" s="24"/>
      <c r="T75" s="24"/>
      <c r="U75" s="271" t="s">
        <v>51</v>
      </c>
    </row>
    <row r="76" spans="1:21" ht="15" hidden="1" customHeight="1">
      <c r="B76" s="210"/>
      <c r="C76" s="67" t="s">
        <v>1217</v>
      </c>
      <c r="D76" s="58"/>
      <c r="E76" s="58"/>
      <c r="F76" s="58"/>
      <c r="G76" s="829"/>
      <c r="H76" s="849">
        <f t="shared" ca="1" si="11"/>
        <v>0</v>
      </c>
      <c r="I76" s="830"/>
      <c r="J76" s="851">
        <f t="shared" ca="1" si="12"/>
        <v>0</v>
      </c>
      <c r="K76" s="145"/>
      <c r="L76" s="145"/>
      <c r="N76" s="20"/>
      <c r="O76" s="1152" t="str">
        <f t="shared" ca="1" si="13"/>
        <v>##H</v>
      </c>
      <c r="P76" s="271"/>
      <c r="Q76" s="271" t="s">
        <v>1211</v>
      </c>
      <c r="S76" s="24"/>
      <c r="T76" s="24"/>
      <c r="U76" s="271" t="s">
        <v>51</v>
      </c>
    </row>
    <row r="77" spans="1:21" ht="15" hidden="1" customHeight="1">
      <c r="A77" s="116"/>
      <c r="B77" s="1264"/>
      <c r="C77" s="216" t="s">
        <v>1218</v>
      </c>
      <c r="D77" s="177"/>
      <c r="E77" s="177"/>
      <c r="F77" s="177"/>
      <c r="G77" s="832"/>
      <c r="H77" s="178">
        <f ca="1">SUM(H68:H76)</f>
        <v>0</v>
      </c>
      <c r="I77" s="833"/>
      <c r="J77" s="175">
        <f ca="1">SUM(J68:J76)</f>
        <v>0</v>
      </c>
      <c r="K77" s="145"/>
      <c r="L77" s="145"/>
      <c r="N77" s="20"/>
      <c r="O77" s="1152" t="str">
        <f t="shared" ca="1" si="13"/>
        <v>##H</v>
      </c>
      <c r="P77" s="271"/>
      <c r="Q77" s="271" t="s">
        <v>1211</v>
      </c>
      <c r="S77" s="24"/>
      <c r="T77" s="24"/>
      <c r="U77" s="271" t="s">
        <v>51</v>
      </c>
    </row>
    <row r="78" spans="1:21" ht="12" customHeight="1">
      <c r="A78" s="116"/>
      <c r="B78" s="1264"/>
      <c r="C78" s="21"/>
      <c r="G78" s="117"/>
      <c r="H78" s="1568"/>
      <c r="I78" s="117"/>
      <c r="J78" s="1568"/>
      <c r="K78" s="145"/>
      <c r="L78" s="145"/>
      <c r="N78" s="20"/>
      <c r="P78" s="271"/>
      <c r="Q78" s="271"/>
      <c r="S78" s="24"/>
      <c r="T78" s="24"/>
    </row>
    <row r="79" spans="1:21" ht="15.6">
      <c r="A79" s="116"/>
      <c r="B79" s="1264"/>
      <c r="C79" s="21" t="s">
        <v>1167</v>
      </c>
      <c r="G79" s="117"/>
      <c r="H79" s="1568"/>
      <c r="I79" s="117"/>
      <c r="J79" s="1568"/>
      <c r="K79" s="145"/>
      <c r="L79" s="145"/>
      <c r="N79" s="20"/>
      <c r="P79" s="271"/>
      <c r="Q79" s="271"/>
      <c r="S79" s="24"/>
      <c r="T79" s="24"/>
    </row>
    <row r="80" spans="1:21" ht="28.5" customHeight="1">
      <c r="A80" s="116"/>
      <c r="B80" s="1264"/>
      <c r="C80" s="1322" t="e">
        <f ca="1">"(i) The tax rate used w.r.t reconciliation above for the year ended "&amp;Current_Date&amp;" and "&amp;Previous_Date&amp;" are the respective corporate tax rates prevalant at each subsidiary of the Group."</f>
        <v>#NAME?</v>
      </c>
      <c r="D80" s="1322"/>
      <c r="E80" s="1322"/>
      <c r="F80" s="1322"/>
      <c r="G80" s="1322"/>
      <c r="H80" s="1322"/>
      <c r="I80" s="1322"/>
      <c r="J80" s="1322"/>
      <c r="K80" s="145"/>
      <c r="L80" s="145"/>
      <c r="N80" s="246" t="s">
        <v>1219</v>
      </c>
      <c r="P80" s="271"/>
      <c r="Q80" s="271"/>
      <c r="S80" s="24"/>
      <c r="T80" s="24"/>
    </row>
    <row r="81" spans="1:36" ht="30" customHeight="1">
      <c r="A81" s="116"/>
      <c r="B81" s="1264"/>
      <c r="C81" s="1322" t="e">
        <f ca="1">"The tax rate used for the year ended "&amp;Current_Date&amp;" and "&amp;Previous_Date&amp;" reconciliations above are the corporate tax rate of 25.17% payable by corporate entities in India on taxable profits under Indian Income Tax Laws."</f>
        <v>#NAME?</v>
      </c>
      <c r="D81" s="1322"/>
      <c r="E81" s="1322"/>
      <c r="F81" s="1322"/>
      <c r="G81" s="1322"/>
      <c r="H81" s="1322"/>
      <c r="I81" s="1322"/>
      <c r="J81" s="1322"/>
      <c r="K81" s="145"/>
      <c r="L81" s="145"/>
      <c r="N81" s="295" t="s">
        <v>169</v>
      </c>
      <c r="O81" s="295" t="s">
        <v>172</v>
      </c>
      <c r="P81" s="295" t="s">
        <v>170</v>
      </c>
      <c r="Q81" s="295" t="s">
        <v>1220</v>
      </c>
      <c r="S81" s="24"/>
      <c r="T81" s="24"/>
    </row>
    <row r="82" spans="1:36" ht="15.6">
      <c r="A82" s="116"/>
      <c r="B82" s="1264"/>
      <c r="C82" s="21"/>
      <c r="G82" s="117"/>
      <c r="H82" s="1568"/>
      <c r="I82" s="117"/>
      <c r="J82" s="1568"/>
      <c r="K82" s="145"/>
      <c r="L82" s="145"/>
      <c r="N82" s="20"/>
      <c r="P82" s="271"/>
      <c r="Q82" s="271"/>
      <c r="S82" s="24"/>
      <c r="T82" s="24"/>
    </row>
    <row r="83" spans="1:36">
      <c r="A83" s="1149">
        <f>NTA!F35</f>
        <v>14</v>
      </c>
      <c r="B83" s="1149" t="str">
        <f>NTA!C35</f>
        <v>Deferred Tax Assets (Net)</v>
      </c>
      <c r="C83" s="234"/>
      <c r="D83" s="234"/>
      <c r="E83" s="234"/>
      <c r="F83" s="234"/>
      <c r="G83" s="21"/>
      <c r="H83" s="21"/>
      <c r="J83" s="1114" t="str">
        <f>+'Master Sheet'!$C$65</f>
        <v>(Amount in INR)</v>
      </c>
      <c r="K83" s="117"/>
      <c r="L83" s="117"/>
      <c r="M83" s="117"/>
      <c r="N83" s="117"/>
      <c r="P83" s="271"/>
      <c r="Q83" s="271"/>
      <c r="V83" s="2"/>
      <c r="W83" s="2"/>
    </row>
    <row r="84" spans="1:36" ht="15" customHeight="1">
      <c r="A84" s="235"/>
      <c r="B84" s="1323" t="s">
        <v>500</v>
      </c>
      <c r="C84" s="1323"/>
      <c r="D84" s="1323"/>
      <c r="E84" s="1323"/>
      <c r="F84" s="1323"/>
      <c r="G84" s="834"/>
      <c r="H84" s="1153" t="e">
        <f ca="1">BS_CY</f>
        <v>#NAME?</v>
      </c>
      <c r="I84" s="813"/>
      <c r="J84" s="1151" t="e">
        <f ca="1">BS_PY</f>
        <v>#NAME?</v>
      </c>
      <c r="K84" s="100"/>
      <c r="L84" s="100"/>
      <c r="M84" s="100"/>
      <c r="N84" s="100"/>
      <c r="P84" s="271"/>
      <c r="Q84" s="271"/>
      <c r="S84" s="588"/>
      <c r="T84" s="29"/>
      <c r="U84" s="588"/>
      <c r="V84" s="2"/>
      <c r="W84" s="2"/>
      <c r="X84" s="209"/>
      <c r="Y84" s="209"/>
      <c r="Z84" s="209"/>
    </row>
    <row r="85" spans="1:36" ht="15" customHeight="1">
      <c r="B85" s="68" t="s">
        <v>1221</v>
      </c>
      <c r="C85" s="81"/>
      <c r="D85" s="81"/>
      <c r="E85" s="81"/>
      <c r="F85" s="81"/>
      <c r="G85" s="137"/>
      <c r="H85" s="137"/>
      <c r="I85" s="121"/>
      <c r="J85" s="121"/>
      <c r="K85" s="117"/>
      <c r="L85" s="117"/>
      <c r="M85" s="117"/>
      <c r="N85" s="117"/>
      <c r="P85" s="271"/>
      <c r="Q85" s="271"/>
      <c r="T85" s="29"/>
      <c r="V85" s="2"/>
      <c r="W85" s="2"/>
    </row>
    <row r="86" spans="1:36" ht="15" customHeight="1">
      <c r="B86" s="68" t="s">
        <v>1222</v>
      </c>
      <c r="C86" s="58"/>
      <c r="D86" s="58"/>
      <c r="E86" s="58"/>
      <c r="F86" s="58"/>
      <c r="G86" s="137"/>
      <c r="H86" s="129">
        <f ca="1">IFERROR(INDEX(INDIRECT(VLOOKUP($U86,Source_Master,2,0),),MATCH(TEXT($Q86,0),INDIRECT(VLOOKUP($U86,Source_Master,4,0)),0),MATCH(H$1,INDIRECT(VLOOKUP($U86,Source_Master,3,0),),0)),0)</f>
        <v>0</v>
      </c>
      <c r="I86" s="351"/>
      <c r="J86" s="348">
        <f ca="1">IFERROR(INDEX(INDIRECT(VLOOKUP($U86,Source_Master,2,0),),MATCH(TEXT($Q86,0),INDIRECT(VLOOKUP($U86,Source_Master,4,0)),0),MATCH(J$1,INDIRECT(VLOOKUP($U86,Source_Master,3,0),),0)),0)</f>
        <v>0</v>
      </c>
      <c r="K86" s="1574"/>
      <c r="L86" s="1574"/>
      <c r="M86" s="1574"/>
      <c r="N86" s="1574"/>
      <c r="O86" s="1152" t="str">
        <f t="shared" ref="O86:O88" ca="1" si="14">IF(AND(H86=0,J86=0),"##H","")</f>
        <v>##H</v>
      </c>
      <c r="P86" s="271"/>
      <c r="Q86" s="271" t="s">
        <v>512</v>
      </c>
      <c r="T86" s="29"/>
      <c r="U86" s="271" t="s">
        <v>50</v>
      </c>
      <c r="V86" s="2"/>
      <c r="W86" s="2"/>
    </row>
    <row r="87" spans="1:36" ht="15" hidden="1" customHeight="1">
      <c r="B87" s="68" t="s">
        <v>1223</v>
      </c>
      <c r="C87" s="58"/>
      <c r="D87" s="58"/>
      <c r="E87" s="58"/>
      <c r="F87" s="58"/>
      <c r="G87" s="819"/>
      <c r="H87" s="230">
        <f ca="1">-IFERROR(INDEX(INDIRECT(VLOOKUP($U87,Source_Master,2,0),),MATCH(TEXT($Q87,0),INDIRECT(VLOOKUP($U87,Source_Master,4,0)),0),MATCH(H$1,INDIRECT(VLOOKUP($U87,Source_Master,3,0),),0)),0)</f>
        <v>0</v>
      </c>
      <c r="I87" s="835"/>
      <c r="J87" s="349">
        <f ca="1">-IFERROR(INDEX(INDIRECT(VLOOKUP($U87,Source_Master,2,0),),MATCH(TEXT($Q87,0),INDIRECT(VLOOKUP($U87,Source_Master,4,0)),0),MATCH(J$1,INDIRECT(VLOOKUP($U87,Source_Master,3,0),),0)),0)</f>
        <v>0</v>
      </c>
      <c r="K87" s="1574"/>
      <c r="L87" s="1574"/>
      <c r="M87" s="1574"/>
      <c r="N87" s="1574"/>
      <c r="O87" s="1152" t="str">
        <f t="shared" ca="1" si="14"/>
        <v>##H</v>
      </c>
      <c r="P87" s="271"/>
      <c r="Q87" s="271" t="s">
        <v>531</v>
      </c>
      <c r="T87" s="29"/>
      <c r="U87" s="271" t="s">
        <v>50</v>
      </c>
      <c r="V87" s="2"/>
      <c r="W87" s="2"/>
    </row>
    <row r="88" spans="1:36" ht="15" customHeight="1">
      <c r="B88" s="232" t="s">
        <v>1224</v>
      </c>
      <c r="C88" s="179"/>
      <c r="D88" s="179"/>
      <c r="E88" s="179"/>
      <c r="F88" s="179"/>
      <c r="G88" s="813"/>
      <c r="H88" s="69">
        <f ca="1">SUM(H86:H87)</f>
        <v>0</v>
      </c>
      <c r="I88" s="817"/>
      <c r="J88" s="350">
        <f ca="1">SUM(J86:J87)</f>
        <v>0</v>
      </c>
      <c r="K88" s="1574"/>
      <c r="L88" s="1574"/>
      <c r="M88" s="1574"/>
      <c r="N88" s="1574"/>
      <c r="O88" s="1152" t="str">
        <f t="shared" ca="1" si="14"/>
        <v>##H</v>
      </c>
      <c r="P88" s="271"/>
      <c r="Q88" s="271"/>
      <c r="S88" s="24"/>
      <c r="T88" s="285"/>
      <c r="V88" s="2"/>
      <c r="W88" s="2"/>
    </row>
    <row r="89" spans="1:36">
      <c r="A89" s="46"/>
      <c r="B89" s="1264"/>
      <c r="C89" s="233"/>
      <c r="D89" s="233"/>
      <c r="E89" s="233"/>
      <c r="F89" s="233"/>
      <c r="G89" s="32"/>
      <c r="H89" s="32"/>
      <c r="I89" s="32"/>
      <c r="J89" s="32"/>
      <c r="K89" s="32"/>
      <c r="L89" s="32"/>
      <c r="N89" s="20"/>
      <c r="P89" s="271"/>
      <c r="Q89" s="271"/>
      <c r="S89" s="24"/>
      <c r="T89" s="24"/>
      <c r="U89" s="608"/>
      <c r="W89" s="1113">
        <f ca="1">('NT BS1'!H86+'NT BS1'!H87)-'NT BS1'!H88</f>
        <v>0</v>
      </c>
      <c r="X89" s="1113">
        <f ca="1">('NT BS1'!J86+'NT BS1'!J87)-'NT BS1'!J88</f>
        <v>0</v>
      </c>
      <c r="Y89" s="20" t="s">
        <v>1225</v>
      </c>
    </row>
    <row r="90" spans="1:36">
      <c r="B90" s="1149">
        <f>NTA!F36</f>
        <v>14.1</v>
      </c>
      <c r="C90" s="1154" t="str">
        <f>NTA!C36</f>
        <v>Movement in Deferred Tax Assets/(Liabilities)</v>
      </c>
      <c r="D90" s="249"/>
      <c r="E90" s="249"/>
      <c r="F90" s="249"/>
      <c r="H90" s="20"/>
      <c r="J90" s="20"/>
      <c r="K90" s="117"/>
      <c r="L90" s="117"/>
      <c r="M90" s="117"/>
      <c r="N90" s="20"/>
      <c r="P90" s="271"/>
      <c r="Q90" s="271"/>
      <c r="S90" s="595"/>
    </row>
    <row r="91" spans="1:36" ht="6.75" customHeight="1">
      <c r="B91" s="210"/>
      <c r="C91" s="248"/>
      <c r="D91" s="249"/>
      <c r="E91" s="249"/>
      <c r="F91" s="249"/>
      <c r="H91" s="20"/>
      <c r="J91" s="211"/>
      <c r="K91" s="117"/>
      <c r="L91" s="117"/>
      <c r="M91" s="117"/>
      <c r="N91" s="20"/>
      <c r="P91" s="271"/>
      <c r="Q91" s="271"/>
      <c r="S91" s="595"/>
    </row>
    <row r="92" spans="1:36">
      <c r="B92" s="210"/>
      <c r="C92" s="1155" t="e">
        <f ca="1">PL_Period_CY</f>
        <v>#NAME?</v>
      </c>
      <c r="D92" s="249"/>
      <c r="E92" s="249"/>
      <c r="F92" s="249"/>
      <c r="H92" s="20"/>
      <c r="J92" s="1114" t="str">
        <f>+'Master Sheet'!$C$65</f>
        <v>(Amount in INR)</v>
      </c>
      <c r="K92" s="117"/>
      <c r="L92" s="117"/>
      <c r="M92" s="117"/>
      <c r="N92" s="20"/>
      <c r="P92" s="271"/>
      <c r="Q92" s="271"/>
      <c r="S92" s="595"/>
    </row>
    <row r="93" spans="1:36" ht="12.75" customHeight="1">
      <c r="B93" s="222"/>
      <c r="C93" s="1325" t="s">
        <v>500</v>
      </c>
      <c r="D93" s="1325"/>
      <c r="E93" s="1325"/>
      <c r="F93" s="1327" t="e">
        <f ca="1">BS_PY</f>
        <v>#NAME?</v>
      </c>
      <c r="G93" s="1329" t="s">
        <v>1226</v>
      </c>
      <c r="H93" s="1329"/>
      <c r="I93" s="1329"/>
      <c r="J93" s="1319" t="e">
        <f ca="1">BS_CY</f>
        <v>#NAME?</v>
      </c>
      <c r="K93" s="31"/>
      <c r="L93" s="31"/>
      <c r="M93" s="31"/>
      <c r="N93" s="31"/>
      <c r="P93" s="271"/>
      <c r="Q93" s="271"/>
      <c r="T93" s="595"/>
    </row>
    <row r="94" spans="1:36" ht="52.9">
      <c r="B94" s="222"/>
      <c r="C94" s="1326"/>
      <c r="D94" s="1326"/>
      <c r="E94" s="1326"/>
      <c r="F94" s="1328"/>
      <c r="G94" s="605" t="s">
        <v>1227</v>
      </c>
      <c r="H94" s="605" t="s">
        <v>1228</v>
      </c>
      <c r="I94" s="605" t="s">
        <v>1229</v>
      </c>
      <c r="J94" s="1320"/>
      <c r="K94" s="31"/>
      <c r="L94" s="31"/>
      <c r="M94" s="31"/>
      <c r="N94" s="31"/>
      <c r="P94" s="271"/>
      <c r="Q94" s="271"/>
      <c r="T94" s="595"/>
    </row>
    <row r="95" spans="1:36" ht="27" customHeight="1">
      <c r="B95" s="1579"/>
      <c r="C95" s="1331" t="s">
        <v>1230</v>
      </c>
      <c r="D95" s="1331"/>
      <c r="E95" s="32"/>
      <c r="F95" s="551"/>
      <c r="G95" s="551"/>
      <c r="H95" s="551"/>
      <c r="I95" s="551"/>
      <c r="J95" s="554"/>
      <c r="K95" s="21"/>
      <c r="L95" s="21"/>
      <c r="M95" s="21"/>
      <c r="N95" s="21"/>
      <c r="P95" s="271"/>
      <c r="Q95" s="271"/>
      <c r="T95" s="31"/>
      <c r="V95" s="2"/>
      <c r="W95" s="2"/>
      <c r="X95" s="209"/>
      <c r="Y95" s="209"/>
      <c r="Z95" s="209"/>
    </row>
    <row r="96" spans="1:36" ht="15" customHeight="1">
      <c r="A96" s="201"/>
      <c r="B96" s="1244"/>
      <c r="C96" s="251" t="s">
        <v>1231</v>
      </c>
      <c r="D96" s="252"/>
      <c r="E96" s="79"/>
      <c r="F96" s="852">
        <f ca="1">J112</f>
        <v>0</v>
      </c>
      <c r="G96" s="852">
        <f ca="1">J96-F96-H96-I96</f>
        <v>0</v>
      </c>
      <c r="H96" s="552"/>
      <c r="I96" s="552"/>
      <c r="J96" s="853">
        <f t="shared" ref="J96:J105" ca="1" si="15">IFERROR(INDEX(INDIRECT(VLOOKUP($U96,Source_Master,2,0),),MATCH(TEXT($Q96,0),INDIRECT(VLOOKUP($U96,Source_Master,4,0)),0),MATCH(H$1,INDIRECT(VLOOKUP($U96,Source_Master,3,0),),0)),0)</f>
        <v>0</v>
      </c>
      <c r="K96" s="1574"/>
      <c r="L96" s="1574"/>
      <c r="M96" s="1574"/>
      <c r="N96" s="1574"/>
      <c r="O96" s="1156" t="str">
        <f ca="1">IF(AND(F96=0,G96=0,H96=0,I96=0),"##H","")</f>
        <v>##H</v>
      </c>
      <c r="Q96" s="271" t="s">
        <v>1232</v>
      </c>
      <c r="S96" s="432"/>
      <c r="T96" s="24"/>
      <c r="U96" s="271" t="s">
        <v>51</v>
      </c>
      <c r="V96" s="253"/>
      <c r="W96" s="253"/>
      <c r="X96" s="254"/>
      <c r="Y96" s="254"/>
      <c r="Z96" s="254"/>
      <c r="AA96" s="253"/>
      <c r="AB96" s="253"/>
      <c r="AC96" s="253"/>
      <c r="AD96" s="253"/>
      <c r="AE96" s="253"/>
      <c r="AF96" s="253"/>
      <c r="AG96" s="253"/>
      <c r="AH96" s="253"/>
      <c r="AI96" s="253"/>
      <c r="AJ96" s="253"/>
    </row>
    <row r="97" spans="1:36" ht="15" customHeight="1">
      <c r="A97" s="201"/>
      <c r="B97" s="1244"/>
      <c r="C97" s="251" t="s">
        <v>433</v>
      </c>
      <c r="D97" s="252"/>
      <c r="E97" s="79"/>
      <c r="F97" s="852">
        <f t="shared" ref="F97:F105" ca="1" si="16">J113</f>
        <v>0</v>
      </c>
      <c r="G97" s="852">
        <f t="shared" ref="G97:G105" ca="1" si="17">J97-F97-H97-I97</f>
        <v>0</v>
      </c>
      <c r="H97" s="552"/>
      <c r="I97" s="552"/>
      <c r="J97" s="853">
        <f t="shared" ca="1" si="15"/>
        <v>0</v>
      </c>
      <c r="K97" s="1574"/>
      <c r="L97" s="1574"/>
      <c r="M97" s="1574"/>
      <c r="N97" s="1574"/>
      <c r="O97" s="1156" t="str">
        <f t="shared" ref="O97:O106" ca="1" si="18">IF(AND(F97=0,G97=0,H97=0,I97=0),"##H","")</f>
        <v>##H</v>
      </c>
      <c r="Q97" s="271" t="s">
        <v>1233</v>
      </c>
      <c r="S97" s="432"/>
      <c r="T97" s="24"/>
      <c r="U97" s="271" t="s">
        <v>51</v>
      </c>
      <c r="V97" s="253"/>
      <c r="W97" s="253"/>
      <c r="X97" s="254"/>
      <c r="Y97" s="254"/>
      <c r="Z97" s="254"/>
      <c r="AA97" s="253"/>
      <c r="AB97" s="253"/>
      <c r="AC97" s="253"/>
      <c r="AD97" s="253"/>
      <c r="AE97" s="253"/>
      <c r="AF97" s="253"/>
      <c r="AG97" s="253"/>
      <c r="AH97" s="253"/>
      <c r="AI97" s="253"/>
      <c r="AJ97" s="253"/>
    </row>
    <row r="98" spans="1:36" ht="15" customHeight="1">
      <c r="A98" s="201"/>
      <c r="B98" s="1244"/>
      <c r="C98" s="251" t="s">
        <v>328</v>
      </c>
      <c r="D98" s="252"/>
      <c r="E98" s="79"/>
      <c r="F98" s="852">
        <f t="shared" ca="1" si="16"/>
        <v>0</v>
      </c>
      <c r="G98" s="852">
        <f t="shared" ca="1" si="17"/>
        <v>0</v>
      </c>
      <c r="H98" s="552"/>
      <c r="I98" s="552"/>
      <c r="J98" s="853">
        <f t="shared" ca="1" si="15"/>
        <v>0</v>
      </c>
      <c r="K98" s="1574"/>
      <c r="L98" s="1574"/>
      <c r="M98" s="1574"/>
      <c r="N98" s="1574"/>
      <c r="O98" s="1156" t="str">
        <f t="shared" ca="1" si="18"/>
        <v>##H</v>
      </c>
      <c r="Q98" s="271" t="s">
        <v>1234</v>
      </c>
      <c r="S98" s="432"/>
      <c r="T98" s="24"/>
      <c r="U98" s="271" t="s">
        <v>51</v>
      </c>
      <c r="V98" s="2"/>
      <c r="W98" s="253"/>
      <c r="X98" s="254"/>
      <c r="Y98" s="254"/>
      <c r="Z98" s="254"/>
      <c r="AA98" s="253"/>
      <c r="AB98" s="253"/>
      <c r="AC98" s="253"/>
      <c r="AD98" s="253"/>
      <c r="AE98" s="253"/>
      <c r="AF98" s="253"/>
      <c r="AG98" s="253"/>
      <c r="AH98" s="253"/>
      <c r="AI98" s="253"/>
      <c r="AJ98" s="253"/>
    </row>
    <row r="99" spans="1:36" ht="15" customHeight="1">
      <c r="A99" s="201"/>
      <c r="B99" s="1244"/>
      <c r="C99" s="251" t="s">
        <v>1235</v>
      </c>
      <c r="D99" s="252"/>
      <c r="E99" s="79"/>
      <c r="F99" s="852">
        <f t="shared" ca="1" si="16"/>
        <v>0</v>
      </c>
      <c r="G99" s="852">
        <f t="shared" ca="1" si="17"/>
        <v>0</v>
      </c>
      <c r="H99" s="552"/>
      <c r="I99" s="552"/>
      <c r="J99" s="853">
        <f t="shared" ca="1" si="15"/>
        <v>0</v>
      </c>
      <c r="K99" s="1574"/>
      <c r="L99" s="1574"/>
      <c r="M99" s="1574"/>
      <c r="N99" s="1574"/>
      <c r="O99" s="1156" t="str">
        <f t="shared" ca="1" si="18"/>
        <v>##H</v>
      </c>
      <c r="Q99" s="271" t="s">
        <v>1236</v>
      </c>
      <c r="S99" s="432"/>
      <c r="T99" s="24"/>
      <c r="U99" s="271" t="s">
        <v>51</v>
      </c>
      <c r="V99" s="253"/>
      <c r="W99" s="253"/>
      <c r="X99" s="254"/>
      <c r="Y99" s="254"/>
      <c r="Z99" s="254"/>
      <c r="AA99" s="253"/>
      <c r="AB99" s="253"/>
      <c r="AC99" s="253"/>
      <c r="AD99" s="253"/>
      <c r="AE99" s="253"/>
      <c r="AF99" s="253"/>
      <c r="AG99" s="253"/>
      <c r="AH99" s="253"/>
      <c r="AI99" s="253"/>
      <c r="AJ99" s="253"/>
    </row>
    <row r="100" spans="1:36" ht="15" customHeight="1">
      <c r="A100" s="201"/>
      <c r="B100" s="1244"/>
      <c r="C100" s="251" t="s">
        <v>1237</v>
      </c>
      <c r="D100" s="252"/>
      <c r="E100" s="79"/>
      <c r="F100" s="852">
        <f t="shared" ca="1" si="16"/>
        <v>0</v>
      </c>
      <c r="G100" s="852">
        <f t="shared" ca="1" si="17"/>
        <v>0</v>
      </c>
      <c r="H100" s="552"/>
      <c r="I100" s="552"/>
      <c r="J100" s="853">
        <f t="shared" ca="1" si="15"/>
        <v>0</v>
      </c>
      <c r="K100" s="1574"/>
      <c r="L100" s="1574"/>
      <c r="M100" s="1574"/>
      <c r="N100" s="1574"/>
      <c r="O100" s="1156" t="str">
        <f t="shared" ca="1" si="18"/>
        <v>##H</v>
      </c>
      <c r="Q100" s="271" t="s">
        <v>1238</v>
      </c>
      <c r="S100" s="432"/>
      <c r="T100" s="24"/>
      <c r="U100" s="271" t="s">
        <v>51</v>
      </c>
      <c r="V100" s="253"/>
      <c r="W100" s="253"/>
      <c r="X100" s="254"/>
      <c r="Y100" s="254"/>
      <c r="Z100" s="254"/>
      <c r="AA100" s="253"/>
      <c r="AB100" s="253"/>
      <c r="AC100" s="253"/>
      <c r="AD100" s="253"/>
      <c r="AE100" s="253"/>
      <c r="AF100" s="253"/>
      <c r="AG100" s="253"/>
      <c r="AH100" s="253"/>
      <c r="AI100" s="253"/>
      <c r="AJ100" s="253"/>
    </row>
    <row r="101" spans="1:36" ht="15" customHeight="1">
      <c r="A101" s="201"/>
      <c r="B101" s="1244"/>
      <c r="C101" s="255" t="s">
        <v>1239</v>
      </c>
      <c r="D101" s="170"/>
      <c r="E101" s="79"/>
      <c r="F101" s="852">
        <f t="shared" ca="1" si="16"/>
        <v>0</v>
      </c>
      <c r="G101" s="852">
        <f t="shared" ca="1" si="17"/>
        <v>0</v>
      </c>
      <c r="H101" s="552"/>
      <c r="I101" s="552"/>
      <c r="J101" s="853">
        <f t="shared" ca="1" si="15"/>
        <v>0</v>
      </c>
      <c r="K101" s="1540"/>
      <c r="L101" s="1540"/>
      <c r="M101" s="1540"/>
      <c r="N101" s="1540"/>
      <c r="O101" s="1156" t="str">
        <f t="shared" ca="1" si="18"/>
        <v>##H</v>
      </c>
      <c r="Q101" s="271" t="s">
        <v>1240</v>
      </c>
      <c r="S101" s="432"/>
      <c r="T101" s="432"/>
      <c r="U101" s="271" t="s">
        <v>51</v>
      </c>
      <c r="V101" s="253"/>
      <c r="W101" s="253"/>
      <c r="X101" s="254"/>
      <c r="Y101" s="254"/>
      <c r="Z101" s="254"/>
      <c r="AA101" s="253"/>
      <c r="AB101" s="253"/>
      <c r="AC101" s="253"/>
      <c r="AD101" s="253"/>
      <c r="AE101" s="253"/>
      <c r="AF101" s="253"/>
      <c r="AG101" s="253"/>
      <c r="AH101" s="253"/>
      <c r="AI101" s="253"/>
      <c r="AJ101" s="253"/>
    </row>
    <row r="102" spans="1:36" ht="15" customHeight="1">
      <c r="A102" s="201"/>
      <c r="B102" s="1244"/>
      <c r="C102" s="251" t="s">
        <v>1241</v>
      </c>
      <c r="D102" s="252"/>
      <c r="E102" s="79"/>
      <c r="F102" s="852">
        <f t="shared" ca="1" si="16"/>
        <v>0</v>
      </c>
      <c r="G102" s="852">
        <f t="shared" ca="1" si="17"/>
        <v>0</v>
      </c>
      <c r="H102" s="552"/>
      <c r="I102" s="552"/>
      <c r="J102" s="853">
        <f t="shared" ca="1" si="15"/>
        <v>0</v>
      </c>
      <c r="K102" s="1574"/>
      <c r="L102" s="1574"/>
      <c r="M102" s="1574"/>
      <c r="N102" s="1574"/>
      <c r="O102" s="1156" t="str">
        <f t="shared" ca="1" si="18"/>
        <v>##H</v>
      </c>
      <c r="Q102" s="271" t="s">
        <v>1242</v>
      </c>
      <c r="T102" s="24"/>
      <c r="U102" s="271" t="s">
        <v>51</v>
      </c>
      <c r="V102" s="253"/>
      <c r="W102" s="253"/>
      <c r="X102" s="254"/>
      <c r="Y102" s="254"/>
      <c r="Z102" s="254"/>
      <c r="AA102" s="253"/>
      <c r="AB102" s="253"/>
      <c r="AC102" s="253"/>
      <c r="AD102" s="253"/>
      <c r="AE102" s="253"/>
      <c r="AF102" s="253"/>
      <c r="AG102" s="253"/>
      <c r="AH102" s="253"/>
      <c r="AI102" s="253"/>
      <c r="AJ102" s="253"/>
    </row>
    <row r="103" spans="1:36" ht="15" customHeight="1">
      <c r="A103" s="201"/>
      <c r="B103" s="1244"/>
      <c r="C103" s="251" t="s">
        <v>1243</v>
      </c>
      <c r="D103" s="252"/>
      <c r="E103" s="79"/>
      <c r="F103" s="852">
        <f t="shared" ca="1" si="16"/>
        <v>0</v>
      </c>
      <c r="G103" s="852">
        <f t="shared" ca="1" si="17"/>
        <v>0</v>
      </c>
      <c r="H103" s="552"/>
      <c r="I103" s="552"/>
      <c r="J103" s="853">
        <f t="shared" ca="1" si="15"/>
        <v>0</v>
      </c>
      <c r="K103" s="1574"/>
      <c r="L103" s="1574"/>
      <c r="M103" s="1574"/>
      <c r="N103" s="1574"/>
      <c r="O103" s="1156" t="str">
        <f t="shared" ca="1" si="18"/>
        <v>##H</v>
      </c>
      <c r="Q103" s="271" t="s">
        <v>1244</v>
      </c>
      <c r="T103" s="24"/>
      <c r="U103" s="271" t="s">
        <v>51</v>
      </c>
      <c r="V103" s="253"/>
      <c r="W103" s="253"/>
      <c r="X103" s="254"/>
      <c r="Y103" s="254"/>
      <c r="Z103" s="254"/>
      <c r="AA103" s="253"/>
      <c r="AB103" s="253"/>
      <c r="AC103" s="253"/>
      <c r="AD103" s="253"/>
      <c r="AE103" s="253"/>
      <c r="AF103" s="253"/>
      <c r="AG103" s="253"/>
      <c r="AH103" s="253"/>
      <c r="AI103" s="253"/>
      <c r="AJ103" s="253"/>
    </row>
    <row r="104" spans="1:36" ht="15" customHeight="1">
      <c r="A104" s="201"/>
      <c r="B104" s="1244"/>
      <c r="C104" s="251" t="s">
        <v>1245</v>
      </c>
      <c r="D104" s="252"/>
      <c r="E104" s="79"/>
      <c r="F104" s="852">
        <f t="shared" ca="1" si="16"/>
        <v>0</v>
      </c>
      <c r="G104" s="852">
        <f t="shared" ca="1" si="17"/>
        <v>0</v>
      </c>
      <c r="H104" s="552"/>
      <c r="I104" s="552"/>
      <c r="J104" s="853">
        <f t="shared" ca="1" si="15"/>
        <v>0</v>
      </c>
      <c r="K104" s="1574"/>
      <c r="L104" s="1574"/>
      <c r="M104" s="1574"/>
      <c r="N104" s="1574"/>
      <c r="O104" s="1156" t="str">
        <f t="shared" ca="1" si="18"/>
        <v>##H</v>
      </c>
      <c r="Q104" s="271" t="s">
        <v>1246</v>
      </c>
      <c r="T104" s="24"/>
      <c r="U104" s="271" t="s">
        <v>51</v>
      </c>
      <c r="V104" s="253"/>
      <c r="W104" s="253"/>
      <c r="X104" s="254"/>
      <c r="Y104" s="254"/>
      <c r="Z104" s="254"/>
      <c r="AA104" s="253"/>
      <c r="AB104" s="253"/>
      <c r="AC104" s="253"/>
      <c r="AD104" s="253"/>
      <c r="AE104" s="253"/>
      <c r="AF104" s="253"/>
      <c r="AG104" s="253"/>
      <c r="AH104" s="253"/>
      <c r="AI104" s="253"/>
      <c r="AJ104" s="253"/>
    </row>
    <row r="105" spans="1:36" ht="15" customHeight="1">
      <c r="A105" s="201"/>
      <c r="B105" s="1244"/>
      <c r="C105" s="256" t="s">
        <v>1247</v>
      </c>
      <c r="D105" s="226"/>
      <c r="E105" s="215"/>
      <c r="F105" s="852">
        <f t="shared" ca="1" si="16"/>
        <v>0</v>
      </c>
      <c r="G105" s="852">
        <f t="shared" ca="1" si="17"/>
        <v>0</v>
      </c>
      <c r="H105" s="553"/>
      <c r="I105" s="553"/>
      <c r="J105" s="854">
        <f t="shared" ca="1" si="15"/>
        <v>0</v>
      </c>
      <c r="K105" s="1574"/>
      <c r="L105" s="1574"/>
      <c r="M105" s="1574"/>
      <c r="N105" s="1574"/>
      <c r="O105" s="1156" t="str">
        <f t="shared" ca="1" si="18"/>
        <v>##H</v>
      </c>
      <c r="Q105" s="271" t="s">
        <v>1248</v>
      </c>
      <c r="T105" s="24"/>
      <c r="U105" s="271" t="s">
        <v>51</v>
      </c>
      <c r="V105" s="253"/>
      <c r="W105" s="253"/>
      <c r="X105" s="254"/>
      <c r="Y105" s="254"/>
      <c r="Z105" s="254"/>
      <c r="AA105" s="253"/>
      <c r="AB105" s="253"/>
      <c r="AC105" s="253"/>
      <c r="AD105" s="253"/>
      <c r="AE105" s="253"/>
      <c r="AF105" s="253"/>
      <c r="AG105" s="253"/>
      <c r="AH105" s="253"/>
      <c r="AI105" s="253"/>
      <c r="AJ105" s="253"/>
    </row>
    <row r="106" spans="1:36" ht="15" customHeight="1">
      <c r="A106" s="201"/>
      <c r="B106" s="1244"/>
      <c r="C106" s="257" t="s">
        <v>1224</v>
      </c>
      <c r="D106" s="257"/>
      <c r="E106" s="258"/>
      <c r="F106" s="855">
        <f ca="1">SUM(F96:F105)</f>
        <v>0</v>
      </c>
      <c r="G106" s="855">
        <f ca="1">SUM(G96:G105)</f>
        <v>0</v>
      </c>
      <c r="H106" s="855">
        <f>SUM(H96:H105)</f>
        <v>0</v>
      </c>
      <c r="I106" s="855">
        <f>SUM(I96:I105)</f>
        <v>0</v>
      </c>
      <c r="J106" s="856">
        <f ca="1">SUM(J96:J105)</f>
        <v>0</v>
      </c>
      <c r="K106" s="1573"/>
      <c r="L106" s="1573"/>
      <c r="M106" s="1573"/>
      <c r="N106" s="1573"/>
      <c r="O106" s="1156" t="str">
        <f t="shared" ca="1" si="18"/>
        <v>##H</v>
      </c>
      <c r="P106" s="271"/>
      <c r="Q106" s="432"/>
      <c r="S106" s="432"/>
      <c r="T106" s="31"/>
      <c r="V106" s="253"/>
      <c r="W106" s="253"/>
      <c r="X106" s="254"/>
      <c r="Y106" s="254"/>
      <c r="Z106" s="254"/>
      <c r="AA106" s="253"/>
      <c r="AB106" s="253"/>
      <c r="AC106" s="253"/>
      <c r="AD106" s="253"/>
      <c r="AE106" s="253"/>
      <c r="AF106" s="253"/>
      <c r="AG106" s="253"/>
      <c r="AH106" s="253"/>
      <c r="AI106" s="253"/>
      <c r="AJ106" s="253"/>
    </row>
    <row r="107" spans="1:36">
      <c r="B107" s="1264"/>
      <c r="C107" s="210"/>
      <c r="D107" s="210"/>
      <c r="E107" s="210"/>
      <c r="F107" s="210"/>
      <c r="G107" s="1569"/>
      <c r="H107" s="1569"/>
      <c r="I107" s="1569"/>
      <c r="J107" s="1569"/>
      <c r="K107" s="1569"/>
      <c r="L107" s="1569"/>
      <c r="N107" s="20"/>
      <c r="P107" s="271"/>
      <c r="Q107" s="271"/>
      <c r="U107" s="595"/>
    </row>
    <row r="108" spans="1:36">
      <c r="B108" s="210"/>
      <c r="C108" s="1155" t="e">
        <f ca="1">PL_Period_PY</f>
        <v>#NAME?</v>
      </c>
      <c r="D108" s="249"/>
      <c r="E108" s="249"/>
      <c r="F108" s="249"/>
      <c r="H108" s="20"/>
      <c r="J108" s="211"/>
      <c r="K108" s="1569"/>
      <c r="L108" s="1569"/>
      <c r="N108" s="20"/>
      <c r="P108" s="271"/>
      <c r="Q108" s="271"/>
      <c r="U108" s="595"/>
    </row>
    <row r="109" spans="1:36" ht="13.15" customHeight="1">
      <c r="B109" s="259"/>
      <c r="C109" s="1325" t="s">
        <v>500</v>
      </c>
      <c r="D109" s="1325"/>
      <c r="E109" s="1325"/>
      <c r="F109" s="1327" t="e">
        <f ca="1">BS_PPY</f>
        <v>#NAME?</v>
      </c>
      <c r="G109" s="1329" t="s">
        <v>1226</v>
      </c>
      <c r="H109" s="1329"/>
      <c r="I109" s="1329"/>
      <c r="J109" s="1332" t="e">
        <f ca="1">BS_PY</f>
        <v>#NAME?</v>
      </c>
      <c r="K109" s="1569"/>
      <c r="L109" s="1569"/>
      <c r="N109" s="20"/>
      <c r="P109" s="271"/>
      <c r="Q109" s="271"/>
      <c r="U109" s="595"/>
    </row>
    <row r="110" spans="1:36" ht="52.9">
      <c r="B110" s="259"/>
      <c r="C110" s="1326"/>
      <c r="D110" s="1326"/>
      <c r="E110" s="1326"/>
      <c r="F110" s="1328"/>
      <c r="G110" s="250" t="s">
        <v>1227</v>
      </c>
      <c r="H110" s="250" t="s">
        <v>1228</v>
      </c>
      <c r="I110" s="250" t="s">
        <v>1229</v>
      </c>
      <c r="J110" s="1333"/>
      <c r="K110" s="1569"/>
      <c r="L110" s="1569"/>
      <c r="N110" s="20"/>
      <c r="P110" s="271"/>
      <c r="Q110" s="271"/>
      <c r="U110" s="595"/>
    </row>
    <row r="111" spans="1:36" ht="15" customHeight="1">
      <c r="B111" s="1579"/>
      <c r="C111" s="1331" t="s">
        <v>1230</v>
      </c>
      <c r="D111" s="1331"/>
      <c r="E111" s="32"/>
      <c r="F111" s="551"/>
      <c r="G111" s="551"/>
      <c r="H111" s="551"/>
      <c r="I111" s="551"/>
      <c r="J111" s="555"/>
      <c r="K111" s="1569"/>
      <c r="L111" s="1569"/>
      <c r="N111" s="20"/>
      <c r="P111" s="271"/>
      <c r="Q111" s="271"/>
      <c r="U111" s="595"/>
    </row>
    <row r="112" spans="1:36" ht="15" hidden="1" customHeight="1">
      <c r="B112" s="1244"/>
      <c r="C112" s="251" t="s">
        <v>1231</v>
      </c>
      <c r="D112" s="252"/>
      <c r="E112" s="79"/>
      <c r="F112" s="552"/>
      <c r="G112" s="852">
        <f t="shared" ref="G112:G121" ca="1" si="19">J112-F112-H112-I112</f>
        <v>0</v>
      </c>
      <c r="H112" s="552"/>
      <c r="I112" s="552"/>
      <c r="J112" s="1157">
        <f t="shared" ref="J112:J121" ca="1" si="20">IFERROR(INDEX(INDIRECT(VLOOKUP($U112,Source_Master,2,0),),MATCH(TEXT($Q112,0),INDIRECT(VLOOKUP($U112,Source_Master,4,0)),0),MATCH(J$1,INDIRECT(VLOOKUP($U112,Source_Master,3,0),),0)),0)</f>
        <v>0</v>
      </c>
      <c r="K112" s="1569"/>
      <c r="L112" s="1569"/>
      <c r="N112" s="20"/>
      <c r="O112" s="1156" t="str">
        <f t="shared" ref="O112:O122" ca="1" si="21">IF(AND(F112=0,G112=0,H112=0,I112=0),"##H","")</f>
        <v>##H</v>
      </c>
      <c r="P112" s="271"/>
      <c r="Q112" s="271" t="s">
        <v>1232</v>
      </c>
      <c r="U112" s="271" t="s">
        <v>51</v>
      </c>
    </row>
    <row r="113" spans="1:21" ht="15" hidden="1" customHeight="1">
      <c r="B113" s="1244"/>
      <c r="C113" s="251" t="s">
        <v>433</v>
      </c>
      <c r="D113" s="252"/>
      <c r="E113" s="79"/>
      <c r="F113" s="552"/>
      <c r="G113" s="852">
        <f t="shared" ca="1" si="19"/>
        <v>0</v>
      </c>
      <c r="H113" s="552"/>
      <c r="I113" s="552"/>
      <c r="J113" s="1157">
        <f t="shared" ca="1" si="20"/>
        <v>0</v>
      </c>
      <c r="K113" s="1569"/>
      <c r="L113" s="1569"/>
      <c r="N113" s="20"/>
      <c r="O113" s="1156" t="str">
        <f t="shared" ca="1" si="21"/>
        <v>##H</v>
      </c>
      <c r="P113" s="271"/>
      <c r="Q113" s="271" t="s">
        <v>1233</v>
      </c>
      <c r="U113" s="271" t="s">
        <v>51</v>
      </c>
    </row>
    <row r="114" spans="1:21" ht="15" hidden="1" customHeight="1">
      <c r="B114" s="1244"/>
      <c r="C114" s="251" t="s">
        <v>328</v>
      </c>
      <c r="D114" s="252"/>
      <c r="E114" s="79"/>
      <c r="F114" s="552"/>
      <c r="G114" s="852">
        <f t="shared" ca="1" si="19"/>
        <v>0</v>
      </c>
      <c r="H114" s="552"/>
      <c r="I114" s="552"/>
      <c r="J114" s="1157">
        <f t="shared" ca="1" si="20"/>
        <v>0</v>
      </c>
      <c r="K114" s="1569"/>
      <c r="L114" s="1569"/>
      <c r="N114" s="20"/>
      <c r="O114" s="1156" t="str">
        <f t="shared" ca="1" si="21"/>
        <v>##H</v>
      </c>
      <c r="P114" s="271"/>
      <c r="Q114" s="271" t="s">
        <v>1234</v>
      </c>
      <c r="U114" s="271" t="s">
        <v>51</v>
      </c>
    </row>
    <row r="115" spans="1:21" ht="15" hidden="1" customHeight="1">
      <c r="B115" s="1244"/>
      <c r="C115" s="251" t="s">
        <v>1235</v>
      </c>
      <c r="D115" s="252"/>
      <c r="E115" s="79"/>
      <c r="F115" s="552"/>
      <c r="G115" s="852">
        <f t="shared" ca="1" si="19"/>
        <v>0</v>
      </c>
      <c r="H115" s="552"/>
      <c r="I115" s="552"/>
      <c r="J115" s="1157">
        <f t="shared" ca="1" si="20"/>
        <v>0</v>
      </c>
      <c r="K115" s="1569"/>
      <c r="L115" s="1569"/>
      <c r="N115" s="20"/>
      <c r="O115" s="1156" t="str">
        <f t="shared" ca="1" si="21"/>
        <v>##H</v>
      </c>
      <c r="P115" s="271"/>
      <c r="Q115" s="271" t="s">
        <v>1236</v>
      </c>
      <c r="U115" s="271" t="s">
        <v>51</v>
      </c>
    </row>
    <row r="116" spans="1:21" ht="15" hidden="1" customHeight="1">
      <c r="B116" s="1244"/>
      <c r="C116" s="251" t="s">
        <v>1237</v>
      </c>
      <c r="D116" s="252"/>
      <c r="E116" s="79"/>
      <c r="F116" s="552"/>
      <c r="G116" s="852">
        <f t="shared" ca="1" si="19"/>
        <v>0</v>
      </c>
      <c r="H116" s="552"/>
      <c r="I116" s="552"/>
      <c r="J116" s="1157">
        <f t="shared" ca="1" si="20"/>
        <v>0</v>
      </c>
      <c r="K116" s="1569"/>
      <c r="L116" s="1569"/>
      <c r="N116" s="20"/>
      <c r="O116" s="1156" t="str">
        <f t="shared" ca="1" si="21"/>
        <v>##H</v>
      </c>
      <c r="P116" s="271"/>
      <c r="Q116" s="271" t="s">
        <v>1238</v>
      </c>
      <c r="U116" s="271" t="s">
        <v>51</v>
      </c>
    </row>
    <row r="117" spans="1:21" ht="15" hidden="1" customHeight="1">
      <c r="B117" s="1244"/>
      <c r="C117" s="255" t="s">
        <v>1239</v>
      </c>
      <c r="D117" s="252"/>
      <c r="E117" s="79"/>
      <c r="F117" s="552"/>
      <c r="G117" s="852">
        <f t="shared" ca="1" si="19"/>
        <v>0</v>
      </c>
      <c r="H117" s="552"/>
      <c r="I117" s="552"/>
      <c r="J117" s="1157">
        <f t="shared" ca="1" si="20"/>
        <v>0</v>
      </c>
      <c r="K117" s="1569"/>
      <c r="L117" s="1569"/>
      <c r="N117" s="20"/>
      <c r="O117" s="1156" t="str">
        <f t="shared" ca="1" si="21"/>
        <v>##H</v>
      </c>
      <c r="P117" s="271"/>
      <c r="Q117" s="271" t="s">
        <v>1240</v>
      </c>
      <c r="U117" s="271" t="s">
        <v>51</v>
      </c>
    </row>
    <row r="118" spans="1:21" ht="15" hidden="1" customHeight="1">
      <c r="B118" s="1244"/>
      <c r="C118" s="251" t="s">
        <v>1241</v>
      </c>
      <c r="D118" s="252"/>
      <c r="E118" s="79"/>
      <c r="F118" s="552"/>
      <c r="G118" s="852">
        <f t="shared" ca="1" si="19"/>
        <v>0</v>
      </c>
      <c r="H118" s="552"/>
      <c r="I118" s="552"/>
      <c r="J118" s="1157">
        <f t="shared" ca="1" si="20"/>
        <v>0</v>
      </c>
      <c r="K118" s="1569"/>
      <c r="L118" s="1569"/>
      <c r="N118" s="20"/>
      <c r="O118" s="1156" t="str">
        <f t="shared" ca="1" si="21"/>
        <v>##H</v>
      </c>
      <c r="P118" s="271"/>
      <c r="Q118" s="271" t="s">
        <v>1242</v>
      </c>
      <c r="U118" s="271" t="s">
        <v>51</v>
      </c>
    </row>
    <row r="119" spans="1:21" ht="15" hidden="1" customHeight="1">
      <c r="B119" s="1244"/>
      <c r="C119" s="251" t="s">
        <v>1243</v>
      </c>
      <c r="D119" s="236"/>
      <c r="E119" s="79"/>
      <c r="F119" s="552"/>
      <c r="G119" s="852">
        <f t="shared" ca="1" si="19"/>
        <v>0</v>
      </c>
      <c r="H119" s="552"/>
      <c r="I119" s="552"/>
      <c r="J119" s="1157">
        <f t="shared" ca="1" si="20"/>
        <v>0</v>
      </c>
      <c r="K119" s="1569"/>
      <c r="L119" s="1569"/>
      <c r="N119" s="20"/>
      <c r="O119" s="1156" t="str">
        <f t="shared" ca="1" si="21"/>
        <v>##H</v>
      </c>
      <c r="P119" s="271"/>
      <c r="Q119" s="271" t="s">
        <v>1244</v>
      </c>
      <c r="U119" s="271" t="s">
        <v>51</v>
      </c>
    </row>
    <row r="120" spans="1:21" ht="15" hidden="1" customHeight="1">
      <c r="B120" s="1244"/>
      <c r="C120" s="251" t="s">
        <v>1245</v>
      </c>
      <c r="D120" s="260"/>
      <c r="E120" s="79"/>
      <c r="F120" s="552"/>
      <c r="G120" s="852">
        <f t="shared" ca="1" si="19"/>
        <v>0</v>
      </c>
      <c r="H120" s="552"/>
      <c r="I120" s="552"/>
      <c r="J120" s="1157">
        <f t="shared" ca="1" si="20"/>
        <v>0</v>
      </c>
      <c r="K120" s="1569"/>
      <c r="L120" s="1569"/>
      <c r="N120" s="20"/>
      <c r="O120" s="1156" t="str">
        <f t="shared" ca="1" si="21"/>
        <v>##H</v>
      </c>
      <c r="P120" s="271"/>
      <c r="Q120" s="271" t="s">
        <v>1246</v>
      </c>
      <c r="U120" s="271" t="s">
        <v>51</v>
      </c>
    </row>
    <row r="121" spans="1:21" ht="15" hidden="1" customHeight="1">
      <c r="B121" s="1244"/>
      <c r="C121" s="256" t="s">
        <v>1247</v>
      </c>
      <c r="D121" s="170"/>
      <c r="E121" s="79"/>
      <c r="F121" s="552"/>
      <c r="G121" s="852">
        <f t="shared" ca="1" si="19"/>
        <v>0</v>
      </c>
      <c r="H121" s="552"/>
      <c r="I121" s="552"/>
      <c r="J121" s="1157">
        <f t="shared" ca="1" si="20"/>
        <v>0</v>
      </c>
      <c r="K121" s="1569"/>
      <c r="L121" s="1569"/>
      <c r="N121" s="20"/>
      <c r="O121" s="1156" t="str">
        <f t="shared" ca="1" si="21"/>
        <v>##H</v>
      </c>
      <c r="P121" s="271"/>
      <c r="Q121" s="271" t="s">
        <v>1248</v>
      </c>
      <c r="U121" s="271" t="s">
        <v>51</v>
      </c>
    </row>
    <row r="122" spans="1:21" ht="15" hidden="1" customHeight="1">
      <c r="B122" s="1244"/>
      <c r="C122" s="257" t="s">
        <v>1224</v>
      </c>
      <c r="D122" s="257"/>
      <c r="E122" s="258"/>
      <c r="F122" s="855">
        <f>SUM(F112:F121)</f>
        <v>0</v>
      </c>
      <c r="G122" s="855">
        <f ca="1">SUM(G112:G121)</f>
        <v>0</v>
      </c>
      <c r="H122" s="855">
        <f>SUM(H112:H121)</f>
        <v>0</v>
      </c>
      <c r="I122" s="855">
        <f>SUM(I112:I121)</f>
        <v>0</v>
      </c>
      <c r="J122" s="857">
        <f ca="1">SUM(J112:J121)</f>
        <v>0</v>
      </c>
      <c r="K122" s="1569"/>
      <c r="L122" s="1569"/>
      <c r="N122" s="20"/>
      <c r="O122" s="1156" t="str">
        <f t="shared" ca="1" si="21"/>
        <v>##H</v>
      </c>
      <c r="P122" s="271"/>
      <c r="Q122" s="271"/>
      <c r="U122" s="595"/>
    </row>
    <row r="123" spans="1:21" ht="6" customHeight="1">
      <c r="B123" s="1244"/>
      <c r="C123" s="21"/>
      <c r="D123" s="21"/>
      <c r="E123" s="1574"/>
      <c r="F123" s="1574"/>
      <c r="G123" s="1574"/>
      <c r="H123" s="1574"/>
      <c r="I123" s="1574"/>
      <c r="J123" s="1574"/>
      <c r="K123" s="1569"/>
      <c r="L123" s="1569"/>
      <c r="N123" s="20"/>
      <c r="P123" s="271"/>
      <c r="Q123" s="271"/>
      <c r="U123" s="595"/>
    </row>
    <row r="124" spans="1:21" ht="15.6">
      <c r="A124" s="116"/>
      <c r="B124" s="1264"/>
      <c r="C124" s="21" t="s">
        <v>1167</v>
      </c>
      <c r="G124" s="117"/>
      <c r="H124" s="1568"/>
      <c r="I124" s="117"/>
      <c r="J124" s="1568"/>
      <c r="K124" s="145"/>
      <c r="L124" s="145"/>
      <c r="N124" s="20"/>
      <c r="P124" s="271"/>
      <c r="Q124" s="271"/>
      <c r="U124" s="595"/>
    </row>
    <row r="125" spans="1:21" ht="29.1" customHeight="1">
      <c r="A125" s="116"/>
      <c r="B125" s="1264"/>
      <c r="C125" s="1305" t="s">
        <v>1249</v>
      </c>
      <c r="D125" s="1305"/>
      <c r="E125" s="1305"/>
      <c r="F125" s="1305"/>
      <c r="G125" s="1305"/>
      <c r="H125" s="1305"/>
      <c r="I125" s="1305"/>
      <c r="J125" s="1305"/>
      <c r="K125" s="145"/>
      <c r="L125" s="145"/>
      <c r="N125" s="246" t="s">
        <v>1250</v>
      </c>
      <c r="P125" s="271"/>
      <c r="Q125" s="271"/>
      <c r="U125" s="595"/>
    </row>
    <row r="126" spans="1:21" ht="29.1" customHeight="1">
      <c r="A126" s="116"/>
      <c r="B126" s="1264"/>
      <c r="C126" s="1305" t="s">
        <v>1251</v>
      </c>
      <c r="D126" s="1305"/>
      <c r="E126" s="1305"/>
      <c r="F126" s="1305"/>
      <c r="G126" s="1305"/>
      <c r="H126" s="1305"/>
      <c r="I126" s="1305"/>
      <c r="J126" s="1305"/>
      <c r="K126" s="145"/>
      <c r="L126" s="145"/>
      <c r="N126" s="246" t="s">
        <v>169</v>
      </c>
      <c r="P126" s="271"/>
      <c r="Q126" s="271"/>
      <c r="U126" s="595"/>
    </row>
    <row r="127" spans="1:21">
      <c r="B127" s="1264"/>
      <c r="C127" s="210"/>
      <c r="D127" s="210"/>
      <c r="E127" s="210"/>
      <c r="F127" s="210"/>
      <c r="G127" s="1569"/>
      <c r="H127" s="1569"/>
      <c r="I127" s="1569"/>
      <c r="J127" s="1569"/>
      <c r="K127" s="1569"/>
      <c r="L127" s="1569"/>
      <c r="N127" s="20"/>
      <c r="P127" s="271"/>
      <c r="Q127" s="271"/>
      <c r="U127" s="595"/>
    </row>
    <row r="128" spans="1:21">
      <c r="B128" s="261"/>
      <c r="C128" s="42"/>
      <c r="D128" s="42"/>
      <c r="E128" s="42"/>
      <c r="F128" s="42"/>
      <c r="G128" s="42"/>
      <c r="H128" s="42"/>
      <c r="I128" s="42"/>
      <c r="J128" s="42"/>
      <c r="K128" s="42"/>
      <c r="L128" s="42"/>
      <c r="N128" s="20"/>
      <c r="P128" s="271"/>
      <c r="Q128" s="271"/>
      <c r="U128" s="595"/>
    </row>
    <row r="129" spans="1:26">
      <c r="A129" s="1149">
        <f>NTA!F37</f>
        <v>15</v>
      </c>
      <c r="B129" s="1064" t="str">
        <f>NTA!C37</f>
        <v>Other Non-Current Assets</v>
      </c>
      <c r="C129" s="234"/>
      <c r="D129" s="234"/>
      <c r="E129" s="234"/>
      <c r="F129" s="234"/>
      <c r="H129" s="20"/>
      <c r="I129" s="262"/>
      <c r="J129" s="1158" t="str">
        <f>+'Master Sheet'!$C$65</f>
        <v>(Amount in INR)</v>
      </c>
      <c r="K129" s="166"/>
      <c r="L129" s="166"/>
      <c r="M129" s="166"/>
      <c r="N129" s="20"/>
      <c r="P129" s="271"/>
      <c r="Q129" s="271"/>
      <c r="S129" s="591"/>
      <c r="T129" s="24"/>
      <c r="V129" s="2"/>
    </row>
    <row r="130" spans="1:26" ht="15" customHeight="1">
      <c r="A130" s="263"/>
      <c r="B130" s="1323" t="s">
        <v>500</v>
      </c>
      <c r="C130" s="1323"/>
      <c r="D130" s="1323"/>
      <c r="E130" s="1323"/>
      <c r="F130" s="1323"/>
      <c r="G130" s="811"/>
      <c r="H130" s="1150" t="e">
        <f ca="1">BS_CY</f>
        <v>#NAME?</v>
      </c>
      <c r="I130" s="813"/>
      <c r="J130" s="1151" t="e">
        <f ca="1">BS_PY</f>
        <v>#NAME?</v>
      </c>
      <c r="K130" s="100"/>
      <c r="L130" s="100"/>
      <c r="M130" s="100"/>
      <c r="N130" s="100"/>
      <c r="P130" s="271"/>
      <c r="Q130" s="271"/>
      <c r="S130" s="29"/>
      <c r="T130" s="588"/>
      <c r="U130" s="29"/>
      <c r="V130" s="2"/>
      <c r="W130" s="2"/>
      <c r="X130" s="209"/>
      <c r="Y130" s="209"/>
      <c r="Z130" s="209"/>
    </row>
    <row r="131" spans="1:26" ht="15" customHeight="1">
      <c r="A131" s="46"/>
      <c r="B131" s="68" t="s">
        <v>1252</v>
      </c>
      <c r="C131" s="264"/>
      <c r="D131" s="264"/>
      <c r="E131" s="264"/>
      <c r="F131" s="264"/>
      <c r="G131" s="237"/>
      <c r="H131" s="237"/>
      <c r="I131" s="121"/>
      <c r="J131" s="121"/>
      <c r="K131" s="117"/>
      <c r="L131" s="117"/>
      <c r="M131" s="117"/>
      <c r="N131" s="117"/>
      <c r="P131" s="271"/>
      <c r="Q131" s="271"/>
      <c r="S131" s="29"/>
      <c r="U131" s="29"/>
      <c r="V131" s="2"/>
      <c r="W131" s="2"/>
    </row>
    <row r="132" spans="1:26" ht="15" customHeight="1">
      <c r="A132" s="46"/>
      <c r="B132" s="265" t="s">
        <v>1253</v>
      </c>
      <c r="C132" s="58"/>
      <c r="D132" s="58"/>
      <c r="E132" s="58"/>
      <c r="F132" s="58"/>
      <c r="G132" s="86"/>
      <c r="H132" s="129">
        <f ca="1">IFERROR(INDEX(INDIRECT(VLOOKUP($U132,Source_Master,2,0),),MATCH(TEXT($Q132,0),INDIRECT(VLOOKUP($U132,Source_Master,4,0)),0),MATCH(H$1,INDIRECT(VLOOKUP($U132,Source_Master,3,0),),0)),0)</f>
        <v>0</v>
      </c>
      <c r="I132" s="79"/>
      <c r="J132" s="62">
        <f ca="1">IFERROR(INDEX(INDIRECT(VLOOKUP($U132,Source_Master,2,0),),MATCH(TEXT($Q132,0),INDIRECT(VLOOKUP($U132,Source_Master,4,0)),0),MATCH(J$1,INDIRECT(VLOOKUP($U132,Source_Master,3,0),),0)),0)</f>
        <v>0</v>
      </c>
      <c r="K132" s="1574"/>
      <c r="L132" s="1574"/>
      <c r="M132" s="1574"/>
      <c r="N132" s="1574"/>
      <c r="O132" s="1152" t="str">
        <f t="shared" ref="O132:O135" ca="1" si="22">IF(AND(H132=0,J132=0),"##H","")</f>
        <v>##H</v>
      </c>
      <c r="P132" s="271"/>
      <c r="Q132" s="271" t="s">
        <v>1254</v>
      </c>
      <c r="S132" s="24"/>
      <c r="U132" s="271" t="s">
        <v>50</v>
      </c>
      <c r="V132" s="2"/>
      <c r="W132" s="2"/>
    </row>
    <row r="133" spans="1:26" ht="15" hidden="1" customHeight="1">
      <c r="A133" s="46"/>
      <c r="B133" s="266" t="s">
        <v>1255</v>
      </c>
      <c r="C133" s="58"/>
      <c r="D133" s="200"/>
      <c r="E133" s="200"/>
      <c r="F133" s="200"/>
      <c r="G133" s="86"/>
      <c r="H133" s="129">
        <f ca="1">IFERROR(INDEX(INDIRECT(VLOOKUP($U133,Source_Master,2,0),),MATCH(TEXT($Q133,0),INDIRECT(VLOOKUP($U133,Source_Master,4,0)),0),MATCH(H$1,INDIRECT(VLOOKUP($U133,Source_Master,3,0),),0)),0)</f>
        <v>0</v>
      </c>
      <c r="I133" s="79"/>
      <c r="J133" s="62">
        <f ca="1">IFERROR(INDEX(INDIRECT(VLOOKUP($U133,Source_Master,2,0),),MATCH(TEXT($Q133,0),INDIRECT(VLOOKUP($U133,Source_Master,4,0)),0),MATCH(J$1,INDIRECT(VLOOKUP($U133,Source_Master,3,0),),0)),0)</f>
        <v>0</v>
      </c>
      <c r="K133" s="1574"/>
      <c r="L133" s="1574"/>
      <c r="M133" s="1574"/>
      <c r="N133" s="1574"/>
      <c r="O133" s="1152" t="str">
        <f t="shared" ca="1" si="22"/>
        <v>##H</v>
      </c>
      <c r="P133" s="271"/>
      <c r="Q133" s="271" t="s">
        <v>1256</v>
      </c>
      <c r="S133" s="24"/>
      <c r="U133" s="271" t="s">
        <v>50</v>
      </c>
      <c r="V133" s="2"/>
      <c r="W133" s="2"/>
    </row>
    <row r="134" spans="1:26" ht="15" customHeight="1">
      <c r="A134" s="46"/>
      <c r="B134" s="266" t="s">
        <v>1257</v>
      </c>
      <c r="C134" s="58"/>
      <c r="D134" s="58"/>
      <c r="E134" s="58"/>
      <c r="F134" s="58"/>
      <c r="G134" s="86"/>
      <c r="H134" s="129">
        <f ca="1">IFERROR(INDEX(INDIRECT(VLOOKUP($U134,Source_Master,2,0),),MATCH(TEXT($Q134,0),INDIRECT(VLOOKUP($U134,Source_Master,4,0)),0),MATCH(H$1,INDIRECT(VLOOKUP($U134,Source_Master,3,0),),0)),0)</f>
        <v>0</v>
      </c>
      <c r="I134" s="79"/>
      <c r="J134" s="62">
        <f ca="1">IFERROR(INDEX(INDIRECT(VLOOKUP($U134,Source_Master,2,0),),MATCH(TEXT($Q134,0),INDIRECT(VLOOKUP($U134,Source_Master,4,0)),0),MATCH(J$1,INDIRECT(VLOOKUP($U134,Source_Master,3,0),),0)),0)</f>
        <v>0</v>
      </c>
      <c r="K134" s="1574"/>
      <c r="L134" s="1574"/>
      <c r="M134" s="1574"/>
      <c r="N134" s="1574"/>
      <c r="O134" s="1152" t="str">
        <f t="shared" ca="1" si="22"/>
        <v>##H</v>
      </c>
      <c r="P134" s="271"/>
      <c r="Q134" s="271" t="s">
        <v>1258</v>
      </c>
      <c r="S134" s="24"/>
      <c r="U134" s="271" t="s">
        <v>50</v>
      </c>
      <c r="V134" s="2"/>
      <c r="W134" s="2"/>
    </row>
    <row r="135" spans="1:26" ht="15" customHeight="1">
      <c r="A135" s="46"/>
      <c r="B135" s="232" t="s">
        <v>246</v>
      </c>
      <c r="C135" s="199"/>
      <c r="D135" s="199"/>
      <c r="E135" s="199"/>
      <c r="F135" s="199"/>
      <c r="G135" s="714"/>
      <c r="H135" s="69">
        <f ca="1">SUM(H132:H134)</f>
        <v>0</v>
      </c>
      <c r="I135" s="363"/>
      <c r="J135" s="175">
        <f ca="1">SUM(J132:J134)</f>
        <v>0</v>
      </c>
      <c r="K135" s="1573"/>
      <c r="L135" s="1573"/>
      <c r="M135" s="1573"/>
      <c r="N135" s="1573"/>
      <c r="O135" s="1152" t="str">
        <f t="shared" ca="1" si="22"/>
        <v>##H</v>
      </c>
      <c r="P135" s="271"/>
      <c r="Q135" s="271" t="s">
        <v>513</v>
      </c>
      <c r="S135" s="285"/>
      <c r="T135" s="1580"/>
      <c r="U135" s="271" t="s">
        <v>50</v>
      </c>
      <c r="V135" s="2"/>
      <c r="W135" s="2"/>
    </row>
    <row r="136" spans="1:26" ht="15" customHeight="1">
      <c r="A136" s="46"/>
      <c r="B136" s="210"/>
      <c r="C136" s="32"/>
      <c r="D136" s="32"/>
      <c r="E136" s="32"/>
      <c r="F136" s="32"/>
      <c r="G136" s="1559"/>
      <c r="H136" s="1559"/>
      <c r="I136" s="1568"/>
      <c r="J136" s="1568"/>
      <c r="K136" s="1573"/>
      <c r="L136" s="1573"/>
      <c r="M136" s="1573"/>
      <c r="N136" s="1573"/>
      <c r="P136" s="271"/>
      <c r="Q136" s="271"/>
      <c r="S136" s="285"/>
      <c r="T136" s="1580"/>
      <c r="U136" s="285"/>
      <c r="V136" s="2"/>
      <c r="W136" s="2"/>
    </row>
    <row r="137" spans="1:26">
      <c r="A137" s="1149">
        <f>NTA!F40</f>
        <v>16</v>
      </c>
      <c r="B137" s="1149" t="str">
        <f>NTA!C40&amp;" (at lower of cost or net realizable value)"</f>
        <v>Inventories (at lower of cost or net realizable value)</v>
      </c>
      <c r="C137" s="268"/>
      <c r="D137" s="268"/>
      <c r="E137" s="268"/>
      <c r="F137" s="268"/>
      <c r="H137" s="20"/>
      <c r="J137" s="1114" t="str">
        <f>+'Master Sheet'!$C$65</f>
        <v>(Amount in INR)</v>
      </c>
      <c r="K137" s="117"/>
      <c r="L137" s="117"/>
      <c r="M137" s="117"/>
      <c r="N137" s="117"/>
      <c r="P137" s="271"/>
      <c r="Q137" s="271"/>
      <c r="V137" s="2"/>
      <c r="W137" s="2"/>
    </row>
    <row r="138" spans="1:26" ht="15" customHeight="1">
      <c r="A138" s="263"/>
      <c r="B138" s="1323" t="s">
        <v>500</v>
      </c>
      <c r="C138" s="1323"/>
      <c r="D138" s="1323"/>
      <c r="E138" s="1323"/>
      <c r="F138" s="1323"/>
      <c r="G138" s="811"/>
      <c r="H138" s="1150" t="e">
        <f ca="1">BS_CY</f>
        <v>#NAME?</v>
      </c>
      <c r="I138" s="813"/>
      <c r="J138" s="1151" t="e">
        <f ca="1">BS_PY</f>
        <v>#NAME?</v>
      </c>
      <c r="K138" s="100"/>
      <c r="L138" s="100"/>
      <c r="M138" s="100"/>
      <c r="N138" s="100"/>
      <c r="P138" s="271"/>
      <c r="Q138" s="271"/>
      <c r="S138" s="29"/>
      <c r="T138" s="588"/>
      <c r="U138" s="29"/>
      <c r="V138" s="2"/>
      <c r="W138" s="2"/>
      <c r="X138" s="209"/>
      <c r="Y138" s="209"/>
      <c r="Z138" s="209"/>
    </row>
    <row r="139" spans="1:26" ht="15" customHeight="1">
      <c r="A139" s="46"/>
      <c r="B139" s="68" t="s">
        <v>1259</v>
      </c>
      <c r="C139" s="260"/>
      <c r="D139" s="260"/>
      <c r="E139" s="260"/>
      <c r="F139" s="260"/>
      <c r="G139" s="86"/>
      <c r="H139" s="324"/>
      <c r="I139" s="75"/>
      <c r="J139" s="75"/>
      <c r="K139" s="1574"/>
      <c r="L139" s="1574"/>
      <c r="M139" s="1574"/>
      <c r="N139" s="1574"/>
      <c r="P139" s="271"/>
      <c r="Q139" s="271"/>
      <c r="S139" s="24"/>
      <c r="U139" s="24"/>
    </row>
    <row r="140" spans="1:26" ht="15" customHeight="1">
      <c r="A140" s="46"/>
      <c r="B140" s="223" t="s">
        <v>1260</v>
      </c>
      <c r="C140" s="260"/>
      <c r="D140" s="260"/>
      <c r="E140" s="260"/>
      <c r="F140" s="260"/>
      <c r="G140" s="86"/>
      <c r="H140" s="129">
        <f t="shared" ref="H140:H146" ca="1" si="23">IFERROR(INDEX(INDIRECT(VLOOKUP($U140,Source_Master,2,0),),MATCH(TEXT($Q140,0),INDIRECT(VLOOKUP($U140,Source_Master,4,0)),0),MATCH(H$1,INDIRECT(VLOOKUP($U140,Source_Master,3,0),),0)),0)</f>
        <v>0</v>
      </c>
      <c r="I140" s="79"/>
      <c r="J140" s="62">
        <f t="shared" ref="J140:J146" ca="1" si="24">IFERROR(INDEX(INDIRECT(VLOOKUP($U140,Source_Master,2,0),),MATCH(TEXT($Q140,0),INDIRECT(VLOOKUP($U140,Source_Master,4,0)),0),MATCH(J$1,INDIRECT(VLOOKUP($U140,Source_Master,3,0),),0)),0)</f>
        <v>0</v>
      </c>
      <c r="K140" s="1574"/>
      <c r="L140" s="1574"/>
      <c r="M140" s="1574"/>
      <c r="N140" s="1574"/>
      <c r="O140" s="1152" t="str">
        <f t="shared" ref="O140:O147" ca="1" si="25">IF(AND(H140=0,J140=0),"##H","")</f>
        <v>##H</v>
      </c>
      <c r="P140" s="271"/>
      <c r="Q140" s="271" t="s">
        <v>1261</v>
      </c>
      <c r="S140" s="24"/>
      <c r="U140" s="271" t="s">
        <v>50</v>
      </c>
    </row>
    <row r="141" spans="1:26" ht="15" customHeight="1">
      <c r="A141" s="46"/>
      <c r="B141" s="223" t="s">
        <v>1262</v>
      </c>
      <c r="C141" s="260"/>
      <c r="D141" s="260"/>
      <c r="E141" s="260"/>
      <c r="F141" s="260"/>
      <c r="G141" s="86"/>
      <c r="H141" s="129">
        <f t="shared" ca="1" si="23"/>
        <v>0</v>
      </c>
      <c r="I141" s="79"/>
      <c r="J141" s="62">
        <f t="shared" ca="1" si="24"/>
        <v>0</v>
      </c>
      <c r="K141" s="1574"/>
      <c r="L141" s="1574"/>
      <c r="M141" s="1574"/>
      <c r="N141" s="1574"/>
      <c r="O141" s="1152" t="str">
        <f t="shared" ca="1" si="25"/>
        <v>##H</v>
      </c>
      <c r="P141" s="271"/>
      <c r="Q141" s="271" t="s">
        <v>1263</v>
      </c>
      <c r="S141" s="24"/>
      <c r="U141" s="271" t="s">
        <v>50</v>
      </c>
    </row>
    <row r="142" spans="1:26" ht="15" customHeight="1">
      <c r="A142" s="46"/>
      <c r="B142" s="223" t="s">
        <v>1264</v>
      </c>
      <c r="C142" s="260"/>
      <c r="D142" s="260"/>
      <c r="E142" s="260"/>
      <c r="F142" s="260"/>
      <c r="G142" s="86"/>
      <c r="H142" s="129">
        <f t="shared" ca="1" si="23"/>
        <v>0</v>
      </c>
      <c r="I142" s="79"/>
      <c r="J142" s="62">
        <f t="shared" ca="1" si="24"/>
        <v>0</v>
      </c>
      <c r="K142" s="1574"/>
      <c r="L142" s="1574"/>
      <c r="M142" s="1574"/>
      <c r="N142" s="1574"/>
      <c r="O142" s="1152" t="str">
        <f t="shared" ca="1" si="25"/>
        <v>##H</v>
      </c>
      <c r="P142" s="271"/>
      <c r="Q142" s="271" t="s">
        <v>1265</v>
      </c>
      <c r="S142" s="24"/>
      <c r="U142" s="271" t="s">
        <v>50</v>
      </c>
    </row>
    <row r="143" spans="1:26" ht="15" hidden="1" customHeight="1">
      <c r="A143" s="46"/>
      <c r="B143" s="68" t="s">
        <v>1266</v>
      </c>
      <c r="C143" s="260"/>
      <c r="D143" s="260"/>
      <c r="E143" s="260"/>
      <c r="F143" s="260"/>
      <c r="G143" s="86"/>
      <c r="H143" s="129">
        <f t="shared" ca="1" si="23"/>
        <v>0</v>
      </c>
      <c r="I143" s="79"/>
      <c r="J143" s="62">
        <f t="shared" ca="1" si="24"/>
        <v>0</v>
      </c>
      <c r="K143" s="1574"/>
      <c r="L143" s="1574"/>
      <c r="M143" s="1574"/>
      <c r="N143" s="1574"/>
      <c r="O143" s="1152" t="str">
        <f t="shared" ca="1" si="25"/>
        <v>##H</v>
      </c>
      <c r="P143" s="271"/>
      <c r="Q143" s="271" t="s">
        <v>1267</v>
      </c>
      <c r="S143" s="24"/>
      <c r="U143" s="271" t="s">
        <v>50</v>
      </c>
    </row>
    <row r="144" spans="1:26" ht="15" customHeight="1">
      <c r="A144" s="46"/>
      <c r="B144" s="68" t="s">
        <v>1268</v>
      </c>
      <c r="C144" s="260"/>
      <c r="D144" s="260"/>
      <c r="E144" s="260"/>
      <c r="F144" s="260"/>
      <c r="G144" s="86"/>
      <c r="H144" s="129">
        <f t="shared" ca="1" si="23"/>
        <v>0</v>
      </c>
      <c r="I144" s="79"/>
      <c r="J144" s="62">
        <f t="shared" ca="1" si="24"/>
        <v>0</v>
      </c>
      <c r="K144" s="1574"/>
      <c r="L144" s="1574"/>
      <c r="M144" s="1574"/>
      <c r="N144" s="1574"/>
      <c r="O144" s="1152" t="str">
        <f t="shared" ca="1" si="25"/>
        <v>##H</v>
      </c>
      <c r="P144" s="271"/>
      <c r="Q144" s="271" t="s">
        <v>1269</v>
      </c>
      <c r="S144" s="24"/>
      <c r="U144" s="271" t="s">
        <v>50</v>
      </c>
    </row>
    <row r="145" spans="1:27" ht="15" customHeight="1">
      <c r="A145" s="46"/>
      <c r="B145" s="68" t="s">
        <v>1270</v>
      </c>
      <c r="C145" s="260"/>
      <c r="D145" s="260"/>
      <c r="E145" s="260"/>
      <c r="F145" s="260"/>
      <c r="G145" s="86"/>
      <c r="H145" s="129">
        <f t="shared" ca="1" si="23"/>
        <v>0</v>
      </c>
      <c r="I145" s="79"/>
      <c r="J145" s="62">
        <f t="shared" ca="1" si="24"/>
        <v>0</v>
      </c>
      <c r="K145" s="1574"/>
      <c r="L145" s="1574"/>
      <c r="M145" s="1574"/>
      <c r="N145" s="1574"/>
      <c r="O145" s="1152" t="str">
        <f t="shared" ca="1" si="25"/>
        <v>##H</v>
      </c>
      <c r="P145" s="271"/>
      <c r="Q145" s="271" t="s">
        <v>1271</v>
      </c>
      <c r="S145" s="24"/>
      <c r="U145" s="271" t="s">
        <v>50</v>
      </c>
    </row>
    <row r="146" spans="1:27" ht="15" hidden="1" customHeight="1">
      <c r="A146" s="46"/>
      <c r="B146" s="68" t="s">
        <v>1272</v>
      </c>
      <c r="C146" s="260"/>
      <c r="D146" s="260"/>
      <c r="E146" s="260"/>
      <c r="F146" s="260"/>
      <c r="G146" s="86"/>
      <c r="H146" s="129">
        <f t="shared" ca="1" si="23"/>
        <v>0</v>
      </c>
      <c r="I146" s="79"/>
      <c r="J146" s="62">
        <f t="shared" ca="1" si="24"/>
        <v>0</v>
      </c>
      <c r="K146" s="1574"/>
      <c r="L146" s="1574"/>
      <c r="M146" s="1574"/>
      <c r="N146" s="1574"/>
      <c r="O146" s="1152" t="str">
        <f t="shared" ca="1" si="25"/>
        <v>##H</v>
      </c>
      <c r="P146" s="271"/>
      <c r="Q146" s="271" t="s">
        <v>1273</v>
      </c>
      <c r="S146" s="24"/>
      <c r="U146" s="271" t="s">
        <v>50</v>
      </c>
    </row>
    <row r="147" spans="1:27" ht="15" customHeight="1">
      <c r="A147" s="46"/>
      <c r="B147" s="232" t="s">
        <v>246</v>
      </c>
      <c r="C147" s="199"/>
      <c r="D147" s="199"/>
      <c r="E147" s="199"/>
      <c r="F147" s="199"/>
      <c r="G147" s="813"/>
      <c r="H147" s="69">
        <f ca="1">SUM(H140:H146)</f>
        <v>0</v>
      </c>
      <c r="I147" s="817"/>
      <c r="J147" s="350">
        <f ca="1">SUM(J140:J146)</f>
        <v>0</v>
      </c>
      <c r="K147" s="100"/>
      <c r="L147" s="100"/>
      <c r="M147" s="100"/>
      <c r="N147" s="100"/>
      <c r="O147" s="1152" t="str">
        <f t="shared" ca="1" si="25"/>
        <v>##H</v>
      </c>
      <c r="P147" s="271"/>
      <c r="Q147" s="271"/>
      <c r="S147" s="285"/>
      <c r="T147" s="1580"/>
      <c r="U147" s="285"/>
      <c r="V147" s="2"/>
      <c r="W147" s="2"/>
    </row>
    <row r="148" spans="1:27">
      <c r="B148" s="1264"/>
      <c r="C148" s="268"/>
      <c r="D148" s="268"/>
      <c r="E148" s="268"/>
      <c r="F148" s="268"/>
      <c r="N148" s="20"/>
      <c r="P148" s="271"/>
      <c r="Q148" s="271"/>
      <c r="U148" s="596"/>
    </row>
    <row r="149" spans="1:27">
      <c r="B149" s="1149">
        <f>NTA!F41</f>
        <v>16.100000000000001</v>
      </c>
      <c r="C149" s="268"/>
      <c r="D149" s="268"/>
      <c r="E149" s="268"/>
      <c r="F149" s="268"/>
      <c r="J149" s="1112" t="str">
        <f>+'Master Sheet'!$C$65</f>
        <v>(Amount in INR)</v>
      </c>
      <c r="N149" s="20"/>
      <c r="P149" s="271"/>
      <c r="Q149" s="271"/>
      <c r="U149" s="596"/>
    </row>
    <row r="150" spans="1:27" ht="13.9">
      <c r="A150" s="49"/>
      <c r="B150" s="1264"/>
      <c r="C150" s="1313" t="s">
        <v>500</v>
      </c>
      <c r="D150" s="1313"/>
      <c r="E150" s="1313"/>
      <c r="F150" s="1313"/>
      <c r="G150" s="811"/>
      <c r="H150" s="1150" t="e">
        <f ca="1">BS_CY</f>
        <v>#NAME?</v>
      </c>
      <c r="I150" s="836"/>
      <c r="J150" s="1093" t="e">
        <f ca="1">BS_PY</f>
        <v>#NAME?</v>
      </c>
      <c r="N150" s="20"/>
      <c r="P150" s="271"/>
      <c r="Q150" s="271"/>
      <c r="U150" s="596"/>
    </row>
    <row r="151" spans="1:27" ht="15" customHeight="1">
      <c r="A151" s="46"/>
      <c r="B151" s="837"/>
      <c r="C151" s="58" t="s">
        <v>1274</v>
      </c>
      <c r="D151" s="58"/>
      <c r="E151" s="58"/>
      <c r="F151" s="58"/>
      <c r="G151" s="86"/>
      <c r="H151" s="176">
        <f ca="1">'P&amp;L'!C14+'P&amp;L'!C15+'NT PL1'!E153</f>
        <v>0</v>
      </c>
      <c r="I151" s="79"/>
      <c r="J151" s="185">
        <f ca="1">'P&amp;L'!D14+'P&amp;L'!D15+'NT PL1'!F153</f>
        <v>0</v>
      </c>
      <c r="N151" s="20"/>
      <c r="O151" s="1152" t="str">
        <f t="shared" ref="O151:O152" ca="1" si="26">IF(AND(H151=0,J151=0),"##H","")</f>
        <v>##H</v>
      </c>
      <c r="P151" s="271"/>
      <c r="Q151" s="271"/>
      <c r="U151" s="596"/>
    </row>
    <row r="152" spans="1:27" ht="15" hidden="1" customHeight="1">
      <c r="A152" s="46"/>
      <c r="B152" s="837"/>
      <c r="C152" s="1334" t="s">
        <v>1275</v>
      </c>
      <c r="D152" s="1334"/>
      <c r="E152" s="1334"/>
      <c r="F152" s="1334"/>
      <c r="G152" s="214"/>
      <c r="H152" s="176">
        <f ca="1">IFERROR(INDEX(INDIRECT(VLOOKUP($U152,Source_Master,2,0),),MATCH(TEXT($Q152,0),INDIRECT(VLOOKUP($U152,Source_Master,4,0)),0),MATCH(H$1,INDIRECT(VLOOKUP($U152,Source_Master,3,0),),0)),0)</f>
        <v>0</v>
      </c>
      <c r="I152" s="215"/>
      <c r="J152" s="185">
        <f ca="1">IFERROR(INDEX(INDIRECT(VLOOKUP($U152,Source_Master,2,0),),MATCH(TEXT($Q152,0),INDIRECT(VLOOKUP($U152,Source_Master,4,0)),0),MATCH($J$1,INDIRECT(VLOOKUP($U152,Source_Master,3,0),),0)),0)</f>
        <v>0</v>
      </c>
      <c r="N152" s="20"/>
      <c r="O152" s="1152" t="str">
        <f t="shared" ca="1" si="26"/>
        <v>##H</v>
      </c>
      <c r="P152" s="271"/>
      <c r="Q152" s="271" t="s">
        <v>1276</v>
      </c>
      <c r="U152" s="271" t="s">
        <v>51</v>
      </c>
    </row>
    <row r="153" spans="1:27" ht="15" customHeight="1">
      <c r="A153" s="46"/>
      <c r="B153" s="837"/>
      <c r="C153" s="1335" t="s">
        <v>1277</v>
      </c>
      <c r="D153" s="1335"/>
      <c r="E153" s="1335"/>
      <c r="F153" s="1335"/>
      <c r="G153" s="218"/>
      <c r="H153" s="218"/>
      <c r="I153" s="270"/>
      <c r="J153" s="270"/>
      <c r="N153" s="20"/>
      <c r="P153" s="271"/>
      <c r="Q153" s="271"/>
      <c r="U153" s="596"/>
    </row>
    <row r="154" spans="1:27">
      <c r="B154" s="1264"/>
      <c r="C154" s="268"/>
      <c r="D154" s="268"/>
      <c r="E154" s="268"/>
      <c r="F154" s="268"/>
      <c r="N154" s="20"/>
      <c r="P154" s="271"/>
      <c r="Q154" s="271"/>
      <c r="U154" s="596"/>
    </row>
    <row r="155" spans="1:27">
      <c r="A155" s="1149">
        <f>NTA!F43</f>
        <v>17</v>
      </c>
      <c r="B155" s="1149" t="str">
        <f>NTA!C43&amp;" (Current)"</f>
        <v>Investments (Current)</v>
      </c>
      <c r="C155" s="210"/>
      <c r="D155" s="210"/>
      <c r="E155" s="210"/>
      <c r="F155" s="32"/>
      <c r="G155" s="32"/>
      <c r="H155" s="20"/>
      <c r="I155" s="117"/>
      <c r="J155" s="1114" t="str">
        <f>+'Master Sheet'!$C$65</f>
        <v>(Amount in INR)</v>
      </c>
      <c r="K155" s="117"/>
      <c r="L155" s="117"/>
      <c r="M155" s="32"/>
      <c r="N155" s="271"/>
      <c r="P155" s="271"/>
      <c r="Q155" s="272"/>
      <c r="S155" s="272"/>
      <c r="T155" s="272"/>
      <c r="U155" s="272"/>
      <c r="V155" s="273"/>
    </row>
    <row r="156" spans="1:27" ht="15" customHeight="1">
      <c r="A156" s="259"/>
      <c r="B156" s="1324" t="s">
        <v>500</v>
      </c>
      <c r="C156" s="1324"/>
      <c r="D156" s="1324"/>
      <c r="E156" s="1324"/>
      <c r="F156" s="1324"/>
      <c r="G156" s="838"/>
      <c r="H156" s="1159" t="e">
        <f ca="1">BS_CY</f>
        <v>#NAME?</v>
      </c>
      <c r="I156" s="839"/>
      <c r="J156" s="1160" t="e">
        <f ca="1">BS_PY</f>
        <v>#NAME?</v>
      </c>
      <c r="K156" s="23"/>
      <c r="L156" s="23"/>
      <c r="M156" s="23"/>
      <c r="N156" s="23"/>
      <c r="P156" s="271"/>
      <c r="Q156" s="271"/>
    </row>
    <row r="157" spans="1:27" ht="15" customHeight="1">
      <c r="A157" s="46"/>
      <c r="B157" s="68" t="s">
        <v>1278</v>
      </c>
      <c r="C157" s="33"/>
      <c r="D157" s="33"/>
      <c r="E157" s="33"/>
      <c r="F157" s="33"/>
      <c r="G157" s="274"/>
      <c r="H157" s="275"/>
      <c r="I157" s="143"/>
      <c r="J157" s="276"/>
      <c r="K157" s="277"/>
      <c r="L157" s="277"/>
      <c r="M157" s="277"/>
      <c r="N157" s="277"/>
      <c r="O157" s="591"/>
      <c r="P157" s="591"/>
      <c r="Q157" s="271"/>
    </row>
    <row r="158" spans="1:27" ht="15" customHeight="1">
      <c r="B158" s="232" t="s">
        <v>1279</v>
      </c>
      <c r="C158" s="180"/>
      <c r="D158" s="180"/>
      <c r="E158" s="180"/>
      <c r="F158" s="180"/>
      <c r="G158" s="362"/>
      <c r="H158" s="178">
        <f t="shared" ref="H158:J158" ca="1" si="27">IFERROR(INDEX(INDIRECT(VLOOKUP($U158,Source_Master,2,0),),MATCH(TEXT($Q158,0),INDIRECT(VLOOKUP($U158,Source_Master,4,0)),0),MATCH(H$1,INDIRECT(VLOOKUP($U158,Source_Master,3,0),),0)),0)</f>
        <v>0</v>
      </c>
      <c r="I158" s="363"/>
      <c r="J158" s="175">
        <f t="shared" ca="1" si="27"/>
        <v>0</v>
      </c>
      <c r="K158" s="1574"/>
      <c r="L158" s="1574"/>
      <c r="M158" s="1574"/>
      <c r="N158" s="1574"/>
      <c r="O158" s="1152" t="str">
        <f t="shared" ref="O158" ca="1" si="28">IF(AND(H158=0,J158=0),"##H","")</f>
        <v>##H</v>
      </c>
      <c r="P158" s="271"/>
      <c r="Q158" s="271" t="s">
        <v>1280</v>
      </c>
      <c r="S158" s="24"/>
      <c r="U158" s="271" t="s">
        <v>50</v>
      </c>
      <c r="Z158" s="278"/>
      <c r="AA158" s="278"/>
    </row>
    <row r="159" spans="1:27">
      <c r="B159" s="1264"/>
      <c r="C159" s="268"/>
      <c r="D159" s="268"/>
      <c r="E159" s="268"/>
      <c r="N159" s="271"/>
    </row>
    <row r="160" spans="1:27">
      <c r="B160" s="1149">
        <f>NTA!F44</f>
        <v>17.100000000000001</v>
      </c>
      <c r="C160" s="268"/>
      <c r="D160" s="268"/>
      <c r="E160" s="268"/>
      <c r="N160" s="271"/>
    </row>
    <row r="161" spans="1:21" ht="13.9">
      <c r="B161" s="1264"/>
      <c r="C161" s="168" t="s">
        <v>500</v>
      </c>
      <c r="D161" s="549"/>
      <c r="E161" s="549"/>
      <c r="F161" s="549"/>
      <c r="G161" s="811"/>
      <c r="H161" s="1150" t="e">
        <f ca="1">BS_CY</f>
        <v>#NAME?</v>
      </c>
      <c r="I161" s="723"/>
      <c r="J161" s="1093" t="e">
        <f ca="1">BS_PY</f>
        <v>#NAME?</v>
      </c>
      <c r="M161" s="246" t="s">
        <v>1168</v>
      </c>
      <c r="N161" s="279"/>
    </row>
    <row r="162" spans="1:21">
      <c r="B162" s="50"/>
      <c r="C162" s="260" t="s">
        <v>1281</v>
      </c>
      <c r="D162" s="260"/>
      <c r="E162" s="260"/>
      <c r="F162" s="260"/>
      <c r="G162" s="86"/>
      <c r="H162" s="129">
        <f ca="1">H158</f>
        <v>0</v>
      </c>
      <c r="I162" s="79"/>
      <c r="J162" s="62">
        <f ca="1">J158</f>
        <v>0</v>
      </c>
      <c r="N162" s="271"/>
      <c r="O162" s="1152" t="str">
        <f t="shared" ref="O162:O163" ca="1" si="29">IF(AND(H162=0,J162=0),"##H","")</f>
        <v>##H</v>
      </c>
    </row>
    <row r="163" spans="1:21">
      <c r="B163" s="1264"/>
      <c r="C163" s="260" t="s">
        <v>1282</v>
      </c>
      <c r="D163" s="260"/>
      <c r="E163" s="260"/>
      <c r="F163" s="260"/>
      <c r="G163" s="86"/>
      <c r="H163" s="129">
        <f ca="1">H162</f>
        <v>0</v>
      </c>
      <c r="I163" s="79"/>
      <c r="J163" s="62">
        <f ca="1">J162</f>
        <v>0</v>
      </c>
      <c r="N163" s="271"/>
      <c r="O163" s="1152" t="str">
        <f t="shared" ca="1" si="29"/>
        <v>##H</v>
      </c>
    </row>
    <row r="164" spans="1:21">
      <c r="B164" s="243"/>
      <c r="C164" s="260"/>
      <c r="D164" s="260"/>
      <c r="E164" s="260"/>
      <c r="F164" s="260"/>
      <c r="G164" s="86"/>
      <c r="H164" s="86"/>
      <c r="I164" s="79"/>
      <c r="J164" s="79"/>
      <c r="N164" s="271"/>
    </row>
    <row r="165" spans="1:21">
      <c r="B165" s="50"/>
      <c r="C165" s="281" t="s">
        <v>1283</v>
      </c>
      <c r="D165" s="281"/>
      <c r="E165" s="281"/>
      <c r="F165" s="281"/>
      <c r="G165" s="218"/>
      <c r="H165" s="218"/>
      <c r="I165" s="270"/>
      <c r="J165" s="270"/>
      <c r="N165" s="271"/>
    </row>
    <row r="166" spans="1:21">
      <c r="B166" s="1264"/>
      <c r="C166" s="268"/>
      <c r="D166" s="268"/>
      <c r="E166" s="268"/>
      <c r="N166" s="271"/>
    </row>
    <row r="167" spans="1:21" ht="15" customHeight="1">
      <c r="A167" s="1149">
        <f>NTA!F45</f>
        <v>18</v>
      </c>
      <c r="B167" s="1149" t="str">
        <f>NTA!C45</f>
        <v>Trade Receivables</v>
      </c>
      <c r="C167" s="1264"/>
      <c r="D167" s="1264"/>
      <c r="E167" s="117"/>
      <c r="F167" s="117"/>
      <c r="G167" s="117"/>
      <c r="H167" s="117"/>
      <c r="I167" s="1342" t="str">
        <f>+'Master Sheet'!$C$65</f>
        <v>(Amount in INR)</v>
      </c>
      <c r="J167" s="1342"/>
      <c r="K167" s="117"/>
      <c r="L167" s="117"/>
      <c r="M167" s="117"/>
      <c r="N167" s="20"/>
      <c r="P167" s="271"/>
      <c r="Q167" s="271"/>
    </row>
    <row r="168" spans="1:21" ht="15" customHeight="1">
      <c r="A168" s="282"/>
      <c r="B168" s="1321" t="s">
        <v>500</v>
      </c>
      <c r="C168" s="1321"/>
      <c r="D168" s="1321"/>
      <c r="E168" s="1321"/>
      <c r="F168" s="1321"/>
      <c r="G168" s="811"/>
      <c r="H168" s="1150" t="e">
        <f ca="1">BS_CY</f>
        <v>#NAME?</v>
      </c>
      <c r="I168" s="723"/>
      <c r="J168" s="1093" t="e">
        <f ca="1">BS_PY</f>
        <v>#NAME?</v>
      </c>
      <c r="K168" s="43"/>
      <c r="L168" s="43"/>
      <c r="M168" s="43"/>
      <c r="N168" s="20"/>
      <c r="P168" s="271"/>
      <c r="Q168" s="271"/>
    </row>
    <row r="169" spans="1:21" ht="15" customHeight="1">
      <c r="A169" s="46"/>
      <c r="B169" s="68" t="s">
        <v>1284</v>
      </c>
      <c r="C169" s="68"/>
      <c r="D169" s="68"/>
      <c r="E169" s="119"/>
      <c r="F169" s="119"/>
      <c r="G169" s="283"/>
      <c r="H169" s="176">
        <f ca="1">IFERROR(INDEX(INDIRECT(VLOOKUP($U169,Source_Master,2,0),),MATCH(TEXT($Q169,0),INDIRECT(VLOOKUP($U169,Source_Master,4,0)),0),MATCH(H$1,INDIRECT(VLOOKUP($U169,Source_Master,3,0),),0)),0)</f>
        <v>0</v>
      </c>
      <c r="I169" s="284"/>
      <c r="J169" s="858">
        <f ca="1">IFERROR(INDEX(INDIRECT(VLOOKUP($U169,Source_Master,2,0),),MATCH(TEXT($Q169,0),INDIRECT(VLOOKUP($U169,Source_Master,4,0)),0),MATCH(J$1,INDIRECT(VLOOKUP($U169,Source_Master,3,0),),0)),0)</f>
        <v>0</v>
      </c>
      <c r="K169" s="20"/>
      <c r="L169" s="20"/>
      <c r="N169" s="20"/>
      <c r="O169" s="1152" t="str">
        <f t="shared" ref="O169:O172" ca="1" si="30">IF(AND(H169=0,J169=0),"##H","")</f>
        <v>##H</v>
      </c>
      <c r="P169" s="271"/>
      <c r="Q169" s="271" t="s">
        <v>1285</v>
      </c>
      <c r="U169" s="271" t="s">
        <v>50</v>
      </c>
    </row>
    <row r="170" spans="1:21" ht="15" customHeight="1">
      <c r="A170" s="46"/>
      <c r="B170" s="68" t="s">
        <v>1286</v>
      </c>
      <c r="C170" s="58"/>
      <c r="D170" s="58"/>
      <c r="E170" s="58"/>
      <c r="F170" s="58"/>
      <c r="G170" s="214"/>
      <c r="H170" s="176">
        <f ca="1">IFERROR(INDEX(INDIRECT(VLOOKUP($U170,Source_Master,2,0),),MATCH(TEXT($Q170,0),INDIRECT(VLOOKUP($U170,Source_Master,4,0)),0),MATCH(H$1,INDIRECT(VLOOKUP($U170,Source_Master,3,0),),0)),0)</f>
        <v>0</v>
      </c>
      <c r="I170" s="840"/>
      <c r="J170" s="858">
        <f ca="1">IFERROR(INDEX(INDIRECT(VLOOKUP($U170,Source_Master,2,0),),MATCH(TEXT($Q170,0),INDIRECT(VLOOKUP($U170,Source_Master,4,0)),0),MATCH(J$1,INDIRECT(VLOOKUP($U170,Source_Master,3,0),),0)),0)</f>
        <v>0</v>
      </c>
      <c r="K170" s="1279"/>
      <c r="L170" s="1279"/>
      <c r="M170" s="1279"/>
      <c r="N170" s="20"/>
      <c r="O170" s="1152" t="str">
        <f t="shared" ca="1" si="30"/>
        <v>##H</v>
      </c>
      <c r="P170" s="271"/>
      <c r="Q170" s="271" t="s">
        <v>1287</v>
      </c>
      <c r="S170" s="24"/>
      <c r="U170" s="271" t="s">
        <v>50</v>
      </c>
    </row>
    <row r="171" spans="1:21" ht="15" customHeight="1">
      <c r="A171" s="46"/>
      <c r="B171" s="68" t="s">
        <v>1288</v>
      </c>
      <c r="C171" s="58"/>
      <c r="D171" s="58"/>
      <c r="E171" s="58"/>
      <c r="F171" s="58"/>
      <c r="G171" s="214"/>
      <c r="H171" s="176">
        <f ca="1">IFERROR(INDEX(INDIRECT(VLOOKUP($U171,Source_Master,2,0),),MATCH(TEXT($Q171,0),INDIRECT(VLOOKUP($U171,Source_Master,4,0)),0),MATCH(H$1,INDIRECT(VLOOKUP($U171,Source_Master,3,0),),0)),0)</f>
        <v>0</v>
      </c>
      <c r="I171" s="840"/>
      <c r="J171" s="858">
        <f ca="1">IFERROR(INDEX(INDIRECT(VLOOKUP($U171,Source_Master,2,0),),MATCH(TEXT($Q171,0),INDIRECT(VLOOKUP($U171,Source_Master,4,0)),0),MATCH(J$1,INDIRECT(VLOOKUP($U171,Source_Master,3,0),),0)),0)</f>
        <v>0</v>
      </c>
      <c r="K171" s="1279"/>
      <c r="L171" s="1279"/>
      <c r="M171" s="1279"/>
      <c r="N171" s="20"/>
      <c r="O171" s="1152" t="str">
        <f t="shared" ca="1" si="30"/>
        <v>##H</v>
      </c>
      <c r="P171" s="271"/>
      <c r="Q171" s="271" t="s">
        <v>1289</v>
      </c>
      <c r="S171" s="24"/>
      <c r="U171" s="271" t="s">
        <v>50</v>
      </c>
    </row>
    <row r="172" spans="1:21" ht="15" customHeight="1">
      <c r="A172" s="46"/>
      <c r="B172" s="232" t="s">
        <v>246</v>
      </c>
      <c r="C172" s="199"/>
      <c r="D172" s="199"/>
      <c r="E172" s="199"/>
      <c r="F172" s="199"/>
      <c r="G172" s="592"/>
      <c r="H172" s="178">
        <f ca="1">SUM(H169:H171)</f>
        <v>0</v>
      </c>
      <c r="I172" s="841"/>
      <c r="J172" s="175">
        <f ca="1">SUM(J169:J171)</f>
        <v>0</v>
      </c>
      <c r="K172" s="43"/>
      <c r="L172" s="43"/>
      <c r="M172" s="43"/>
      <c r="N172" s="20"/>
      <c r="O172" s="1152" t="str">
        <f t="shared" ca="1" si="30"/>
        <v>##H</v>
      </c>
      <c r="P172" s="271"/>
      <c r="Q172" s="271"/>
      <c r="R172" s="285"/>
      <c r="S172" s="285"/>
      <c r="T172" s="285"/>
    </row>
    <row r="173" spans="1:21" ht="15" customHeight="1">
      <c r="B173" s="1264"/>
      <c r="E173" s="117"/>
      <c r="F173" s="117"/>
      <c r="G173" s="117"/>
      <c r="H173" s="117"/>
      <c r="I173" s="32"/>
      <c r="J173" s="20"/>
      <c r="K173" s="20"/>
      <c r="L173" s="20"/>
      <c r="N173" s="20"/>
      <c r="O173" s="29"/>
      <c r="P173" s="29"/>
      <c r="Q173" s="271"/>
      <c r="R173" s="29"/>
      <c r="S173" s="29"/>
      <c r="T173" s="29"/>
    </row>
    <row r="174" spans="1:21" s="2" customFormat="1" ht="15" customHeight="1">
      <c r="A174" s="25"/>
      <c r="B174" s="1149">
        <f>NTA!F46</f>
        <v>18.100000000000001</v>
      </c>
      <c r="C174" s="1149" t="str">
        <f>NTA!C46</f>
        <v>Trade Receivables ageing schedule-Current Period</v>
      </c>
      <c r="D174" s="1245"/>
      <c r="E174" s="41"/>
      <c r="F174" s="41"/>
      <c r="G174" s="41"/>
      <c r="H174" s="41"/>
      <c r="I174" s="41"/>
      <c r="J174" s="1114" t="str">
        <f>+'Master Sheet'!$C$65</f>
        <v>(Amount in INR)</v>
      </c>
      <c r="K174" s="117"/>
      <c r="L174" s="117"/>
      <c r="M174" s="117"/>
      <c r="O174" s="271"/>
      <c r="P174" s="24"/>
      <c r="Q174" s="24"/>
      <c r="R174" s="24"/>
      <c r="S174" s="24"/>
      <c r="T174" s="24"/>
      <c r="U174" s="24"/>
    </row>
    <row r="175" spans="1:21" s="2" customFormat="1" ht="15" customHeight="1">
      <c r="A175" s="25"/>
      <c r="B175" s="222"/>
      <c r="C175" s="1325" t="s">
        <v>500</v>
      </c>
      <c r="D175" s="1336"/>
      <c r="E175" s="1339" t="e">
        <f ca="1">BS_CY</f>
        <v>#NAME?</v>
      </c>
      <c r="F175" s="1339"/>
      <c r="G175" s="1339"/>
      <c r="H175" s="1339"/>
      <c r="I175" s="1339"/>
      <c r="J175" s="842"/>
      <c r="K175" s="46"/>
      <c r="L175" s="46"/>
      <c r="M175" s="46"/>
      <c r="O175" s="271"/>
      <c r="P175" s="24"/>
      <c r="Q175" s="24"/>
      <c r="R175" s="24"/>
      <c r="S175" s="24"/>
      <c r="T175" s="24"/>
      <c r="U175" s="24"/>
    </row>
    <row r="176" spans="1:21" s="2" customFormat="1" ht="31.5" customHeight="1">
      <c r="A176" s="25"/>
      <c r="B176" s="222"/>
      <c r="C176" s="1337"/>
      <c r="D176" s="1338"/>
      <c r="E176" s="1340" t="s">
        <v>1290</v>
      </c>
      <c r="F176" s="1340"/>
      <c r="G176" s="1340"/>
      <c r="H176" s="1340"/>
      <c r="I176" s="1341"/>
      <c r="J176" s="1343" t="s">
        <v>246</v>
      </c>
      <c r="K176" s="30"/>
      <c r="L176" s="30"/>
      <c r="M176" s="30"/>
      <c r="O176" s="271"/>
      <c r="P176" s="24"/>
      <c r="Q176" s="24"/>
      <c r="R176" s="24"/>
      <c r="S176" s="24"/>
      <c r="T176" s="24"/>
      <c r="U176" s="24"/>
    </row>
    <row r="177" spans="1:21" s="2" customFormat="1" ht="28.5" customHeight="1">
      <c r="A177" s="25"/>
      <c r="B177" s="222"/>
      <c r="C177" s="1326"/>
      <c r="D177" s="1326"/>
      <c r="E177" s="286" t="s">
        <v>1291</v>
      </c>
      <c r="F177" s="286" t="s">
        <v>1292</v>
      </c>
      <c r="G177" s="286" t="s">
        <v>1293</v>
      </c>
      <c r="H177" s="286" t="s">
        <v>1294</v>
      </c>
      <c r="I177" s="286" t="s">
        <v>1295</v>
      </c>
      <c r="J177" s="1344"/>
      <c r="K177" s="30"/>
      <c r="L177" s="30"/>
      <c r="M177" s="30"/>
      <c r="O177" s="271"/>
      <c r="P177" s="610" t="s">
        <v>1291</v>
      </c>
      <c r="Q177" s="610" t="s">
        <v>1292</v>
      </c>
      <c r="R177" s="610" t="s">
        <v>1293</v>
      </c>
      <c r="S177" s="610" t="s">
        <v>1294</v>
      </c>
      <c r="T177" s="610" t="s">
        <v>1295</v>
      </c>
      <c r="U177" s="611" t="s">
        <v>49</v>
      </c>
    </row>
    <row r="178" spans="1:21" s="2" customFormat="1" ht="15" hidden="1" customHeight="1">
      <c r="A178" s="25"/>
      <c r="B178" s="1264"/>
      <c r="C178" s="1347" t="s">
        <v>1296</v>
      </c>
      <c r="D178" s="1347"/>
      <c r="E178" s="769">
        <f t="shared" ref="E178:I184" ca="1" si="31">IFERROR(INDEX(INDIRECT(VLOOKUP($U178,Source_Master,2,0),),MATCH(TEXT(P178,0),INDIRECT(VLOOKUP($U178,Source_Master,4,0)),0),MATCH($H$1,INDIRECT(VLOOKUP($U178,Source_Master,3,0),),0)),0)</f>
        <v>0</v>
      </c>
      <c r="F178" s="769">
        <f t="shared" ca="1" si="31"/>
        <v>0</v>
      </c>
      <c r="G178" s="769">
        <f t="shared" ca="1" si="31"/>
        <v>0</v>
      </c>
      <c r="H178" s="769">
        <f t="shared" ca="1" si="31"/>
        <v>0</v>
      </c>
      <c r="I178" s="769">
        <f t="shared" ca="1" si="31"/>
        <v>0</v>
      </c>
      <c r="J178" s="720">
        <f ca="1">SUM(E178:I178)</f>
        <v>0</v>
      </c>
      <c r="K178" s="40"/>
      <c r="L178" s="40"/>
      <c r="M178" s="40"/>
      <c r="O178" s="1152" t="str">
        <f ca="1">IF(AND(E178=0,F178=0,G178=0,H178=0,I178=0),"##H","")</f>
        <v>##H</v>
      </c>
      <c r="P178" s="271" t="s">
        <v>1297</v>
      </c>
      <c r="Q178" s="271" t="s">
        <v>1298</v>
      </c>
      <c r="R178" s="271" t="s">
        <v>1299</v>
      </c>
      <c r="S178" s="271" t="s">
        <v>1300</v>
      </c>
      <c r="T178" s="271" t="s">
        <v>1301</v>
      </c>
      <c r="U178" s="271" t="s">
        <v>51</v>
      </c>
    </row>
    <row r="179" spans="1:21" s="2" customFormat="1" ht="15" hidden="1" customHeight="1">
      <c r="A179" s="25"/>
      <c r="B179" s="1264"/>
      <c r="C179" s="1347" t="s">
        <v>1302</v>
      </c>
      <c r="D179" s="1347"/>
      <c r="E179" s="769">
        <f t="shared" ca="1" si="31"/>
        <v>0</v>
      </c>
      <c r="F179" s="769">
        <f t="shared" ca="1" si="31"/>
        <v>0</v>
      </c>
      <c r="G179" s="769">
        <f t="shared" ca="1" si="31"/>
        <v>0</v>
      </c>
      <c r="H179" s="769">
        <f t="shared" ca="1" si="31"/>
        <v>0</v>
      </c>
      <c r="I179" s="769">
        <f t="shared" ca="1" si="31"/>
        <v>0</v>
      </c>
      <c r="J179" s="720">
        <f t="shared" ref="J179:J184" ca="1" si="32">SUM(E179:I179)</f>
        <v>0</v>
      </c>
      <c r="K179" s="40"/>
      <c r="L179" s="40"/>
      <c r="M179" s="40"/>
      <c r="O179" s="1152" t="str">
        <f t="shared" ref="O179:O185" ca="1" si="33">IF(AND(E179=0,F179=0,G179=0,H179=0,I179=0),"##H","")</f>
        <v>##H</v>
      </c>
      <c r="P179" s="271" t="s">
        <v>1303</v>
      </c>
      <c r="Q179" s="271" t="s">
        <v>1304</v>
      </c>
      <c r="R179" s="271" t="s">
        <v>1305</v>
      </c>
      <c r="S179" s="271" t="s">
        <v>1306</v>
      </c>
      <c r="T179" s="271" t="s">
        <v>1307</v>
      </c>
      <c r="U179" s="271" t="s">
        <v>51</v>
      </c>
    </row>
    <row r="180" spans="1:21" s="2" customFormat="1" ht="25.15" hidden="1" customHeight="1">
      <c r="A180" s="25"/>
      <c r="B180" s="1264"/>
      <c r="C180" s="1347" t="s">
        <v>1308</v>
      </c>
      <c r="D180" s="1347"/>
      <c r="E180" s="769">
        <f t="shared" ca="1" si="31"/>
        <v>0</v>
      </c>
      <c r="F180" s="769">
        <f t="shared" ca="1" si="31"/>
        <v>0</v>
      </c>
      <c r="G180" s="769">
        <f t="shared" ca="1" si="31"/>
        <v>0</v>
      </c>
      <c r="H180" s="769">
        <f t="shared" ca="1" si="31"/>
        <v>0</v>
      </c>
      <c r="I180" s="769">
        <f t="shared" ca="1" si="31"/>
        <v>0</v>
      </c>
      <c r="J180" s="720">
        <f t="shared" ca="1" si="32"/>
        <v>0</v>
      </c>
      <c r="K180" s="40"/>
      <c r="L180" s="40"/>
      <c r="M180" s="40"/>
      <c r="O180" s="1152" t="str">
        <f t="shared" ca="1" si="33"/>
        <v>##H</v>
      </c>
      <c r="P180" s="271" t="s">
        <v>1309</v>
      </c>
      <c r="Q180" s="271" t="s">
        <v>1310</v>
      </c>
      <c r="R180" s="271" t="s">
        <v>1311</v>
      </c>
      <c r="S180" s="271" t="s">
        <v>1312</v>
      </c>
      <c r="T180" s="271" t="s">
        <v>1313</v>
      </c>
      <c r="U180" s="271" t="s">
        <v>51</v>
      </c>
    </row>
    <row r="181" spans="1:21" s="2" customFormat="1" ht="15" hidden="1" customHeight="1">
      <c r="A181" s="25"/>
      <c r="B181" s="1264"/>
      <c r="C181" s="1347" t="s">
        <v>1314</v>
      </c>
      <c r="D181" s="1347"/>
      <c r="E181" s="769">
        <f t="shared" ca="1" si="31"/>
        <v>0</v>
      </c>
      <c r="F181" s="769">
        <f t="shared" ca="1" si="31"/>
        <v>0</v>
      </c>
      <c r="G181" s="769">
        <f t="shared" ca="1" si="31"/>
        <v>0</v>
      </c>
      <c r="H181" s="769">
        <f t="shared" ca="1" si="31"/>
        <v>0</v>
      </c>
      <c r="I181" s="769">
        <f t="shared" ca="1" si="31"/>
        <v>0</v>
      </c>
      <c r="J181" s="720">
        <f t="shared" ca="1" si="32"/>
        <v>0</v>
      </c>
      <c r="K181" s="40"/>
      <c r="L181" s="40"/>
      <c r="M181" s="40"/>
      <c r="O181" s="1152" t="str">
        <f t="shared" ca="1" si="33"/>
        <v>##H</v>
      </c>
      <c r="P181" s="271" t="s">
        <v>1315</v>
      </c>
      <c r="Q181" s="271" t="s">
        <v>1316</v>
      </c>
      <c r="R181" s="271" t="s">
        <v>1317</v>
      </c>
      <c r="S181" s="271" t="s">
        <v>1318</v>
      </c>
      <c r="T181" s="271" t="s">
        <v>1319</v>
      </c>
      <c r="U181" s="271" t="s">
        <v>51</v>
      </c>
    </row>
    <row r="182" spans="1:21" s="2" customFormat="1" ht="15" hidden="1" customHeight="1">
      <c r="A182" s="25"/>
      <c r="B182" s="1264"/>
      <c r="C182" s="1347" t="s">
        <v>1320</v>
      </c>
      <c r="D182" s="1347"/>
      <c r="E182" s="769">
        <f t="shared" ca="1" si="31"/>
        <v>0</v>
      </c>
      <c r="F182" s="769">
        <f t="shared" ca="1" si="31"/>
        <v>0</v>
      </c>
      <c r="G182" s="769">
        <f t="shared" ca="1" si="31"/>
        <v>0</v>
      </c>
      <c r="H182" s="769">
        <f t="shared" ca="1" si="31"/>
        <v>0</v>
      </c>
      <c r="I182" s="769">
        <f t="shared" ca="1" si="31"/>
        <v>0</v>
      </c>
      <c r="J182" s="720">
        <f t="shared" ca="1" si="32"/>
        <v>0</v>
      </c>
      <c r="K182" s="40"/>
      <c r="L182" s="40"/>
      <c r="M182" s="40"/>
      <c r="O182" s="1152" t="str">
        <f t="shared" ca="1" si="33"/>
        <v>##H</v>
      </c>
      <c r="P182" s="271" t="s">
        <v>1321</v>
      </c>
      <c r="Q182" s="271" t="s">
        <v>1322</v>
      </c>
      <c r="R182" s="271" t="s">
        <v>1323</v>
      </c>
      <c r="S182" s="271" t="s">
        <v>1324</v>
      </c>
      <c r="T182" s="271" t="s">
        <v>1325</v>
      </c>
      <c r="U182" s="271" t="s">
        <v>51</v>
      </c>
    </row>
    <row r="183" spans="1:21" s="2" customFormat="1" ht="25.15" hidden="1" customHeight="1">
      <c r="A183" s="25"/>
      <c r="B183" s="1264"/>
      <c r="C183" s="1347" t="s">
        <v>1326</v>
      </c>
      <c r="D183" s="1347"/>
      <c r="E183" s="769">
        <f t="shared" ca="1" si="31"/>
        <v>0</v>
      </c>
      <c r="F183" s="769">
        <f t="shared" ca="1" si="31"/>
        <v>0</v>
      </c>
      <c r="G183" s="769">
        <f t="shared" ca="1" si="31"/>
        <v>0</v>
      </c>
      <c r="H183" s="769">
        <f t="shared" ca="1" si="31"/>
        <v>0</v>
      </c>
      <c r="I183" s="769">
        <f t="shared" ca="1" si="31"/>
        <v>0</v>
      </c>
      <c r="J183" s="720">
        <f t="shared" ca="1" si="32"/>
        <v>0</v>
      </c>
      <c r="K183" s="40"/>
      <c r="L183" s="40"/>
      <c r="M183" s="40"/>
      <c r="O183" s="1152" t="str">
        <f t="shared" ca="1" si="33"/>
        <v>##H</v>
      </c>
      <c r="P183" s="271" t="s">
        <v>1327</v>
      </c>
      <c r="Q183" s="271" t="s">
        <v>1328</v>
      </c>
      <c r="R183" s="271" t="s">
        <v>1329</v>
      </c>
      <c r="S183" s="271" t="s">
        <v>1330</v>
      </c>
      <c r="T183" s="271" t="s">
        <v>1331</v>
      </c>
      <c r="U183" s="271" t="s">
        <v>51</v>
      </c>
    </row>
    <row r="184" spans="1:21" s="2" customFormat="1" ht="15" hidden="1" customHeight="1">
      <c r="A184" s="25"/>
      <c r="B184" s="1264"/>
      <c r="C184" s="1334" t="s">
        <v>1332</v>
      </c>
      <c r="D184" s="1334"/>
      <c r="E184" s="769">
        <f t="shared" ca="1" si="31"/>
        <v>0</v>
      </c>
      <c r="F184" s="769">
        <f t="shared" ca="1" si="31"/>
        <v>0</v>
      </c>
      <c r="G184" s="769">
        <f t="shared" ca="1" si="31"/>
        <v>0</v>
      </c>
      <c r="H184" s="769">
        <f t="shared" ca="1" si="31"/>
        <v>0</v>
      </c>
      <c r="I184" s="769">
        <f t="shared" ca="1" si="31"/>
        <v>0</v>
      </c>
      <c r="J184" s="720">
        <f t="shared" ca="1" si="32"/>
        <v>0</v>
      </c>
      <c r="K184" s="40"/>
      <c r="L184" s="40"/>
      <c r="M184" s="40"/>
      <c r="O184" s="1152" t="str">
        <f t="shared" ca="1" si="33"/>
        <v>##H</v>
      </c>
      <c r="P184" s="271" t="s">
        <v>1333</v>
      </c>
      <c r="Q184" s="271" t="s">
        <v>1334</v>
      </c>
      <c r="R184" s="271" t="s">
        <v>1335</v>
      </c>
      <c r="S184" s="271" t="s">
        <v>1336</v>
      </c>
      <c r="T184" s="271" t="s">
        <v>1337</v>
      </c>
      <c r="U184" s="271" t="s">
        <v>51</v>
      </c>
    </row>
    <row r="185" spans="1:21" s="2" customFormat="1" ht="15" hidden="1" customHeight="1">
      <c r="A185" s="25"/>
      <c r="B185" s="1259"/>
      <c r="C185" s="639" t="s">
        <v>246</v>
      </c>
      <c r="D185" s="785"/>
      <c r="E185" s="556">
        <f t="shared" ref="E185:J185" ca="1" si="34">SUM(E178:E184)</f>
        <v>0</v>
      </c>
      <c r="F185" s="556">
        <f t="shared" ca="1" si="34"/>
        <v>0</v>
      </c>
      <c r="G185" s="556">
        <f t="shared" ca="1" si="34"/>
        <v>0</v>
      </c>
      <c r="H185" s="556">
        <f t="shared" ca="1" si="34"/>
        <v>0</v>
      </c>
      <c r="I185" s="556">
        <f t="shared" ca="1" si="34"/>
        <v>0</v>
      </c>
      <c r="J185" s="287">
        <f t="shared" ca="1" si="34"/>
        <v>0</v>
      </c>
      <c r="O185" s="1152" t="str">
        <f t="shared" ca="1" si="33"/>
        <v>##H</v>
      </c>
      <c r="P185" s="24"/>
      <c r="Q185" s="24"/>
      <c r="R185" s="24"/>
      <c r="S185" s="24"/>
      <c r="T185" s="24"/>
      <c r="U185" s="24"/>
    </row>
    <row r="186" spans="1:21" s="2" customFormat="1" ht="15" customHeight="1">
      <c r="A186" s="25"/>
      <c r="B186" s="1259"/>
      <c r="C186" s="194"/>
      <c r="D186" s="194"/>
      <c r="E186" s="288"/>
      <c r="F186" s="288"/>
      <c r="G186" s="288"/>
      <c r="H186" s="288"/>
      <c r="I186" s="289"/>
      <c r="O186" s="271"/>
      <c r="P186" s="24"/>
      <c r="Q186" s="24"/>
      <c r="R186" s="24"/>
      <c r="S186" s="24"/>
      <c r="T186" s="24"/>
      <c r="U186" s="24"/>
    </row>
    <row r="187" spans="1:21" s="2" customFormat="1" ht="15" customHeight="1">
      <c r="A187" s="25"/>
      <c r="B187" s="1149">
        <f>NTA!F47</f>
        <v>18.200000000000003</v>
      </c>
      <c r="C187" s="1149" t="str">
        <f>NTA!C47</f>
        <v>Trade Receivables ageing schedule-Previous Period</v>
      </c>
      <c r="D187" s="1245"/>
      <c r="E187" s="41"/>
      <c r="F187" s="41"/>
      <c r="G187" s="41"/>
      <c r="H187" s="41"/>
      <c r="I187" s="41"/>
      <c r="J187" s="1114" t="str">
        <f>+'Master Sheet'!$C$65</f>
        <v>(Amount in INR)</v>
      </c>
      <c r="K187" s="117"/>
      <c r="L187" s="117"/>
      <c r="M187" s="117"/>
      <c r="O187" s="271"/>
      <c r="P187" s="24"/>
      <c r="Q187" s="24"/>
      <c r="R187" s="24"/>
      <c r="S187" s="24"/>
      <c r="T187" s="24"/>
      <c r="U187" s="24"/>
    </row>
    <row r="188" spans="1:21" s="2" customFormat="1" ht="15" customHeight="1">
      <c r="A188" s="25"/>
      <c r="B188" s="222"/>
      <c r="C188" s="1325" t="s">
        <v>500</v>
      </c>
      <c r="D188" s="1325"/>
      <c r="E188" s="1350" t="e">
        <f ca="1">BS_PY</f>
        <v>#NAME?</v>
      </c>
      <c r="F188" s="1351"/>
      <c r="G188" s="1351"/>
      <c r="H188" s="1351"/>
      <c r="I188" s="1351"/>
      <c r="J188" s="168"/>
      <c r="K188" s="46"/>
      <c r="L188" s="46"/>
      <c r="M188" s="46"/>
      <c r="O188" s="271"/>
      <c r="P188" s="24"/>
      <c r="Q188" s="24"/>
      <c r="R188" s="24"/>
      <c r="S188" s="24"/>
      <c r="T188" s="24"/>
      <c r="U188" s="24"/>
    </row>
    <row r="189" spans="1:21" s="2" customFormat="1" ht="33" customHeight="1">
      <c r="A189" s="25"/>
      <c r="B189" s="222"/>
      <c r="C189" s="1337"/>
      <c r="D189" s="1337"/>
      <c r="E189" s="1352" t="s">
        <v>1338</v>
      </c>
      <c r="F189" s="1353"/>
      <c r="G189" s="1353"/>
      <c r="H189" s="1353"/>
      <c r="I189" s="1354"/>
      <c r="J189" s="1352" t="s">
        <v>246</v>
      </c>
      <c r="K189" s="30"/>
      <c r="L189" s="30"/>
      <c r="M189" s="30"/>
      <c r="O189" s="271"/>
      <c r="P189" s="24"/>
      <c r="Q189" s="24"/>
      <c r="R189" s="24"/>
      <c r="S189" s="24"/>
      <c r="T189" s="24"/>
      <c r="U189" s="24"/>
    </row>
    <row r="190" spans="1:21" s="2" customFormat="1" ht="26.45">
      <c r="A190" s="25"/>
      <c r="B190" s="222"/>
      <c r="C190" s="1326"/>
      <c r="D190" s="1326"/>
      <c r="E190" s="290" t="s">
        <v>1291</v>
      </c>
      <c r="F190" s="290" t="s">
        <v>1292</v>
      </c>
      <c r="G190" s="290" t="s">
        <v>1293</v>
      </c>
      <c r="H190" s="290" t="s">
        <v>1294</v>
      </c>
      <c r="I190" s="290" t="s">
        <v>1295</v>
      </c>
      <c r="J190" s="1352"/>
      <c r="K190" s="30"/>
      <c r="L190" s="30"/>
      <c r="M190" s="30"/>
      <c r="O190" s="271"/>
      <c r="P190" s="610" t="s">
        <v>1291</v>
      </c>
      <c r="Q190" s="610" t="s">
        <v>1292</v>
      </c>
      <c r="R190" s="610" t="s">
        <v>1293</v>
      </c>
      <c r="S190" s="610" t="s">
        <v>1294</v>
      </c>
      <c r="T190" s="610" t="s">
        <v>1295</v>
      </c>
      <c r="U190" s="611" t="s">
        <v>49</v>
      </c>
    </row>
    <row r="191" spans="1:21" s="2" customFormat="1" ht="15" hidden="1" customHeight="1">
      <c r="A191" s="25"/>
      <c r="B191" s="1264"/>
      <c r="C191" s="1347" t="s">
        <v>1296</v>
      </c>
      <c r="D191" s="1355"/>
      <c r="E191" s="859">
        <f t="shared" ref="E191:I197" ca="1" si="35">IFERROR(INDEX(INDIRECT(VLOOKUP($U191,Source_Master,2,0),),MATCH(TEXT(P191,0),INDIRECT(VLOOKUP($U191,Source_Master,4,0)),0),MATCH($J$1,INDIRECT(VLOOKUP($U191,Source_Master,3,0),),0)),0)</f>
        <v>0</v>
      </c>
      <c r="F191" s="859">
        <f t="shared" ca="1" si="35"/>
        <v>0</v>
      </c>
      <c r="G191" s="859">
        <f t="shared" ca="1" si="35"/>
        <v>0</v>
      </c>
      <c r="H191" s="859">
        <f t="shared" ca="1" si="35"/>
        <v>0</v>
      </c>
      <c r="I191" s="859">
        <f t="shared" ca="1" si="35"/>
        <v>0</v>
      </c>
      <c r="J191" s="860">
        <f ca="1">SUM(E191:I191)</f>
        <v>0</v>
      </c>
      <c r="K191" s="40"/>
      <c r="L191" s="40"/>
      <c r="M191" s="40"/>
      <c r="O191" s="1152" t="str">
        <f t="shared" ref="O191:O198" ca="1" si="36">IF(AND(E191=0,F191=0,G191=0,H191=0,I191=0),"##H","")</f>
        <v>##H</v>
      </c>
      <c r="P191" s="271" t="s">
        <v>1297</v>
      </c>
      <c r="Q191" s="271" t="s">
        <v>1298</v>
      </c>
      <c r="R191" s="271" t="s">
        <v>1299</v>
      </c>
      <c r="S191" s="271" t="s">
        <v>1300</v>
      </c>
      <c r="T191" s="271" t="s">
        <v>1301</v>
      </c>
      <c r="U191" s="271" t="s">
        <v>51</v>
      </c>
    </row>
    <row r="192" spans="1:21" s="2" customFormat="1" ht="15" hidden="1" customHeight="1">
      <c r="A192" s="25"/>
      <c r="B192" s="1264"/>
      <c r="C192" s="1347" t="s">
        <v>1302</v>
      </c>
      <c r="D192" s="1355"/>
      <c r="E192" s="859">
        <f t="shared" ca="1" si="35"/>
        <v>0</v>
      </c>
      <c r="F192" s="859">
        <f t="shared" ca="1" si="35"/>
        <v>0</v>
      </c>
      <c r="G192" s="859">
        <f t="shared" ca="1" si="35"/>
        <v>0</v>
      </c>
      <c r="H192" s="859">
        <f t="shared" ca="1" si="35"/>
        <v>0</v>
      </c>
      <c r="I192" s="859">
        <f t="shared" ca="1" si="35"/>
        <v>0</v>
      </c>
      <c r="J192" s="860">
        <f t="shared" ref="J192:J197" ca="1" si="37">SUM(E192:I192)</f>
        <v>0</v>
      </c>
      <c r="K192" s="40"/>
      <c r="L192" s="40"/>
      <c r="M192" s="40"/>
      <c r="O192" s="1152" t="str">
        <f t="shared" ca="1" si="36"/>
        <v>##H</v>
      </c>
      <c r="P192" s="271" t="s">
        <v>1303</v>
      </c>
      <c r="Q192" s="271" t="s">
        <v>1304</v>
      </c>
      <c r="R192" s="271" t="s">
        <v>1305</v>
      </c>
      <c r="S192" s="271" t="s">
        <v>1306</v>
      </c>
      <c r="T192" s="271" t="s">
        <v>1307</v>
      </c>
      <c r="U192" s="271" t="s">
        <v>51</v>
      </c>
    </row>
    <row r="193" spans="1:21" s="2" customFormat="1" ht="25.15" hidden="1" customHeight="1">
      <c r="A193" s="25"/>
      <c r="B193" s="1264"/>
      <c r="C193" s="1348" t="s">
        <v>1308</v>
      </c>
      <c r="D193" s="1349"/>
      <c r="E193" s="859">
        <f t="shared" ca="1" si="35"/>
        <v>0</v>
      </c>
      <c r="F193" s="859">
        <f t="shared" ca="1" si="35"/>
        <v>0</v>
      </c>
      <c r="G193" s="859">
        <f t="shared" ca="1" si="35"/>
        <v>0</v>
      </c>
      <c r="H193" s="859">
        <f t="shared" ca="1" si="35"/>
        <v>0</v>
      </c>
      <c r="I193" s="859">
        <f t="shared" ca="1" si="35"/>
        <v>0</v>
      </c>
      <c r="J193" s="860">
        <f t="shared" ca="1" si="37"/>
        <v>0</v>
      </c>
      <c r="K193" s="40"/>
      <c r="L193" s="40"/>
      <c r="M193" s="40"/>
      <c r="O193" s="1152" t="str">
        <f t="shared" ca="1" si="36"/>
        <v>##H</v>
      </c>
      <c r="P193" s="271" t="s">
        <v>1309</v>
      </c>
      <c r="Q193" s="271" t="s">
        <v>1310</v>
      </c>
      <c r="R193" s="271" t="s">
        <v>1311</v>
      </c>
      <c r="S193" s="271" t="s">
        <v>1312</v>
      </c>
      <c r="T193" s="271" t="s">
        <v>1313</v>
      </c>
      <c r="U193" s="271" t="s">
        <v>51</v>
      </c>
    </row>
    <row r="194" spans="1:21" s="2" customFormat="1" ht="15" hidden="1" customHeight="1">
      <c r="A194" s="25"/>
      <c r="B194" s="1264"/>
      <c r="C194" s="1347" t="s">
        <v>1314</v>
      </c>
      <c r="D194" s="1355"/>
      <c r="E194" s="859">
        <f t="shared" ca="1" si="35"/>
        <v>0</v>
      </c>
      <c r="F194" s="859">
        <f t="shared" ca="1" si="35"/>
        <v>0</v>
      </c>
      <c r="G194" s="859">
        <f t="shared" ca="1" si="35"/>
        <v>0</v>
      </c>
      <c r="H194" s="859">
        <f t="shared" ca="1" si="35"/>
        <v>0</v>
      </c>
      <c r="I194" s="859">
        <f t="shared" ca="1" si="35"/>
        <v>0</v>
      </c>
      <c r="J194" s="860">
        <f t="shared" ca="1" si="37"/>
        <v>0</v>
      </c>
      <c r="K194" s="40"/>
      <c r="L194" s="40"/>
      <c r="M194" s="40"/>
      <c r="O194" s="1152" t="str">
        <f t="shared" ca="1" si="36"/>
        <v>##H</v>
      </c>
      <c r="P194" s="271" t="s">
        <v>1315</v>
      </c>
      <c r="Q194" s="271" t="s">
        <v>1316</v>
      </c>
      <c r="R194" s="271" t="s">
        <v>1317</v>
      </c>
      <c r="S194" s="271" t="s">
        <v>1318</v>
      </c>
      <c r="T194" s="271" t="s">
        <v>1319</v>
      </c>
      <c r="U194" s="271" t="s">
        <v>51</v>
      </c>
    </row>
    <row r="195" spans="1:21" s="2" customFormat="1" ht="15" hidden="1" customHeight="1">
      <c r="A195" s="25"/>
      <c r="B195" s="1264"/>
      <c r="C195" s="1347" t="s">
        <v>1320</v>
      </c>
      <c r="D195" s="1355"/>
      <c r="E195" s="859">
        <f t="shared" ca="1" si="35"/>
        <v>0</v>
      </c>
      <c r="F195" s="859">
        <f t="shared" ca="1" si="35"/>
        <v>0</v>
      </c>
      <c r="G195" s="859">
        <f t="shared" ca="1" si="35"/>
        <v>0</v>
      </c>
      <c r="H195" s="859">
        <f t="shared" ca="1" si="35"/>
        <v>0</v>
      </c>
      <c r="I195" s="859">
        <f t="shared" ca="1" si="35"/>
        <v>0</v>
      </c>
      <c r="J195" s="860">
        <f t="shared" ca="1" si="37"/>
        <v>0</v>
      </c>
      <c r="K195" s="40"/>
      <c r="L195" s="40"/>
      <c r="M195" s="40"/>
      <c r="O195" s="1152" t="str">
        <f t="shared" ca="1" si="36"/>
        <v>##H</v>
      </c>
      <c r="P195" s="271" t="s">
        <v>1321</v>
      </c>
      <c r="Q195" s="271" t="s">
        <v>1322</v>
      </c>
      <c r="R195" s="271" t="s">
        <v>1323</v>
      </c>
      <c r="S195" s="271" t="s">
        <v>1324</v>
      </c>
      <c r="T195" s="271" t="s">
        <v>1325</v>
      </c>
      <c r="U195" s="271" t="s">
        <v>51</v>
      </c>
    </row>
    <row r="196" spans="1:21" s="2" customFormat="1" ht="29.25" hidden="1" customHeight="1">
      <c r="A196" s="25"/>
      <c r="B196" s="1264"/>
      <c r="C196" s="1347" t="s">
        <v>1326</v>
      </c>
      <c r="D196" s="1355"/>
      <c r="E196" s="859">
        <f t="shared" ca="1" si="35"/>
        <v>0</v>
      </c>
      <c r="F196" s="859">
        <f t="shared" ca="1" si="35"/>
        <v>0</v>
      </c>
      <c r="G196" s="859">
        <f t="shared" ca="1" si="35"/>
        <v>0</v>
      </c>
      <c r="H196" s="859">
        <f t="shared" ca="1" si="35"/>
        <v>0</v>
      </c>
      <c r="I196" s="859">
        <f t="shared" ca="1" si="35"/>
        <v>0</v>
      </c>
      <c r="J196" s="860">
        <f t="shared" ca="1" si="37"/>
        <v>0</v>
      </c>
      <c r="K196" s="40"/>
      <c r="L196" s="40"/>
      <c r="M196" s="40"/>
      <c r="O196" s="1152" t="str">
        <f t="shared" ca="1" si="36"/>
        <v>##H</v>
      </c>
      <c r="P196" s="271" t="s">
        <v>1327</v>
      </c>
      <c r="Q196" s="271" t="s">
        <v>1328</v>
      </c>
      <c r="R196" s="271" t="s">
        <v>1329</v>
      </c>
      <c r="S196" s="271" t="s">
        <v>1330</v>
      </c>
      <c r="T196" s="271" t="s">
        <v>1331</v>
      </c>
      <c r="U196" s="271" t="s">
        <v>51</v>
      </c>
    </row>
    <row r="197" spans="1:21" s="2" customFormat="1" ht="15" hidden="1" customHeight="1">
      <c r="A197" s="25"/>
      <c r="B197" s="1264"/>
      <c r="C197" s="1334" t="s">
        <v>1332</v>
      </c>
      <c r="D197" s="1357"/>
      <c r="E197" s="859">
        <f t="shared" ca="1" si="35"/>
        <v>0</v>
      </c>
      <c r="F197" s="859">
        <f t="shared" ca="1" si="35"/>
        <v>0</v>
      </c>
      <c r="G197" s="859">
        <f t="shared" ca="1" si="35"/>
        <v>0</v>
      </c>
      <c r="H197" s="859">
        <f t="shared" ca="1" si="35"/>
        <v>0</v>
      </c>
      <c r="I197" s="859">
        <f t="shared" ca="1" si="35"/>
        <v>0</v>
      </c>
      <c r="J197" s="860">
        <f t="shared" ca="1" si="37"/>
        <v>0</v>
      </c>
      <c r="K197" s="40"/>
      <c r="L197" s="40"/>
      <c r="M197" s="40"/>
      <c r="O197" s="1152" t="str">
        <f t="shared" ca="1" si="36"/>
        <v>##H</v>
      </c>
      <c r="P197" s="271" t="s">
        <v>1333</v>
      </c>
      <c r="Q197" s="271" t="s">
        <v>1334</v>
      </c>
      <c r="R197" s="271" t="s">
        <v>1335</v>
      </c>
      <c r="S197" s="271" t="s">
        <v>1336</v>
      </c>
      <c r="T197" s="271" t="s">
        <v>1337</v>
      </c>
      <c r="U197" s="271" t="s">
        <v>51</v>
      </c>
    </row>
    <row r="198" spans="1:21" s="2" customFormat="1" ht="15" hidden="1" customHeight="1">
      <c r="A198" s="25"/>
      <c r="B198" s="1259"/>
      <c r="C198" s="639" t="s">
        <v>246</v>
      </c>
      <c r="D198" s="785"/>
      <c r="E198" s="609">
        <f ca="1">SUM(E191:E197)</f>
        <v>0</v>
      </c>
      <c r="F198" s="609">
        <f t="shared" ref="F198:J198" ca="1" si="38">SUM(F191:F197)</f>
        <v>0</v>
      </c>
      <c r="G198" s="609">
        <f t="shared" ca="1" si="38"/>
        <v>0</v>
      </c>
      <c r="H198" s="609">
        <f t="shared" ca="1" si="38"/>
        <v>0</v>
      </c>
      <c r="I198" s="609">
        <f t="shared" ca="1" si="38"/>
        <v>0</v>
      </c>
      <c r="J198" s="291">
        <f t="shared" ca="1" si="38"/>
        <v>0</v>
      </c>
      <c r="O198" s="1152" t="str">
        <f t="shared" ca="1" si="36"/>
        <v>##H</v>
      </c>
      <c r="P198" s="24"/>
      <c r="Q198" s="24"/>
      <c r="R198" s="24"/>
      <c r="S198" s="24"/>
      <c r="T198" s="24"/>
      <c r="U198" s="24"/>
    </row>
    <row r="199" spans="1:21" s="2" customFormat="1">
      <c r="A199" s="25"/>
      <c r="B199" s="1264"/>
      <c r="C199" s="1244"/>
      <c r="D199" s="1244"/>
      <c r="E199" s="1244"/>
      <c r="F199" s="1244"/>
      <c r="G199" s="1244"/>
      <c r="H199" s="1244"/>
      <c r="I199" s="1244"/>
      <c r="J199" s="1244"/>
      <c r="K199" s="1244"/>
      <c r="L199" s="1244"/>
      <c r="M199" s="1244"/>
      <c r="O199" s="271"/>
      <c r="P199" s="24"/>
      <c r="Q199" s="24"/>
      <c r="R199" s="24"/>
      <c r="S199" s="24"/>
      <c r="T199" s="24"/>
      <c r="U199" s="24"/>
    </row>
    <row r="200" spans="1:21" s="2" customFormat="1">
      <c r="A200" s="25"/>
      <c r="B200" s="1123">
        <f>NTA!F48</f>
        <v>18.300000000000004</v>
      </c>
      <c r="C200" s="1123" t="str">
        <f>NTA!C48</f>
        <v>Credit period and risk</v>
      </c>
      <c r="D200" s="293"/>
      <c r="E200" s="294"/>
      <c r="F200" s="294"/>
      <c r="G200" s="294"/>
      <c r="H200" s="294"/>
      <c r="I200" s="289"/>
      <c r="O200" s="271"/>
      <c r="P200" s="24"/>
      <c r="Q200" s="24"/>
      <c r="R200" s="24"/>
      <c r="S200" s="24"/>
      <c r="T200" s="24"/>
      <c r="U200" s="24"/>
    </row>
    <row r="201" spans="1:21" s="2" customFormat="1" ht="40.15" customHeight="1">
      <c r="A201" s="25"/>
      <c r="B201" s="1259"/>
      <c r="C201" s="1345" t="s">
        <v>1339</v>
      </c>
      <c r="D201" s="1346"/>
      <c r="E201" s="1346"/>
      <c r="F201" s="1346"/>
      <c r="G201" s="1346"/>
      <c r="H201" s="1346"/>
      <c r="I201" s="1346"/>
      <c r="J201" s="1346"/>
      <c r="N201" s="559" t="s">
        <v>1250</v>
      </c>
      <c r="O201" s="295" t="s">
        <v>169</v>
      </c>
      <c r="P201" s="295" t="s">
        <v>172</v>
      </c>
      <c r="Q201" s="295" t="s">
        <v>170</v>
      </c>
      <c r="R201" s="24"/>
      <c r="S201" s="295" t="s">
        <v>119</v>
      </c>
      <c r="T201" s="295" t="s">
        <v>1340</v>
      </c>
      <c r="U201" s="24"/>
    </row>
    <row r="202" spans="1:21" s="2" customFormat="1" ht="27.6" customHeight="1">
      <c r="A202" s="25"/>
      <c r="B202" s="1259"/>
      <c r="C202" s="1345" t="s">
        <v>1341</v>
      </c>
      <c r="D202" s="1346"/>
      <c r="E202" s="1346"/>
      <c r="F202" s="1346"/>
      <c r="G202" s="1346"/>
      <c r="H202" s="1346"/>
      <c r="I202" s="1346"/>
      <c r="J202" s="1346"/>
      <c r="N202" s="295" t="s">
        <v>969</v>
      </c>
      <c r="O202" s="295" t="s">
        <v>169</v>
      </c>
      <c r="P202" s="24"/>
      <c r="Q202" s="24"/>
      <c r="R202" s="24"/>
      <c r="S202" s="24"/>
      <c r="T202" s="24"/>
      <c r="U202" s="24"/>
    </row>
    <row r="203" spans="1:21" s="2" customFormat="1" ht="13.5" customHeight="1">
      <c r="A203" s="25"/>
      <c r="B203" s="1259"/>
      <c r="C203" s="532"/>
      <c r="D203" s="533"/>
      <c r="E203" s="533"/>
      <c r="F203" s="533"/>
      <c r="G203" s="557"/>
      <c r="H203" s="557"/>
      <c r="I203" s="557"/>
      <c r="J203" s="557"/>
      <c r="N203" s="295"/>
      <c r="O203" s="295"/>
      <c r="P203" s="24"/>
      <c r="Q203" s="24"/>
      <c r="R203" s="24"/>
      <c r="S203" s="24"/>
      <c r="T203" s="24"/>
      <c r="U203" s="24"/>
    </row>
    <row r="204" spans="1:21" s="2" customFormat="1" ht="13.9">
      <c r="A204" s="25"/>
      <c r="B204" s="222"/>
      <c r="C204" s="1313" t="s">
        <v>500</v>
      </c>
      <c r="D204" s="1313"/>
      <c r="E204" s="1313"/>
      <c r="F204" s="1313"/>
      <c r="G204" s="811"/>
      <c r="H204" s="1150" t="e">
        <f ca="1">BS_CY</f>
        <v>#NAME?</v>
      </c>
      <c r="I204" s="723"/>
      <c r="J204" s="1093" t="e">
        <f ca="1">BS_PY</f>
        <v>#NAME?</v>
      </c>
      <c r="N204" s="24"/>
      <c r="O204" s="271"/>
      <c r="P204" s="24"/>
      <c r="Q204" s="24"/>
      <c r="R204" s="24"/>
      <c r="S204" s="24"/>
      <c r="T204" s="24"/>
      <c r="U204" s="24"/>
    </row>
    <row r="205" spans="1:21" s="2" customFormat="1" ht="15" customHeight="1">
      <c r="A205" s="25"/>
      <c r="B205" s="1259"/>
      <c r="C205" s="296" t="s">
        <v>1342</v>
      </c>
      <c r="D205" s="297"/>
      <c r="E205" s="298"/>
      <c r="F205" s="298"/>
      <c r="G205" s="299"/>
      <c r="H205" s="861">
        <f ca="1">IFERROR(INDEX(INDIRECT(VLOOKUP($U205,Source_Master,2,0),),MATCH(TEXT($P205,0),INDIRECT(VLOOKUP($U205,Source_Master,4,0)),0),MATCH(H$1,INDIRECT(VLOOKUP($U205,Source_Master,3,0),),0)),0)</f>
        <v>0</v>
      </c>
      <c r="I205" s="612"/>
      <c r="J205" s="863">
        <f ca="1">IFERROR(INDEX(INDIRECT(VLOOKUP($U205,Source_Master,2,0),),MATCH(TEXT($P205,0),INDIRECT(VLOOKUP($U205,Source_Master,4,0)),0),MATCH(J$1,INDIRECT(VLOOKUP($U205,Source_Master,3,0),),0)),0)</f>
        <v>0</v>
      </c>
      <c r="N205" s="24"/>
      <c r="O205" s="1152" t="str">
        <f t="shared" ref="O205:O206" ca="1" si="39">IF(AND(H205=0,J205=0),"##H","")</f>
        <v>##H</v>
      </c>
      <c r="P205" s="271" t="s">
        <v>1343</v>
      </c>
      <c r="S205" s="24"/>
      <c r="T205" s="24"/>
      <c r="U205" s="271" t="s">
        <v>51</v>
      </c>
    </row>
    <row r="206" spans="1:21" s="2" customFormat="1" ht="15" customHeight="1">
      <c r="A206" s="25"/>
      <c r="B206" s="1259"/>
      <c r="C206" s="301" t="s">
        <v>1344</v>
      </c>
      <c r="D206" s="302"/>
      <c r="E206" s="303"/>
      <c r="F206" s="303"/>
      <c r="G206" s="304"/>
      <c r="H206" s="862">
        <f ca="1">IFERROR(INDEX(INDIRECT(VLOOKUP($U206,Source_Master,2,0),),MATCH(TEXT($P206,0),INDIRECT(VLOOKUP($U206,Source_Master,4,0)),0),MATCH(H$1,INDIRECT(VLOOKUP($U206,Source_Master,3,0),),0)),0)</f>
        <v>0</v>
      </c>
      <c r="I206" s="613"/>
      <c r="J206" s="864">
        <f ca="1">IFERROR(INDEX(INDIRECT(VLOOKUP($U206,Source_Master,2,0),),MATCH(TEXT($P206,0),INDIRECT(VLOOKUP($U206,Source_Master,4,0)),0),MATCH(J$1,INDIRECT(VLOOKUP($U206,Source_Master,3,0),),0)),0)</f>
        <v>0</v>
      </c>
      <c r="N206" s="24"/>
      <c r="O206" s="1152" t="str">
        <f t="shared" ca="1" si="39"/>
        <v>##H</v>
      </c>
      <c r="P206" s="271" t="s">
        <v>1345</v>
      </c>
      <c r="S206" s="24"/>
      <c r="T206" s="24"/>
      <c r="U206" s="271" t="s">
        <v>51</v>
      </c>
    </row>
    <row r="207" spans="1:21" s="2" customFormat="1">
      <c r="A207" s="25"/>
      <c r="B207" s="1259"/>
      <c r="C207" s="532"/>
      <c r="D207" s="293"/>
      <c r="E207" s="294"/>
      <c r="F207" s="294"/>
      <c r="G207" s="558"/>
      <c r="H207" s="558"/>
      <c r="I207" s="289"/>
      <c r="N207" s="24"/>
      <c r="O207" s="271"/>
      <c r="P207" s="24"/>
      <c r="Q207" s="24"/>
      <c r="R207" s="24"/>
      <c r="S207" s="24"/>
      <c r="T207" s="24"/>
      <c r="U207" s="24"/>
    </row>
    <row r="208" spans="1:21" s="2" customFormat="1">
      <c r="A208" s="25"/>
      <c r="B208" s="1259"/>
      <c r="C208" s="1356" t="s">
        <v>1346</v>
      </c>
      <c r="D208" s="1356"/>
      <c r="E208" s="1356"/>
      <c r="F208" s="1356"/>
      <c r="G208" s="1356"/>
      <c r="H208" s="1356"/>
      <c r="I208" s="1356"/>
      <c r="J208" s="1356"/>
      <c r="N208" s="295" t="s">
        <v>124</v>
      </c>
      <c r="O208" s="295" t="s">
        <v>119</v>
      </c>
      <c r="P208" s="295" t="s">
        <v>1340</v>
      </c>
      <c r="Q208" s="24"/>
      <c r="R208" s="24"/>
      <c r="S208" s="24"/>
      <c r="T208" s="24"/>
      <c r="U208" s="24"/>
    </row>
    <row r="209" spans="1:21" s="2" customFormat="1" ht="6.75" customHeight="1">
      <c r="A209" s="25"/>
      <c r="B209" s="1259"/>
      <c r="C209" s="1252"/>
      <c r="D209" s="1252"/>
      <c r="E209" s="1252"/>
      <c r="F209" s="1252"/>
      <c r="G209" s="1252"/>
      <c r="H209" s="1252"/>
      <c r="I209" s="1252"/>
      <c r="J209" s="1252"/>
      <c r="N209" s="24"/>
      <c r="O209" s="271"/>
      <c r="P209" s="24"/>
      <c r="Q209" s="24"/>
      <c r="R209" s="295"/>
      <c r="S209" s="295"/>
      <c r="T209" s="295"/>
      <c r="U209" s="24"/>
    </row>
    <row r="210" spans="1:21" s="2" customFormat="1" ht="26.1" customHeight="1">
      <c r="A210" s="25"/>
      <c r="B210" s="1259"/>
      <c r="C210" s="1345" t="s">
        <v>1347</v>
      </c>
      <c r="D210" s="1345"/>
      <c r="E210" s="1345"/>
      <c r="F210" s="1345"/>
      <c r="G210" s="1345"/>
      <c r="H210" s="1345"/>
      <c r="I210" s="1345"/>
      <c r="J210" s="1345"/>
      <c r="N210" s="295" t="s">
        <v>169</v>
      </c>
      <c r="O210" s="24"/>
      <c r="P210" s="24"/>
      <c r="Q210" s="24"/>
      <c r="R210" s="24"/>
      <c r="S210" s="24"/>
      <c r="T210" s="24"/>
      <c r="U210" s="24"/>
    </row>
    <row r="211" spans="1:21" s="2" customFormat="1" ht="7.5" customHeight="1">
      <c r="A211" s="25"/>
      <c r="B211" s="1259"/>
      <c r="C211" s="306"/>
      <c r="D211" s="306"/>
      <c r="E211" s="306"/>
      <c r="F211" s="306"/>
      <c r="G211" s="306"/>
      <c r="H211" s="306"/>
      <c r="I211" s="306"/>
      <c r="J211" s="306"/>
      <c r="N211" s="24"/>
      <c r="O211" s="295"/>
      <c r="P211" s="24"/>
      <c r="Q211" s="24"/>
      <c r="R211" s="24"/>
      <c r="S211" s="24"/>
      <c r="T211" s="24"/>
      <c r="U211" s="24"/>
    </row>
    <row r="212" spans="1:21" s="2" customFormat="1" ht="26.1" customHeight="1">
      <c r="A212" s="25"/>
      <c r="B212" s="1259"/>
      <c r="C212" s="1345" t="s">
        <v>1348</v>
      </c>
      <c r="D212" s="1345"/>
      <c r="E212" s="1345"/>
      <c r="F212" s="1345"/>
      <c r="G212" s="1345"/>
      <c r="H212" s="1345"/>
      <c r="I212" s="1345"/>
      <c r="J212" s="1345"/>
      <c r="N212" s="295" t="s">
        <v>172</v>
      </c>
      <c r="O212" s="271"/>
      <c r="P212" s="24"/>
      <c r="Q212" s="24"/>
      <c r="R212" s="24"/>
      <c r="S212" s="24"/>
      <c r="T212" s="24"/>
      <c r="U212" s="24"/>
    </row>
    <row r="213" spans="1:21" s="2" customFormat="1" ht="7.5" customHeight="1">
      <c r="A213" s="25"/>
      <c r="B213" s="1259"/>
      <c r="C213" s="306"/>
      <c r="D213" s="306"/>
      <c r="E213" s="306"/>
      <c r="F213" s="306"/>
      <c r="G213" s="306"/>
      <c r="H213" s="306"/>
      <c r="I213" s="306"/>
      <c r="J213" s="306"/>
      <c r="N213" s="24"/>
      <c r="O213" s="271"/>
      <c r="P213" s="295"/>
      <c r="Q213" s="24"/>
      <c r="R213" s="24"/>
      <c r="S213" s="24"/>
      <c r="T213" s="24"/>
      <c r="U213" s="24"/>
    </row>
    <row r="214" spans="1:21" s="2" customFormat="1" ht="26.1" customHeight="1">
      <c r="A214" s="25"/>
      <c r="B214" s="1259"/>
      <c r="C214" s="1345" t="s">
        <v>1349</v>
      </c>
      <c r="D214" s="1345"/>
      <c r="E214" s="1345"/>
      <c r="F214" s="1345"/>
      <c r="G214" s="1345"/>
      <c r="H214" s="1345"/>
      <c r="I214" s="1345"/>
      <c r="J214" s="1345"/>
      <c r="N214" s="295" t="s">
        <v>170</v>
      </c>
      <c r="O214" s="271"/>
      <c r="P214" s="295"/>
      <c r="Q214" s="24"/>
      <c r="R214" s="24"/>
      <c r="S214" s="24"/>
      <c r="T214" s="24"/>
      <c r="U214" s="24"/>
    </row>
    <row r="215" spans="1:21" s="2" customFormat="1" ht="8.25" customHeight="1">
      <c r="A215" s="25"/>
      <c r="B215" s="1259"/>
      <c r="C215" s="306"/>
      <c r="D215" s="306"/>
      <c r="E215" s="306"/>
      <c r="F215" s="306"/>
      <c r="G215" s="306"/>
      <c r="H215" s="306"/>
      <c r="I215" s="306"/>
      <c r="J215" s="306"/>
      <c r="O215" s="271"/>
      <c r="P215" s="295"/>
      <c r="Q215" s="295"/>
      <c r="R215" s="24"/>
      <c r="S215" s="24"/>
      <c r="T215" s="24"/>
      <c r="U215" s="24"/>
    </row>
    <row r="216" spans="1:21" s="2" customFormat="1" ht="29.65" customHeight="1">
      <c r="A216" s="25"/>
      <c r="B216" s="1259"/>
      <c r="C216" s="1345" t="s">
        <v>1350</v>
      </c>
      <c r="D216" s="1345"/>
      <c r="E216" s="1345"/>
      <c r="F216" s="1345"/>
      <c r="G216" s="1345"/>
      <c r="H216" s="1345"/>
      <c r="I216" s="1345"/>
      <c r="J216" s="1345"/>
      <c r="N216" s="559" t="s">
        <v>1250</v>
      </c>
      <c r="O216" s="295" t="s">
        <v>169</v>
      </c>
      <c r="P216" s="295" t="s">
        <v>172</v>
      </c>
      <c r="Q216" s="295" t="s">
        <v>170</v>
      </c>
      <c r="R216" s="295" t="s">
        <v>124</v>
      </c>
      <c r="S216" s="295" t="s">
        <v>119</v>
      </c>
      <c r="T216" s="24"/>
      <c r="U216" s="24"/>
    </row>
    <row r="217" spans="1:21" s="2" customFormat="1" ht="8.1" customHeight="1">
      <c r="A217" s="25"/>
      <c r="B217" s="1259"/>
      <c r="C217" s="306"/>
      <c r="D217" s="306"/>
      <c r="E217" s="306"/>
      <c r="F217" s="306"/>
      <c r="G217" s="306"/>
      <c r="H217" s="306"/>
      <c r="I217" s="306"/>
      <c r="J217" s="306"/>
      <c r="N217" s="22"/>
      <c r="O217" s="295"/>
      <c r="P217" s="295"/>
      <c r="Q217" s="295"/>
      <c r="R217" s="295"/>
      <c r="S217" s="24"/>
      <c r="T217" s="24"/>
      <c r="U217" s="24"/>
    </row>
    <row r="218" spans="1:21" s="2" customFormat="1">
      <c r="A218" s="25"/>
      <c r="B218" s="1123">
        <f>NTA!F49</f>
        <v>18.400000000000006</v>
      </c>
      <c r="C218" s="1123" t="str">
        <f>NTA!C49</f>
        <v>Related party transactions and balances</v>
      </c>
      <c r="D218" s="306"/>
      <c r="E218" s="306"/>
      <c r="F218" s="306"/>
      <c r="G218" s="306"/>
      <c r="H218" s="306"/>
      <c r="I218" s="306"/>
      <c r="J218" s="306"/>
      <c r="N218" s="22"/>
      <c r="O218" s="295"/>
      <c r="P218" s="295"/>
      <c r="Q218" s="24"/>
      <c r="R218" s="24"/>
      <c r="S218" s="24"/>
      <c r="T218" s="24"/>
      <c r="U218" s="24"/>
    </row>
    <row r="219" spans="1:21" s="2" customFormat="1">
      <c r="A219" s="25"/>
      <c r="B219" s="1259"/>
      <c r="C219" s="560" t="s">
        <v>1351</v>
      </c>
      <c r="D219" s="306"/>
      <c r="E219" s="306"/>
      <c r="F219" s="306"/>
      <c r="G219" s="306"/>
      <c r="H219" s="306"/>
      <c r="I219" s="306"/>
      <c r="J219" s="306"/>
      <c r="N219" s="22"/>
      <c r="O219" s="295"/>
      <c r="P219" s="295"/>
      <c r="Q219" s="24"/>
      <c r="R219" s="24"/>
      <c r="S219" s="24"/>
      <c r="T219" s="24"/>
      <c r="U219" s="24"/>
    </row>
    <row r="220" spans="1:21" s="2" customFormat="1">
      <c r="A220" s="25"/>
      <c r="B220" s="1259"/>
      <c r="C220" s="307" t="s">
        <v>1352</v>
      </c>
      <c r="D220" s="306"/>
      <c r="E220" s="306"/>
      <c r="F220" s="306"/>
      <c r="G220" s="306"/>
      <c r="H220" s="306"/>
      <c r="I220" s="306"/>
      <c r="J220" s="1114" t="str">
        <f>+'Master Sheet'!$C$65</f>
        <v>(Amount in INR)</v>
      </c>
      <c r="N220" s="22"/>
      <c r="O220" s="295"/>
      <c r="P220" s="295"/>
      <c r="Q220" s="24"/>
      <c r="R220" s="24"/>
      <c r="S220" s="24"/>
      <c r="T220" s="24"/>
      <c r="U220" s="24"/>
    </row>
    <row r="221" spans="1:21" s="2" customFormat="1" ht="13.9">
      <c r="A221" s="25"/>
      <c r="B221" s="222"/>
      <c r="C221" s="1359" t="s">
        <v>1353</v>
      </c>
      <c r="D221" s="1359"/>
      <c r="E221" s="1359"/>
      <c r="F221" s="1359"/>
      <c r="G221" s="811"/>
      <c r="H221" s="1150" t="e">
        <f ca="1">BS_CY</f>
        <v>#NAME?</v>
      </c>
      <c r="I221" s="723"/>
      <c r="J221" s="1093" t="e">
        <f ca="1">BS_PY</f>
        <v>#NAME?</v>
      </c>
      <c r="N221" s="22"/>
      <c r="O221" s="295"/>
      <c r="P221" s="295"/>
      <c r="Q221" s="24"/>
      <c r="R221" s="24"/>
      <c r="S221" s="24"/>
      <c r="T221" s="24"/>
      <c r="U221" s="24"/>
    </row>
    <row r="222" spans="1:21" s="2" customFormat="1" ht="13.9">
      <c r="A222" s="25"/>
      <c r="B222" s="222"/>
      <c r="C222" s="561" t="s">
        <v>1354</v>
      </c>
      <c r="D222" s="561"/>
      <c r="E222" s="562"/>
      <c r="F222" s="562"/>
      <c r="G222" s="304"/>
      <c r="H222" s="304"/>
      <c r="I222" s="305"/>
      <c r="J222" s="206"/>
      <c r="N222" s="22"/>
      <c r="O222" s="295"/>
      <c r="P222" s="295"/>
      <c r="Q222" s="24"/>
      <c r="R222" s="24"/>
      <c r="S222" s="24"/>
      <c r="T222" s="24"/>
      <c r="U222" s="24"/>
    </row>
    <row r="223" spans="1:21" s="2" customFormat="1">
      <c r="A223" s="25"/>
      <c r="B223" s="1259"/>
      <c r="C223" s="308"/>
      <c r="D223" s="293"/>
      <c r="E223" s="294"/>
      <c r="F223" s="294"/>
      <c r="G223" s="294"/>
      <c r="H223" s="294"/>
      <c r="I223" s="289"/>
      <c r="N223" s="22"/>
      <c r="O223" s="295"/>
      <c r="P223" s="295"/>
      <c r="Q223" s="24"/>
      <c r="R223" s="24"/>
      <c r="S223" s="24"/>
      <c r="T223" s="24"/>
      <c r="U223" s="24"/>
    </row>
    <row r="224" spans="1:21" s="2" customFormat="1" ht="13.9">
      <c r="A224" s="25"/>
      <c r="B224" s="222"/>
      <c r="C224" s="1313" t="s">
        <v>1355</v>
      </c>
      <c r="D224" s="1313"/>
      <c r="E224" s="1313"/>
      <c r="F224" s="1313"/>
      <c r="G224" s="811"/>
      <c r="H224" s="1150" t="e">
        <f ca="1">BS_CY</f>
        <v>#NAME?</v>
      </c>
      <c r="I224" s="723"/>
      <c r="J224" s="1093" t="e">
        <f ca="1">BS_PY</f>
        <v>#NAME?</v>
      </c>
      <c r="N224" s="22"/>
      <c r="O224" s="295"/>
      <c r="P224" s="295"/>
      <c r="Q224" s="24"/>
      <c r="R224" s="24"/>
      <c r="S224" s="24"/>
      <c r="T224" s="24"/>
      <c r="U224" s="24"/>
    </row>
    <row r="225" spans="1:21" s="2" customFormat="1" ht="13.9">
      <c r="A225" s="25"/>
      <c r="B225" s="222"/>
      <c r="C225" s="309" t="s">
        <v>1356</v>
      </c>
      <c r="D225" s="310"/>
      <c r="E225" s="310"/>
      <c r="F225" s="310"/>
      <c r="G225" s="563"/>
      <c r="H225" s="563"/>
      <c r="I225" s="32"/>
      <c r="J225" s="32"/>
      <c r="N225" s="22"/>
      <c r="O225" s="295"/>
      <c r="P225" s="295"/>
      <c r="Q225" s="24"/>
      <c r="R225" s="24"/>
      <c r="S225" s="24"/>
      <c r="T225" s="24"/>
      <c r="U225" s="24"/>
    </row>
    <row r="226" spans="1:21" s="2" customFormat="1">
      <c r="A226" s="25"/>
      <c r="B226" s="1259"/>
      <c r="C226" s="302" t="s">
        <v>1357</v>
      </c>
      <c r="D226" s="302"/>
      <c r="E226" s="303"/>
      <c r="F226" s="303"/>
      <c r="G226" s="304"/>
      <c r="H226" s="304"/>
      <c r="I226" s="305"/>
      <c r="J226" s="206"/>
      <c r="N226" s="22"/>
      <c r="O226" s="295"/>
      <c r="P226" s="295"/>
      <c r="Q226" s="24"/>
      <c r="R226" s="24"/>
      <c r="S226" s="24"/>
      <c r="T226" s="24"/>
      <c r="U226" s="24"/>
    </row>
    <row r="227" spans="1:21" s="2" customFormat="1" ht="7.5" customHeight="1">
      <c r="A227" s="25"/>
      <c r="B227" s="1259"/>
      <c r="C227" s="293"/>
      <c r="D227" s="293"/>
      <c r="E227" s="294"/>
      <c r="F227" s="294"/>
      <c r="G227" s="294"/>
      <c r="H227" s="294"/>
      <c r="I227" s="289"/>
      <c r="N227" s="22"/>
      <c r="O227" s="295"/>
      <c r="P227" s="295"/>
      <c r="Q227" s="24"/>
      <c r="R227" s="24"/>
      <c r="S227" s="24"/>
      <c r="T227" s="24"/>
      <c r="U227" s="24"/>
    </row>
    <row r="228" spans="1:21" s="2" customFormat="1">
      <c r="A228" s="25"/>
      <c r="B228" s="1259"/>
      <c r="C228" s="308" t="s">
        <v>1358</v>
      </c>
      <c r="D228" s="293"/>
      <c r="E228" s="294"/>
      <c r="F228" s="294"/>
      <c r="G228" s="294"/>
      <c r="H228" s="294"/>
      <c r="I228" s="289"/>
      <c r="O228" s="271"/>
      <c r="P228" s="24"/>
      <c r="Q228" s="24"/>
      <c r="R228" s="24"/>
      <c r="S228" s="24"/>
      <c r="T228" s="24"/>
      <c r="U228" s="24"/>
    </row>
    <row r="229" spans="1:21" s="2" customFormat="1">
      <c r="A229" s="25"/>
      <c r="B229" s="1259"/>
      <c r="C229" s="308"/>
      <c r="D229" s="293"/>
      <c r="E229" s="294"/>
      <c r="F229" s="294"/>
      <c r="G229" s="294"/>
      <c r="H229" s="294"/>
      <c r="I229" s="289"/>
      <c r="O229" s="271"/>
      <c r="P229" s="24"/>
      <c r="Q229" s="24"/>
      <c r="R229" s="24"/>
      <c r="S229" s="24"/>
      <c r="T229" s="24"/>
      <c r="U229" s="24"/>
    </row>
    <row r="230" spans="1:21" s="2" customFormat="1">
      <c r="A230" s="25"/>
      <c r="B230" s="1123">
        <f>NTA!F50</f>
        <v>18.500000000000007</v>
      </c>
      <c r="C230" s="1123" t="str">
        <f>NTA!C50</f>
        <v>Expected credit loss allowance</v>
      </c>
      <c r="D230" s="293"/>
      <c r="E230" s="294"/>
      <c r="F230" s="294"/>
      <c r="G230" s="294"/>
      <c r="H230" s="294"/>
      <c r="I230" s="289"/>
      <c r="O230" s="271"/>
      <c r="P230" s="24"/>
      <c r="Q230" s="24"/>
      <c r="R230" s="24"/>
      <c r="S230" s="24"/>
      <c r="T230" s="24"/>
      <c r="U230" s="24"/>
    </row>
    <row r="231" spans="1:21" s="2" customFormat="1" ht="41.65" customHeight="1">
      <c r="A231" s="25"/>
      <c r="B231" s="1259"/>
      <c r="C231" s="1345" t="s">
        <v>1359</v>
      </c>
      <c r="D231" s="1346"/>
      <c r="E231" s="1346"/>
      <c r="F231" s="1346"/>
      <c r="G231" s="1346"/>
      <c r="H231" s="1346"/>
      <c r="I231" s="1346"/>
      <c r="J231" s="1346"/>
      <c r="N231" s="295" t="s">
        <v>1250</v>
      </c>
      <c r="O231" s="295"/>
      <c r="P231" s="24"/>
      <c r="Q231" s="24"/>
      <c r="R231" s="24"/>
      <c r="S231" s="24"/>
      <c r="T231" s="24"/>
      <c r="U231" s="24"/>
    </row>
    <row r="232" spans="1:21" s="2" customFormat="1" ht="41.65" customHeight="1">
      <c r="A232" s="25"/>
      <c r="B232" s="1259"/>
      <c r="C232" s="1345" t="s">
        <v>1360</v>
      </c>
      <c r="D232" s="1346"/>
      <c r="E232" s="1346"/>
      <c r="F232" s="1346"/>
      <c r="G232" s="1346"/>
      <c r="H232" s="1346"/>
      <c r="I232" s="1346"/>
      <c r="J232" s="1346"/>
      <c r="N232" s="295" t="s">
        <v>169</v>
      </c>
      <c r="O232" s="559" t="s">
        <v>172</v>
      </c>
      <c r="P232" s="295" t="s">
        <v>170</v>
      </c>
      <c r="Q232" s="295" t="s">
        <v>119</v>
      </c>
      <c r="R232" s="24"/>
      <c r="S232" s="24"/>
      <c r="T232" s="24"/>
      <c r="U232" s="24"/>
    </row>
    <row r="233" spans="1:21" s="2" customFormat="1">
      <c r="A233" s="25"/>
      <c r="B233" s="1259"/>
      <c r="C233" s="1360" t="s">
        <v>1361</v>
      </c>
      <c r="D233" s="1360"/>
      <c r="E233" s="1360"/>
      <c r="F233" s="1360"/>
      <c r="G233" s="1360"/>
      <c r="H233" s="1360"/>
      <c r="I233" s="1360"/>
      <c r="J233" s="1360"/>
      <c r="O233" s="271"/>
      <c r="P233" s="24"/>
      <c r="Q233" s="24"/>
      <c r="R233" s="24"/>
      <c r="S233" s="24"/>
      <c r="T233" s="24"/>
      <c r="U233" s="24"/>
    </row>
    <row r="234" spans="1:21" s="2" customFormat="1" ht="13.9">
      <c r="A234" s="263"/>
      <c r="B234" s="1269"/>
      <c r="C234" s="1321" t="s">
        <v>500</v>
      </c>
      <c r="D234" s="1321"/>
      <c r="E234" s="1321"/>
      <c r="F234" s="1321"/>
      <c r="G234" s="811"/>
      <c r="H234" s="1150" t="e">
        <f ca="1">BS_CY</f>
        <v>#NAME?</v>
      </c>
      <c r="I234" s="843"/>
      <c r="J234" s="1161" t="e">
        <f ca="1">BS_PY</f>
        <v>#NAME?</v>
      </c>
      <c r="O234" s="271"/>
      <c r="P234" s="24"/>
      <c r="Q234" s="24"/>
      <c r="R234" s="24"/>
      <c r="S234" s="24"/>
      <c r="T234" s="24"/>
      <c r="U234" s="24"/>
    </row>
    <row r="235" spans="1:21" s="2" customFormat="1" ht="15" customHeight="1">
      <c r="A235" s="25"/>
      <c r="B235" s="1259"/>
      <c r="C235" s="297" t="s">
        <v>1362</v>
      </c>
      <c r="D235" s="297"/>
      <c r="E235" s="298"/>
      <c r="F235" s="298"/>
      <c r="G235" s="564"/>
      <c r="H235" s="176">
        <f t="shared" ref="H235:H244" ca="1" si="40">IFERROR(INDEX(INDIRECT(VLOOKUP($U235,Source_Master,2,0),),MATCH(TEXT($P235,0),INDIRECT(VLOOKUP($U235,Source_Master,4,0)),0),MATCH(H$1,INDIRECT(VLOOKUP($U235,Source_Master,3,0),),0)),0)</f>
        <v>0</v>
      </c>
      <c r="I235" s="311"/>
      <c r="J235" s="176">
        <f t="shared" ref="J235:J244" ca="1" si="41">IFERROR(INDEX(INDIRECT(VLOOKUP($U235,Source_Master,2,0),),MATCH(TEXT($P235,0),INDIRECT(VLOOKUP($U235,Source_Master,4,0)),0),MATCH(J$1,INDIRECT(VLOOKUP($U235,Source_Master,3,0),),0)),0)</f>
        <v>0</v>
      </c>
      <c r="O235" s="271"/>
      <c r="P235" s="271"/>
      <c r="Q235" s="24"/>
      <c r="R235" s="24"/>
      <c r="S235" s="24"/>
      <c r="T235" s="24"/>
      <c r="U235" s="271" t="s">
        <v>51</v>
      </c>
    </row>
    <row r="236" spans="1:21" s="2" customFormat="1" ht="15" customHeight="1">
      <c r="A236" s="25"/>
      <c r="B236" s="1259"/>
      <c r="C236" s="297" t="s">
        <v>1363</v>
      </c>
      <c r="D236" s="297"/>
      <c r="E236" s="298"/>
      <c r="F236" s="298"/>
      <c r="G236" s="299"/>
      <c r="H236" s="176">
        <f t="shared" ca="1" si="40"/>
        <v>0</v>
      </c>
      <c r="I236" s="300"/>
      <c r="J236" s="176">
        <f t="shared" ca="1" si="41"/>
        <v>0</v>
      </c>
      <c r="O236" s="271"/>
      <c r="P236" s="271"/>
      <c r="Q236" s="24"/>
      <c r="R236" s="24"/>
      <c r="S236" s="24"/>
      <c r="T236" s="24"/>
      <c r="U236" s="271" t="s">
        <v>51</v>
      </c>
    </row>
    <row r="237" spans="1:21" s="2" customFormat="1" ht="15" customHeight="1">
      <c r="A237" s="25"/>
      <c r="B237" s="1259"/>
      <c r="C237" s="297" t="s">
        <v>1364</v>
      </c>
      <c r="D237" s="297"/>
      <c r="E237" s="298"/>
      <c r="F237" s="298"/>
      <c r="G237" s="299"/>
      <c r="H237" s="176">
        <f t="shared" ca="1" si="40"/>
        <v>0</v>
      </c>
      <c r="I237" s="300"/>
      <c r="J237" s="176">
        <f t="shared" ca="1" si="41"/>
        <v>0</v>
      </c>
      <c r="O237" s="271"/>
      <c r="P237" s="271"/>
      <c r="Q237" s="24"/>
      <c r="R237" s="24"/>
      <c r="S237" s="24"/>
      <c r="T237" s="24"/>
      <c r="U237" s="271" t="s">
        <v>51</v>
      </c>
    </row>
    <row r="238" spans="1:21" s="2" customFormat="1" ht="15" customHeight="1">
      <c r="A238" s="25"/>
      <c r="B238" s="1259"/>
      <c r="C238" s="297" t="s">
        <v>1365</v>
      </c>
      <c r="D238" s="297"/>
      <c r="E238" s="298"/>
      <c r="F238" s="298"/>
      <c r="G238" s="299"/>
      <c r="H238" s="176">
        <f t="shared" ca="1" si="40"/>
        <v>0</v>
      </c>
      <c r="I238" s="300"/>
      <c r="J238" s="176">
        <f t="shared" ca="1" si="41"/>
        <v>0</v>
      </c>
      <c r="O238" s="271"/>
      <c r="P238" s="271"/>
      <c r="Q238" s="24"/>
      <c r="R238" s="24"/>
      <c r="S238" s="24"/>
      <c r="T238" s="24"/>
      <c r="U238" s="271" t="s">
        <v>51</v>
      </c>
    </row>
    <row r="239" spans="1:21" s="2" customFormat="1" ht="15" customHeight="1">
      <c r="A239" s="25"/>
      <c r="B239" s="1259"/>
      <c r="C239" s="297" t="s">
        <v>1366</v>
      </c>
      <c r="D239" s="297"/>
      <c r="E239" s="298"/>
      <c r="F239" s="298"/>
      <c r="G239" s="299"/>
      <c r="H239" s="176">
        <f t="shared" ca="1" si="40"/>
        <v>0</v>
      </c>
      <c r="I239" s="300"/>
      <c r="J239" s="176">
        <f t="shared" ca="1" si="41"/>
        <v>0</v>
      </c>
      <c r="O239" s="271"/>
      <c r="P239" s="271"/>
      <c r="Q239" s="24"/>
      <c r="R239" s="24"/>
      <c r="S239" s="24"/>
      <c r="T239" s="24"/>
      <c r="U239" s="271" t="s">
        <v>51</v>
      </c>
    </row>
    <row r="240" spans="1:21" s="2" customFormat="1" ht="15" customHeight="1">
      <c r="A240" s="25"/>
      <c r="B240" s="1259"/>
      <c r="C240" s="297" t="s">
        <v>1367</v>
      </c>
      <c r="D240" s="297"/>
      <c r="E240" s="298"/>
      <c r="F240" s="298"/>
      <c r="G240" s="299"/>
      <c r="H240" s="176">
        <f t="shared" ca="1" si="40"/>
        <v>0</v>
      </c>
      <c r="I240" s="300"/>
      <c r="J240" s="176">
        <f t="shared" ca="1" si="41"/>
        <v>0</v>
      </c>
      <c r="O240" s="271"/>
      <c r="P240" s="271"/>
      <c r="Q240" s="24"/>
      <c r="R240" s="24"/>
      <c r="S240" s="24"/>
      <c r="T240" s="24"/>
      <c r="U240" s="271" t="s">
        <v>51</v>
      </c>
    </row>
    <row r="241" spans="1:21" s="2" customFormat="1" ht="15" customHeight="1">
      <c r="A241" s="25"/>
      <c r="B241" s="1259"/>
      <c r="C241" s="297" t="s">
        <v>1368</v>
      </c>
      <c r="D241" s="297"/>
      <c r="E241" s="298"/>
      <c r="F241" s="298"/>
      <c r="G241" s="299"/>
      <c r="H241" s="176">
        <f t="shared" ca="1" si="40"/>
        <v>0</v>
      </c>
      <c r="I241" s="300"/>
      <c r="J241" s="176">
        <f t="shared" ca="1" si="41"/>
        <v>0</v>
      </c>
      <c r="O241" s="271"/>
      <c r="P241" s="271"/>
      <c r="Q241" s="24"/>
      <c r="R241" s="24"/>
      <c r="S241" s="24"/>
      <c r="T241" s="24"/>
      <c r="U241" s="271" t="s">
        <v>51</v>
      </c>
    </row>
    <row r="242" spans="1:21" s="2" customFormat="1" ht="15" customHeight="1">
      <c r="A242" s="25"/>
      <c r="B242" s="1259"/>
      <c r="C242" s="297" t="s">
        <v>1369</v>
      </c>
      <c r="D242" s="297"/>
      <c r="E242" s="298"/>
      <c r="F242" s="298"/>
      <c r="G242" s="299"/>
      <c r="H242" s="176">
        <f t="shared" ca="1" si="40"/>
        <v>0</v>
      </c>
      <c r="I242" s="300"/>
      <c r="J242" s="176">
        <f t="shared" ca="1" si="41"/>
        <v>0</v>
      </c>
      <c r="O242" s="271"/>
      <c r="P242" s="271"/>
      <c r="Q242" s="24"/>
      <c r="R242" s="24"/>
      <c r="S242" s="24"/>
      <c r="T242" s="24"/>
      <c r="U242" s="271" t="s">
        <v>51</v>
      </c>
    </row>
    <row r="243" spans="1:21" s="2" customFormat="1" ht="15" customHeight="1">
      <c r="A243" s="25"/>
      <c r="B243" s="1259"/>
      <c r="C243" s="297" t="s">
        <v>1370</v>
      </c>
      <c r="D243" s="297"/>
      <c r="E243" s="298"/>
      <c r="F243" s="298"/>
      <c r="G243" s="299"/>
      <c r="H243" s="176">
        <f t="shared" ca="1" si="40"/>
        <v>0</v>
      </c>
      <c r="I243" s="300"/>
      <c r="J243" s="176">
        <f t="shared" ca="1" si="41"/>
        <v>0</v>
      </c>
      <c r="O243" s="271"/>
      <c r="P243" s="271"/>
      <c r="Q243" s="24"/>
      <c r="R243" s="24"/>
      <c r="S243" s="24"/>
      <c r="T243" s="24"/>
      <c r="U243" s="271" t="s">
        <v>51</v>
      </c>
    </row>
    <row r="244" spans="1:21" s="2" customFormat="1" ht="15" customHeight="1">
      <c r="A244" s="25"/>
      <c r="B244" s="1259"/>
      <c r="C244" s="561" t="s">
        <v>1371</v>
      </c>
      <c r="D244" s="561"/>
      <c r="E244" s="562"/>
      <c r="F244" s="562"/>
      <c r="G244" s="565"/>
      <c r="H244" s="230">
        <f t="shared" ca="1" si="40"/>
        <v>0</v>
      </c>
      <c r="I244" s="566"/>
      <c r="J244" s="230">
        <f t="shared" ca="1" si="41"/>
        <v>0</v>
      </c>
      <c r="O244" s="271"/>
      <c r="P244" s="271"/>
      <c r="Q244" s="24"/>
      <c r="R244" s="24"/>
      <c r="S244" s="24"/>
      <c r="T244" s="24"/>
      <c r="U244" s="271" t="s">
        <v>51</v>
      </c>
    </row>
    <row r="245" spans="1:21" s="2" customFormat="1">
      <c r="A245" s="25"/>
      <c r="B245" s="1259"/>
      <c r="C245" s="293"/>
      <c r="D245" s="293"/>
      <c r="E245" s="294"/>
      <c r="F245" s="294"/>
      <c r="G245" s="294"/>
      <c r="H245" s="313"/>
      <c r="I245" s="289"/>
      <c r="J245" s="313"/>
      <c r="O245" s="271"/>
      <c r="P245" s="24"/>
      <c r="Q245" s="24"/>
      <c r="R245" s="24"/>
      <c r="S245" s="24"/>
      <c r="T245" s="24"/>
      <c r="U245" s="24"/>
    </row>
    <row r="246" spans="1:21" s="2" customFormat="1">
      <c r="A246" s="25"/>
      <c r="B246" s="1123">
        <f>NTA!F51</f>
        <v>18.600000000000009</v>
      </c>
      <c r="C246" s="1123" t="str">
        <f>NTA!C51</f>
        <v>Movement in the allowance for doubtful receivables (including expected credit loss allowance)</v>
      </c>
      <c r="D246" s="293"/>
      <c r="E246" s="294"/>
      <c r="F246" s="294"/>
      <c r="G246" s="294"/>
      <c r="H246" s="313"/>
      <c r="I246" s="289"/>
      <c r="J246" s="1114" t="str">
        <f>+'Master Sheet'!$C$65</f>
        <v>(Amount in INR)</v>
      </c>
      <c r="O246" s="271"/>
      <c r="P246" s="24"/>
      <c r="Q246" s="24"/>
      <c r="R246" s="24"/>
      <c r="S246" s="24"/>
      <c r="T246" s="24"/>
      <c r="U246" s="24"/>
    </row>
    <row r="247" spans="1:21" s="2" customFormat="1" ht="13.9">
      <c r="A247" s="25"/>
      <c r="B247" s="1259"/>
      <c r="C247" s="1321" t="s">
        <v>500</v>
      </c>
      <c r="D247" s="1321"/>
      <c r="E247" s="1321"/>
      <c r="F247" s="1321"/>
      <c r="G247" s="811"/>
      <c r="H247" s="1150" t="e">
        <f ca="1">BS_CY</f>
        <v>#NAME?</v>
      </c>
      <c r="I247" s="843"/>
      <c r="J247" s="1161" t="e">
        <f ca="1">BS_PY</f>
        <v>#NAME?</v>
      </c>
      <c r="O247" s="271"/>
      <c r="P247" s="24"/>
      <c r="Q247" s="24"/>
      <c r="R247" s="24"/>
      <c r="S247" s="24"/>
      <c r="T247" s="24"/>
      <c r="U247" s="24"/>
    </row>
    <row r="248" spans="1:21" s="2" customFormat="1" ht="15" customHeight="1">
      <c r="A248" s="25"/>
      <c r="B248" s="1259"/>
      <c r="C248" s="297" t="s">
        <v>1372</v>
      </c>
      <c r="D248" s="297"/>
      <c r="E248" s="298"/>
      <c r="F248" s="298"/>
      <c r="G248" s="564"/>
      <c r="H248" s="865">
        <f ca="1">J254</f>
        <v>0</v>
      </c>
      <c r="I248" s="311"/>
      <c r="J248" s="869">
        <f ca="1">IFERROR(INDEX(INDIRECT(VLOOKUP($U248,Source_Master,2,0),),MATCH(TEXT($P248,0),INDIRECT(VLOOKUP($U248,Source_Master,4,0)),0),MATCH(J$1,INDIRECT(VLOOKUP($U248,Source_Master,3,0),),0)),0)</f>
        <v>0</v>
      </c>
      <c r="O248" s="1152" t="str">
        <f t="shared" ref="O248:O254" ca="1" si="42">IF(AND(H248=0,J248=0),"##H","")</f>
        <v>##H</v>
      </c>
      <c r="P248" s="24" t="s">
        <v>1373</v>
      </c>
      <c r="Q248" s="24"/>
      <c r="R248" s="24"/>
      <c r="S248" s="24"/>
      <c r="T248" s="24"/>
      <c r="U248" s="271" t="s">
        <v>51</v>
      </c>
    </row>
    <row r="249" spans="1:21" s="2" customFormat="1" ht="15" customHeight="1">
      <c r="A249" s="25"/>
      <c r="B249" s="1259"/>
      <c r="C249" s="297" t="s">
        <v>1374</v>
      </c>
      <c r="D249" s="297"/>
      <c r="E249" s="298"/>
      <c r="F249" s="298"/>
      <c r="G249" s="299"/>
      <c r="H249" s="866">
        <f ca="1">IFERROR(INDEX(INDIRECT(VLOOKUP($U249,Source_Master,2,0),),MATCH(TEXT($P249,0),INDIRECT(VLOOKUP($U249,Source_Master,4,0)),0),MATCH(H$1,INDIRECT(VLOOKUP($U249,Source_Master,3,0),),0)),0)</f>
        <v>0</v>
      </c>
      <c r="I249" s="300"/>
      <c r="J249" s="870">
        <f ca="1">IFERROR(INDEX(INDIRECT(VLOOKUP($U249,Source_Master,2,0),),MATCH(TEXT($P249,0),INDIRECT(VLOOKUP($U249,Source_Master,4,0)),0),MATCH(J$1,INDIRECT(VLOOKUP($U249,Source_Master,3,0),),0)),0)</f>
        <v>0</v>
      </c>
      <c r="O249" s="1152" t="str">
        <f t="shared" ca="1" si="42"/>
        <v>##H</v>
      </c>
      <c r="P249" s="24" t="s">
        <v>1375</v>
      </c>
      <c r="Q249" s="24"/>
      <c r="R249" s="24"/>
      <c r="S249" s="24"/>
      <c r="T249" s="24"/>
      <c r="U249" s="271" t="s">
        <v>51</v>
      </c>
    </row>
    <row r="250" spans="1:21" s="2" customFormat="1" ht="15" customHeight="1">
      <c r="A250" s="25"/>
      <c r="B250" s="1259"/>
      <c r="C250" s="297" t="s">
        <v>1229</v>
      </c>
      <c r="D250" s="297"/>
      <c r="E250" s="298"/>
      <c r="F250" s="298"/>
      <c r="G250" s="299"/>
      <c r="H250" s="866">
        <f ca="1">IFERROR(INDEX(INDIRECT(VLOOKUP($U250,Source_Master,2,0),),MATCH(TEXT($P250,0),INDIRECT(VLOOKUP($U250,Source_Master,4,0)),0),MATCH(H$1,INDIRECT(VLOOKUP($U250,Source_Master,3,0),),0)),0)</f>
        <v>0</v>
      </c>
      <c r="I250" s="300"/>
      <c r="J250" s="870">
        <f ca="1">IFERROR(INDEX(INDIRECT(VLOOKUP($U250,Source_Master,2,0),),MATCH(TEXT($P250,0),INDIRECT(VLOOKUP($U250,Source_Master,4,0)),0),MATCH(J$1,INDIRECT(VLOOKUP($U250,Source_Master,3,0),),0)),0)</f>
        <v>0</v>
      </c>
      <c r="O250" s="1152" t="str">
        <f t="shared" ca="1" si="42"/>
        <v>##H</v>
      </c>
      <c r="P250" s="24" t="s">
        <v>1376</v>
      </c>
      <c r="Q250" s="24"/>
      <c r="R250" s="24"/>
      <c r="S250" s="24"/>
      <c r="T250" s="24"/>
      <c r="U250" s="271" t="s">
        <v>51</v>
      </c>
    </row>
    <row r="251" spans="1:21" s="2" customFormat="1" ht="15" customHeight="1">
      <c r="A251" s="25"/>
      <c r="B251" s="1259"/>
      <c r="C251" s="297" t="s">
        <v>1377</v>
      </c>
      <c r="D251" s="297"/>
      <c r="E251" s="298"/>
      <c r="F251" s="298"/>
      <c r="G251" s="299"/>
      <c r="H251" s="866">
        <f ca="1">IFERROR(INDEX(INDIRECT(VLOOKUP($U251,Source_Master,2,0),),MATCH(TEXT($P251,0),INDIRECT(VLOOKUP($U251,Source_Master,4,0)),0),MATCH(H$1,INDIRECT(VLOOKUP($U251,Source_Master,3,0),),0)),0)</f>
        <v>0</v>
      </c>
      <c r="I251" s="300"/>
      <c r="J251" s="870">
        <f ca="1">IFERROR(INDEX(INDIRECT(VLOOKUP($U251,Source_Master,2,0),),MATCH(TEXT($P251,0),INDIRECT(VLOOKUP($U251,Source_Master,4,0)),0),MATCH(J$1,INDIRECT(VLOOKUP($U251,Source_Master,3,0),),0)),0)</f>
        <v>0</v>
      </c>
      <c r="O251" s="1152" t="str">
        <f t="shared" ca="1" si="42"/>
        <v>##H</v>
      </c>
      <c r="P251" s="24" t="s">
        <v>1378</v>
      </c>
      <c r="Q251" s="24"/>
      <c r="R251" s="24"/>
      <c r="S251" s="24"/>
      <c r="T251" s="24"/>
      <c r="U251" s="271" t="s">
        <v>51</v>
      </c>
    </row>
    <row r="252" spans="1:21" s="2" customFormat="1" ht="15" customHeight="1">
      <c r="A252" s="25"/>
      <c r="B252" s="1259"/>
      <c r="C252" s="296" t="s">
        <v>1379</v>
      </c>
      <c r="D252" s="297"/>
      <c r="E252" s="298"/>
      <c r="F252" s="298"/>
      <c r="G252" s="563"/>
      <c r="H252" s="867">
        <f ca="1">IFERROR(INDEX(INDIRECT(VLOOKUP($U252,Source_Master,2,0),),MATCH(TEXT($P252,0),INDIRECT(VLOOKUP($U252,Source_Master,4,0)),0),MATCH(H$1,INDIRECT(VLOOKUP($U252,Source_Master,3,0),),0)),0)</f>
        <v>0</v>
      </c>
      <c r="I252" s="614"/>
      <c r="J252" s="871">
        <f ca="1">IFERROR(INDEX(INDIRECT(VLOOKUP($U252,Source_Master,2,0),),MATCH(TEXT($P252,0),INDIRECT(VLOOKUP($U252,Source_Master,4,0)),0),MATCH(J$1,INDIRECT(VLOOKUP($U252,Source_Master,3,0),),0)),0)</f>
        <v>0</v>
      </c>
      <c r="O252" s="1152" t="str">
        <f t="shared" ca="1" si="42"/>
        <v>##H</v>
      </c>
      <c r="P252" s="24" t="s">
        <v>1380</v>
      </c>
      <c r="Q252" s="24"/>
      <c r="R252" s="24"/>
      <c r="S252" s="24"/>
      <c r="T252" s="24"/>
      <c r="U252" s="271" t="s">
        <v>51</v>
      </c>
    </row>
    <row r="253" spans="1:21" s="2" customFormat="1" ht="15" customHeight="1">
      <c r="A253" s="25"/>
      <c r="B253" s="1259"/>
      <c r="C253" s="297" t="s">
        <v>1381</v>
      </c>
      <c r="D253" s="297"/>
      <c r="E253" s="298"/>
      <c r="F253" s="298"/>
      <c r="G253" s="563"/>
      <c r="H253" s="867">
        <f ca="1">SUM(H249:H251)</f>
        <v>0</v>
      </c>
      <c r="I253" s="614"/>
      <c r="J253" s="872">
        <f ca="1">SUM(J249:J251)</f>
        <v>0</v>
      </c>
      <c r="O253" s="1152" t="str">
        <f t="shared" ca="1" si="42"/>
        <v>##H</v>
      </c>
      <c r="P253" s="24"/>
      <c r="Q253" s="24"/>
      <c r="R253" s="24"/>
      <c r="S253" s="24"/>
      <c r="T253" s="24"/>
      <c r="U253" s="271" t="s">
        <v>51</v>
      </c>
    </row>
    <row r="254" spans="1:21" s="2" customFormat="1" ht="15" customHeight="1">
      <c r="A254" s="25"/>
      <c r="B254" s="1259"/>
      <c r="C254" s="567" t="s">
        <v>1382</v>
      </c>
      <c r="D254" s="302"/>
      <c r="E254" s="303"/>
      <c r="F254" s="303"/>
      <c r="G254" s="615"/>
      <c r="H254" s="868">
        <f ca="1">H253+H248</f>
        <v>0</v>
      </c>
      <c r="I254" s="616"/>
      <c r="J254" s="873">
        <f ca="1">J253+J248</f>
        <v>0</v>
      </c>
      <c r="O254" s="1152" t="str">
        <f t="shared" ca="1" si="42"/>
        <v>##H</v>
      </c>
      <c r="P254" s="24"/>
      <c r="Q254" s="24"/>
      <c r="R254" s="24"/>
      <c r="S254" s="24"/>
      <c r="T254" s="24"/>
      <c r="U254" s="24"/>
    </row>
    <row r="255" spans="1:21" s="2" customFormat="1">
      <c r="A255" s="25"/>
      <c r="B255" s="1259"/>
      <c r="C255" s="293"/>
      <c r="D255" s="293"/>
      <c r="E255" s="294"/>
      <c r="F255" s="294"/>
      <c r="G255" s="294"/>
      <c r="H255" s="313"/>
      <c r="I255" s="289"/>
      <c r="J255" s="313"/>
      <c r="O255" s="271"/>
      <c r="P255" s="24"/>
      <c r="Q255" s="24"/>
      <c r="R255" s="24"/>
      <c r="S255" s="24"/>
      <c r="T255" s="24"/>
      <c r="U255" s="24"/>
    </row>
    <row r="256" spans="1:21" s="2" customFormat="1" ht="27.6" customHeight="1">
      <c r="A256" s="25"/>
      <c r="B256" s="1259"/>
      <c r="C256" s="1345" t="s">
        <v>1383</v>
      </c>
      <c r="D256" s="1346"/>
      <c r="E256" s="1346"/>
      <c r="F256" s="1346"/>
      <c r="G256" s="1346"/>
      <c r="H256" s="1346"/>
      <c r="I256" s="1346"/>
      <c r="J256" s="1346"/>
      <c r="N256" s="22" t="s">
        <v>1250</v>
      </c>
      <c r="O256" s="271"/>
      <c r="P256" s="24"/>
      <c r="Q256" s="24"/>
      <c r="R256" s="24"/>
      <c r="S256" s="24"/>
      <c r="T256" s="24"/>
      <c r="U256" s="24"/>
    </row>
    <row r="257" spans="1:21" s="2" customFormat="1" ht="27.6" customHeight="1">
      <c r="A257" s="25"/>
      <c r="B257" s="1259"/>
      <c r="C257" s="1345" t="s">
        <v>1384</v>
      </c>
      <c r="D257" s="1346"/>
      <c r="E257" s="1346"/>
      <c r="F257" s="1346"/>
      <c r="G257" s="1346"/>
      <c r="H257" s="1346"/>
      <c r="I257" s="1346"/>
      <c r="J257" s="1346"/>
      <c r="N257" s="22" t="s">
        <v>169</v>
      </c>
      <c r="O257" s="271"/>
      <c r="P257" s="24"/>
      <c r="Q257" s="24"/>
      <c r="R257" s="24"/>
      <c r="S257" s="24"/>
      <c r="T257" s="24"/>
      <c r="U257" s="24"/>
    </row>
    <row r="258" spans="1:21" s="2" customFormat="1">
      <c r="A258" s="25"/>
      <c r="B258" s="1259"/>
      <c r="C258" s="293"/>
      <c r="D258" s="293"/>
      <c r="E258" s="294"/>
      <c r="F258" s="294"/>
      <c r="G258" s="294"/>
      <c r="H258" s="294"/>
      <c r="I258" s="289"/>
      <c r="O258" s="271"/>
      <c r="P258" s="24"/>
      <c r="Q258" s="24"/>
      <c r="R258" s="24"/>
      <c r="S258" s="24"/>
      <c r="T258" s="24"/>
      <c r="U258" s="24"/>
    </row>
    <row r="259" spans="1:21" ht="15" customHeight="1">
      <c r="A259" s="1149">
        <f>NTA!F52</f>
        <v>19</v>
      </c>
      <c r="B259" s="1149" t="str">
        <f>NTA!C52</f>
        <v>Cash and Cash Equivalents</v>
      </c>
      <c r="C259" s="1264"/>
      <c r="D259" s="1264"/>
      <c r="E259" s="1264"/>
      <c r="F259" s="1264"/>
      <c r="H259" s="20"/>
      <c r="I259" s="20"/>
      <c r="J259" s="1114" t="str">
        <f>+'Master Sheet'!$C$65</f>
        <v>(Amount in INR)</v>
      </c>
      <c r="K259" s="117"/>
      <c r="L259" s="117"/>
      <c r="N259" s="20"/>
      <c r="P259" s="271"/>
      <c r="Q259" s="271"/>
      <c r="R259" s="271"/>
    </row>
    <row r="260" spans="1:21" ht="15" customHeight="1">
      <c r="A260" s="263"/>
      <c r="B260" s="1321" t="s">
        <v>500</v>
      </c>
      <c r="C260" s="1321"/>
      <c r="D260" s="1321"/>
      <c r="E260" s="1321"/>
      <c r="F260" s="1321"/>
      <c r="G260" s="811"/>
      <c r="H260" s="1150" t="e">
        <f ca="1">BS_CY</f>
        <v>#NAME?</v>
      </c>
      <c r="I260" s="843"/>
      <c r="J260" s="1161" t="e">
        <f ca="1">BS_PY</f>
        <v>#NAME?</v>
      </c>
      <c r="K260" s="43"/>
      <c r="L260" s="43"/>
      <c r="N260" s="20"/>
      <c r="P260" s="271"/>
      <c r="Q260" s="271"/>
      <c r="R260" s="271"/>
    </row>
    <row r="261" spans="1:21" ht="15" customHeight="1">
      <c r="A261" s="46"/>
      <c r="B261" s="68" t="s">
        <v>1385</v>
      </c>
      <c r="C261" s="58"/>
      <c r="D261" s="58"/>
      <c r="E261" s="58"/>
      <c r="F261" s="58"/>
      <c r="G261" s="137"/>
      <c r="H261" s="237"/>
      <c r="I261" s="121"/>
      <c r="J261" s="121"/>
      <c r="K261" s="1575"/>
      <c r="L261" s="1575"/>
      <c r="N261" s="20"/>
      <c r="P261" s="271" t="s">
        <v>1386</v>
      </c>
      <c r="S261" s="24"/>
      <c r="U261" s="271" t="s">
        <v>50</v>
      </c>
    </row>
    <row r="262" spans="1:21" ht="15" customHeight="1">
      <c r="A262" s="46"/>
      <c r="B262" s="223" t="s">
        <v>1387</v>
      </c>
      <c r="C262" s="58"/>
      <c r="D262" s="58"/>
      <c r="E262" s="58"/>
      <c r="F262" s="58"/>
      <c r="G262" s="137"/>
      <c r="H262" s="129">
        <f ca="1">IFERROR(INDEX(INDIRECT(VLOOKUP($U262,Source_Master,2,0),),MATCH(TEXT($P262,0),INDIRECT(VLOOKUP($U262,Source_Master,4,0)),0),MATCH(H$1,INDIRECT(VLOOKUP($U262,Source_Master,3,0),),0)),0)</f>
        <v>0</v>
      </c>
      <c r="I262" s="351"/>
      <c r="J262" s="348">
        <f ca="1">IFERROR(INDEX(INDIRECT(VLOOKUP($U262,Source_Master,2,0),),MATCH(TEXT($P262,0),INDIRECT(VLOOKUP($U262,Source_Master,4,0)),0),MATCH(J$1,INDIRECT(VLOOKUP($U262,Source_Master,3,0),),0)),0)</f>
        <v>0</v>
      </c>
      <c r="K262" s="1575"/>
      <c r="L262" s="1575"/>
      <c r="N262" s="20"/>
      <c r="O262" s="1152" t="str">
        <f t="shared" ref="O262:O265" ca="1" si="43">IF(AND(H262=0,J262=0),"##H","")</f>
        <v>##H</v>
      </c>
      <c r="P262" s="271" t="s">
        <v>1388</v>
      </c>
      <c r="S262" s="24"/>
      <c r="U262" s="271" t="s">
        <v>50</v>
      </c>
    </row>
    <row r="263" spans="1:21" ht="15" customHeight="1">
      <c r="A263" s="46"/>
      <c r="B263" s="223" t="s">
        <v>1389</v>
      </c>
      <c r="C263" s="33"/>
      <c r="D263" s="33"/>
      <c r="E263" s="33"/>
      <c r="F263" s="33"/>
      <c r="G263" s="137"/>
      <c r="H263" s="129">
        <f ca="1">IFERROR(INDEX(INDIRECT(VLOOKUP($U263,Source_Master,2,0),),MATCH(TEXT($P263,0),INDIRECT(VLOOKUP($U263,Source_Master,4,0)),0),MATCH(H$1,INDIRECT(VLOOKUP($U263,Source_Master,3,0),),0)),0)</f>
        <v>0</v>
      </c>
      <c r="I263" s="351"/>
      <c r="J263" s="348">
        <f ca="1">IFERROR(INDEX(INDIRECT(VLOOKUP($U263,Source_Master,2,0),),MATCH(TEXT($P263,0),INDIRECT(VLOOKUP($U263,Source_Master,4,0)),0),MATCH(J$1,INDIRECT(VLOOKUP($U263,Source_Master,3,0),),0)),0)</f>
        <v>0</v>
      </c>
      <c r="K263" s="1575"/>
      <c r="L263" s="1575"/>
      <c r="N263" s="20"/>
      <c r="O263" s="1152" t="str">
        <f t="shared" ca="1" si="43"/>
        <v>##H</v>
      </c>
      <c r="P263" s="271" t="s">
        <v>1390</v>
      </c>
      <c r="U263" s="271" t="s">
        <v>50</v>
      </c>
    </row>
    <row r="264" spans="1:21" ht="15" customHeight="1">
      <c r="A264" s="46"/>
      <c r="B264" s="68" t="s">
        <v>1391</v>
      </c>
      <c r="C264" s="58"/>
      <c r="D264" s="58"/>
      <c r="E264" s="58"/>
      <c r="F264" s="58"/>
      <c r="G264" s="137"/>
      <c r="H264" s="129">
        <f ca="1">IFERROR(INDEX(INDIRECT(VLOOKUP($U264,Source_Master,2,0),),MATCH(TEXT($P264,0),INDIRECT(VLOOKUP($U264,Source_Master,4,0)),0),MATCH(H$1,INDIRECT(VLOOKUP($U264,Source_Master,3,0),),0)),0)</f>
        <v>0</v>
      </c>
      <c r="I264" s="351"/>
      <c r="J264" s="348">
        <f ca="1">IFERROR(INDEX(INDIRECT(VLOOKUP($U264,Source_Master,2,0),),MATCH(TEXT($P264,0),INDIRECT(VLOOKUP($U264,Source_Master,4,0)),0),MATCH(J$1,INDIRECT(VLOOKUP($U264,Source_Master,3,0),),0)),0)</f>
        <v>0</v>
      </c>
      <c r="K264" s="1575"/>
      <c r="L264" s="1575"/>
      <c r="N264" s="20"/>
      <c r="O264" s="1152" t="str">
        <f t="shared" ca="1" si="43"/>
        <v>##H</v>
      </c>
      <c r="P264" s="271" t="s">
        <v>1392</v>
      </c>
      <c r="S264" s="24"/>
      <c r="U264" s="271" t="s">
        <v>50</v>
      </c>
    </row>
    <row r="265" spans="1:21" ht="15" customHeight="1">
      <c r="A265" s="46"/>
      <c r="B265" s="232" t="s">
        <v>246</v>
      </c>
      <c r="C265" s="180"/>
      <c r="D265" s="180"/>
      <c r="E265" s="180"/>
      <c r="F265" s="180"/>
      <c r="G265" s="714"/>
      <c r="H265" s="69">
        <f ca="1">SUM(H262:H264)</f>
        <v>0</v>
      </c>
      <c r="I265" s="363"/>
      <c r="J265" s="175">
        <f ca="1">SUM(J262:J264)</f>
        <v>0</v>
      </c>
      <c r="K265" s="1577"/>
      <c r="L265" s="1577"/>
      <c r="N265" s="247"/>
      <c r="O265" s="1152" t="str">
        <f t="shared" ca="1" si="43"/>
        <v>##H</v>
      </c>
      <c r="P265" s="271"/>
      <c r="Q265" s="271"/>
      <c r="R265" s="271"/>
    </row>
    <row r="266" spans="1:21">
      <c r="A266" s="46"/>
      <c r="B266" s="1244"/>
      <c r="C266" s="1242"/>
      <c r="D266" s="1242"/>
      <c r="E266" s="1242"/>
      <c r="F266" s="1242"/>
      <c r="H266" s="20"/>
      <c r="I266" s="20"/>
      <c r="J266" s="20"/>
      <c r="K266" s="20"/>
      <c r="L266" s="20"/>
      <c r="N266" s="20"/>
      <c r="P266" s="271"/>
      <c r="Q266" s="271"/>
      <c r="R266" s="271"/>
    </row>
    <row r="267" spans="1:21" ht="15" customHeight="1">
      <c r="A267" s="1149">
        <f>NTA!F53</f>
        <v>20</v>
      </c>
      <c r="B267" s="1149" t="str">
        <f>NTA!C53</f>
        <v>Bank Balances other than Cash and Cash Equivalents</v>
      </c>
      <c r="C267" s="1264"/>
      <c r="D267" s="1264"/>
      <c r="E267" s="145"/>
      <c r="H267" s="20"/>
      <c r="I267" s="20"/>
      <c r="J267" s="1114" t="str">
        <f>+'Master Sheet'!$C$65</f>
        <v>(Amount in INR)</v>
      </c>
      <c r="K267" s="20"/>
      <c r="L267" s="20"/>
      <c r="N267" s="20"/>
      <c r="P267" s="271"/>
      <c r="Q267" s="271"/>
      <c r="R267" s="271"/>
    </row>
    <row r="268" spans="1:21" ht="15" customHeight="1">
      <c r="A268" s="263"/>
      <c r="B268" s="1321" t="s">
        <v>500</v>
      </c>
      <c r="C268" s="1321"/>
      <c r="D268" s="1321"/>
      <c r="E268" s="1321"/>
      <c r="F268" s="1321"/>
      <c r="G268" s="811"/>
      <c r="H268" s="1150" t="e">
        <f ca="1">BS_CY</f>
        <v>#NAME?</v>
      </c>
      <c r="I268" s="813"/>
      <c r="J268" s="1151" t="e">
        <f ca="1">BS_PY</f>
        <v>#NAME?</v>
      </c>
      <c r="K268" s="20"/>
      <c r="L268" s="20"/>
      <c r="N268" s="20"/>
      <c r="P268" s="271"/>
      <c r="Q268" s="271"/>
      <c r="R268" s="271"/>
    </row>
    <row r="269" spans="1:21" ht="15" customHeight="1">
      <c r="A269" s="46"/>
      <c r="B269" s="68" t="s">
        <v>1393</v>
      </c>
      <c r="C269" s="33"/>
      <c r="D269" s="33"/>
      <c r="E269" s="33"/>
      <c r="F269" s="33"/>
      <c r="G269" s="120"/>
      <c r="H269" s="355">
        <f ca="1">IFERROR(INDEX(INDIRECT(VLOOKUP($U269,Source_Master,2,0),),MATCH(TEXT($P269,0),INDIRECT(VLOOKUP($U269,Source_Master,4,0)),0),MATCH(H$1,INDIRECT(VLOOKUP($U269,Source_Master,3,0),),0)),0)</f>
        <v>0</v>
      </c>
      <c r="I269" s="568"/>
      <c r="J269" s="874">
        <f ca="1">IFERROR(INDEX(INDIRECT(VLOOKUP($U269,Source_Master,2,0),),MATCH(TEXT($P269,0),INDIRECT(VLOOKUP($U269,Source_Master,4,0)),0),MATCH(J$1,INDIRECT(VLOOKUP($U269,Source_Master,3,0),),0)),0)</f>
        <v>0</v>
      </c>
      <c r="K269" s="20"/>
      <c r="L269" s="20"/>
      <c r="N269" s="20"/>
      <c r="O269" s="1152" t="str">
        <f t="shared" ref="O269:O273" ca="1" si="44">IF(AND(H269=0,J269=0),"##H","")</f>
        <v>##H</v>
      </c>
      <c r="P269" s="271" t="s">
        <v>1394</v>
      </c>
      <c r="U269" s="271" t="s">
        <v>50</v>
      </c>
    </row>
    <row r="270" spans="1:21" ht="15" customHeight="1">
      <c r="A270" s="46"/>
      <c r="B270" s="68" t="s">
        <v>1395</v>
      </c>
      <c r="C270" s="34"/>
      <c r="D270" s="34"/>
      <c r="E270" s="34"/>
      <c r="F270" s="34"/>
      <c r="G270" s="137"/>
      <c r="H270" s="129">
        <f ca="1">IFERROR(INDEX(INDIRECT(VLOOKUP($U270,Source_Master,2,0),),MATCH(TEXT($P270,0),INDIRECT(VLOOKUP($U270,Source_Master,4,0)),0),MATCH(H$1,INDIRECT(VLOOKUP($U270,Source_Master,3,0),),0)),0)</f>
        <v>0</v>
      </c>
      <c r="I270" s="351"/>
      <c r="J270" s="348">
        <f ca="1">IFERROR(INDEX(INDIRECT(VLOOKUP($U270,Source_Master,2,0),),MATCH(TEXT($P270,0),INDIRECT(VLOOKUP($U270,Source_Master,4,0)),0),MATCH(J$1,INDIRECT(VLOOKUP($U270,Source_Master,3,0),),0)),0)</f>
        <v>0</v>
      </c>
      <c r="K270" s="20"/>
      <c r="L270" s="20"/>
      <c r="N270" s="20"/>
      <c r="O270" s="1152" t="str">
        <f t="shared" ca="1" si="44"/>
        <v>##H</v>
      </c>
      <c r="P270" s="271" t="s">
        <v>1396</v>
      </c>
      <c r="S270" s="24"/>
      <c r="U270" s="271" t="s">
        <v>50</v>
      </c>
    </row>
    <row r="271" spans="1:21" ht="15" customHeight="1">
      <c r="A271" s="46"/>
      <c r="B271" s="68" t="s">
        <v>1397</v>
      </c>
      <c r="C271" s="34"/>
      <c r="D271" s="34"/>
      <c r="E271" s="34"/>
      <c r="F271" s="34"/>
      <c r="G271" s="137"/>
      <c r="H271" s="129">
        <f ca="1">IFERROR(INDEX(INDIRECT(VLOOKUP($U271,Source_Master,2,0),),MATCH(TEXT($P271,0),INDIRECT(VLOOKUP($U271,Source_Master,4,0)),0),MATCH(H$1,INDIRECT(VLOOKUP($U271,Source_Master,3,0),),0)),0)</f>
        <v>0</v>
      </c>
      <c r="I271" s="351"/>
      <c r="J271" s="348">
        <f ca="1">IFERROR(INDEX(INDIRECT(VLOOKUP($U271,Source_Master,2,0),),MATCH(TEXT($P271,0),INDIRECT(VLOOKUP($U271,Source_Master,4,0)),0),MATCH(J$1,INDIRECT(VLOOKUP($U271,Source_Master,3,0),),0)),0)</f>
        <v>0</v>
      </c>
      <c r="K271" s="20"/>
      <c r="L271" s="20"/>
      <c r="N271" s="20"/>
      <c r="O271" s="1152" t="str">
        <f t="shared" ca="1" si="44"/>
        <v>##H</v>
      </c>
      <c r="P271" s="271" t="s">
        <v>1398</v>
      </c>
      <c r="S271" s="24"/>
      <c r="U271" s="271" t="s">
        <v>50</v>
      </c>
    </row>
    <row r="272" spans="1:21" ht="15" customHeight="1">
      <c r="A272" s="46"/>
      <c r="B272" s="68" t="s">
        <v>1399</v>
      </c>
      <c r="C272" s="34"/>
      <c r="D272" s="34"/>
      <c r="E272" s="34"/>
      <c r="F272" s="34"/>
      <c r="G272" s="137"/>
      <c r="H272" s="129">
        <f ca="1">IFERROR(INDEX(INDIRECT(VLOOKUP($U272,Source_Master,2,0),),MATCH(TEXT($P272,0),INDIRECT(VLOOKUP($U272,Source_Master,4,0)),0),MATCH(H$1,INDIRECT(VLOOKUP($U272,Source_Master,3,0),),0)),0)</f>
        <v>0</v>
      </c>
      <c r="I272" s="351"/>
      <c r="J272" s="348">
        <f ca="1">IFERROR(INDEX(INDIRECT(VLOOKUP($U272,Source_Master,2,0),),MATCH(TEXT($P272,0),INDIRECT(VLOOKUP($U272,Source_Master,4,0)),0),MATCH(J$1,INDIRECT(VLOOKUP($U272,Source_Master,3,0),),0)),0)</f>
        <v>0</v>
      </c>
      <c r="K272" s="20"/>
      <c r="L272" s="20"/>
      <c r="N272" s="20"/>
      <c r="O272" s="1152" t="str">
        <f t="shared" ca="1" si="44"/>
        <v>##H</v>
      </c>
      <c r="P272" s="271" t="s">
        <v>1400</v>
      </c>
      <c r="S272" s="24"/>
      <c r="U272" s="271" t="s">
        <v>50</v>
      </c>
    </row>
    <row r="273" spans="1:22" ht="15" customHeight="1">
      <c r="A273" s="46"/>
      <c r="B273" s="232" t="s">
        <v>246</v>
      </c>
      <c r="C273" s="180"/>
      <c r="D273" s="180"/>
      <c r="E273" s="180"/>
      <c r="F273" s="180"/>
      <c r="G273" s="714"/>
      <c r="H273" s="69">
        <f ca="1">SUM(H269:H272)</f>
        <v>0</v>
      </c>
      <c r="I273" s="363"/>
      <c r="J273" s="175">
        <f ca="1">SUM(J269:J272)</f>
        <v>0</v>
      </c>
      <c r="K273" s="20"/>
      <c r="L273" s="20"/>
      <c r="N273" s="247"/>
      <c r="O273" s="1152" t="str">
        <f t="shared" ca="1" si="44"/>
        <v>##H</v>
      </c>
      <c r="P273" s="271" t="s">
        <v>518</v>
      </c>
      <c r="U273" s="271" t="s">
        <v>50</v>
      </c>
    </row>
    <row r="274" spans="1:22" ht="15.6">
      <c r="A274" s="116"/>
      <c r="B274" s="1264"/>
      <c r="C274" s="267"/>
      <c r="D274" s="267"/>
      <c r="E274" s="267"/>
      <c r="N274" s="20"/>
    </row>
    <row r="275" spans="1:22" ht="15.6">
      <c r="A275" s="116"/>
      <c r="B275" s="210" t="s">
        <v>1167</v>
      </c>
      <c r="C275" s="210"/>
      <c r="D275" s="267"/>
      <c r="E275" s="267"/>
      <c r="J275" s="844"/>
      <c r="N275" s="20"/>
    </row>
    <row r="276" spans="1:22" ht="15.6">
      <c r="A276" s="116"/>
      <c r="B276" s="1264"/>
      <c r="C276" s="1264" t="s">
        <v>1401</v>
      </c>
      <c r="D276" s="268"/>
      <c r="E276" s="268"/>
      <c r="J276" s="1162" t="str">
        <f>+'Master Sheet'!$C$65</f>
        <v>(Amount in INR)</v>
      </c>
      <c r="N276" s="20"/>
    </row>
    <row r="277" spans="1:22" ht="15" customHeight="1">
      <c r="A277" s="263"/>
      <c r="B277" s="49"/>
      <c r="C277" s="1321" t="s">
        <v>500</v>
      </c>
      <c r="D277" s="1321"/>
      <c r="E277" s="1321"/>
      <c r="F277" s="1321"/>
      <c r="G277" s="811"/>
      <c r="H277" s="1150" t="e">
        <f ca="1">BS_CY</f>
        <v>#NAME?</v>
      </c>
      <c r="I277" s="813"/>
      <c r="J277" s="1151" t="e">
        <f ca="1">BS_PY</f>
        <v>#NAME?</v>
      </c>
      <c r="K277" s="20"/>
      <c r="L277" s="20"/>
      <c r="N277" s="20"/>
      <c r="P277" s="271"/>
      <c r="Q277" s="271"/>
      <c r="R277" s="271"/>
    </row>
    <row r="278" spans="1:22" ht="15" hidden="1" customHeight="1">
      <c r="A278" s="46"/>
      <c r="B278" s="1245"/>
      <c r="C278" s="315" t="s">
        <v>1402</v>
      </c>
      <c r="D278" s="34"/>
      <c r="E278" s="34"/>
      <c r="F278" s="34"/>
      <c r="G278" s="137"/>
      <c r="H278" s="355">
        <f t="shared" ref="H278:H280" ca="1" si="45">IFERROR(INDEX(INDIRECT(VLOOKUP($U278,Source_Master,2,0),),MATCH(TEXT($P278,0),INDIRECT(VLOOKUP($U278,Source_Master,4,0)),0),MATCH($H$1,INDIRECT(VLOOKUP($U278,Source_Master,3,0),),0)),0)</f>
        <v>0</v>
      </c>
      <c r="I278" s="121"/>
      <c r="J278" s="875">
        <f t="shared" ref="J278:J280" ca="1" si="46">IFERROR(INDEX(INDIRECT(VLOOKUP($U278,Source_Master,2,0),),MATCH(TEXT($P278,0),INDIRECT(VLOOKUP($U278,Source_Master,4,0)),0),MATCH($J$1,INDIRECT(VLOOKUP($U278,Source_Master,3,0),),0)),0)</f>
        <v>0</v>
      </c>
      <c r="N278" s="20"/>
      <c r="O278" s="1152" t="str">
        <f t="shared" ref="O278:O281" ca="1" si="47">IF(AND(H278=0,J278=0),"##H","")</f>
        <v>##H</v>
      </c>
      <c r="P278" s="271" t="s">
        <v>1403</v>
      </c>
      <c r="U278" s="271" t="s">
        <v>51</v>
      </c>
    </row>
    <row r="279" spans="1:22" ht="15" hidden="1" customHeight="1">
      <c r="A279" s="46"/>
      <c r="B279" s="1245"/>
      <c r="C279" s="315" t="s">
        <v>1404</v>
      </c>
      <c r="D279" s="34"/>
      <c r="E279" s="34"/>
      <c r="F279" s="34"/>
      <c r="G279" s="137"/>
      <c r="H279" s="355">
        <f t="shared" ca="1" si="45"/>
        <v>0</v>
      </c>
      <c r="I279" s="119"/>
      <c r="J279" s="875">
        <f t="shared" ca="1" si="46"/>
        <v>0</v>
      </c>
      <c r="N279" s="20"/>
      <c r="O279" s="1152" t="str">
        <f t="shared" ca="1" si="47"/>
        <v>##H</v>
      </c>
      <c r="P279" s="271" t="s">
        <v>1405</v>
      </c>
      <c r="U279" s="271" t="s">
        <v>51</v>
      </c>
    </row>
    <row r="280" spans="1:22" ht="15" hidden="1" customHeight="1">
      <c r="A280" s="46"/>
      <c r="B280" s="1245"/>
      <c r="C280" s="315" t="s">
        <v>1406</v>
      </c>
      <c r="D280" s="34"/>
      <c r="E280" s="34"/>
      <c r="F280" s="34"/>
      <c r="G280" s="137"/>
      <c r="H280" s="355">
        <f t="shared" ca="1" si="45"/>
        <v>0</v>
      </c>
      <c r="I280" s="119"/>
      <c r="J280" s="875">
        <f t="shared" ca="1" si="46"/>
        <v>0</v>
      </c>
      <c r="N280" s="20"/>
      <c r="O280" s="1152" t="str">
        <f t="shared" ca="1" si="47"/>
        <v>##H</v>
      </c>
      <c r="P280" s="271" t="s">
        <v>1407</v>
      </c>
      <c r="U280" s="271" t="s">
        <v>51</v>
      </c>
    </row>
    <row r="281" spans="1:22" ht="15" hidden="1" customHeight="1">
      <c r="A281" s="46"/>
      <c r="B281" s="210"/>
      <c r="C281" s="1358" t="s">
        <v>246</v>
      </c>
      <c r="D281" s="1358"/>
      <c r="E281" s="1358"/>
      <c r="F281" s="1358"/>
      <c r="G281" s="714"/>
      <c r="H281" s="69">
        <f ca="1">SUM(H278:H280)</f>
        <v>0</v>
      </c>
      <c r="I281" s="363"/>
      <c r="J281" s="316">
        <f ca="1">SUM(J278:J280)</f>
        <v>0</v>
      </c>
      <c r="N281" s="20"/>
      <c r="O281" s="1152" t="str">
        <f t="shared" ca="1" si="47"/>
        <v>##H</v>
      </c>
      <c r="U281" s="24"/>
    </row>
    <row r="282" spans="1:22" ht="15.6">
      <c r="A282" s="116"/>
      <c r="B282" s="1264"/>
      <c r="C282" s="267"/>
      <c r="D282" s="267"/>
      <c r="E282" s="267"/>
      <c r="N282" s="20"/>
      <c r="U282" s="24"/>
    </row>
    <row r="283" spans="1:22" ht="15" customHeight="1">
      <c r="A283" s="1149">
        <f>NTA!F54</f>
        <v>21</v>
      </c>
      <c r="B283" s="1149" t="str">
        <f>NTA!C54&amp;" (Current)"</f>
        <v>Loans (Current)</v>
      </c>
      <c r="H283" s="20"/>
      <c r="J283" s="1114" t="str">
        <f>+'Master Sheet'!$C$65</f>
        <v>(Amount in INR)</v>
      </c>
      <c r="K283" s="117"/>
      <c r="L283" s="117"/>
      <c r="M283" s="117"/>
      <c r="N283" s="117"/>
      <c r="P283" s="271"/>
      <c r="S283" s="24"/>
      <c r="T283" s="24"/>
      <c r="U283" s="24"/>
    </row>
    <row r="284" spans="1:22" ht="15" customHeight="1">
      <c r="A284" s="263"/>
      <c r="B284" s="1321" t="s">
        <v>500</v>
      </c>
      <c r="C284" s="1321"/>
      <c r="D284" s="1321"/>
      <c r="E284" s="1321"/>
      <c r="F284" s="1321"/>
      <c r="G284" s="811"/>
      <c r="H284" s="1150" t="e">
        <f ca="1">BS_CY</f>
        <v>#NAME?</v>
      </c>
      <c r="I284" s="813"/>
      <c r="J284" s="1151" t="e">
        <f ca="1">BS_CY</f>
        <v>#NAME?</v>
      </c>
      <c r="K284" s="100"/>
      <c r="L284" s="100"/>
      <c r="M284" s="100"/>
      <c r="N284" s="100"/>
      <c r="P284" s="271"/>
      <c r="S284" s="24"/>
      <c r="T284" s="24"/>
      <c r="U284" s="24"/>
      <c r="V284" s="209"/>
    </row>
    <row r="285" spans="1:22" ht="15" customHeight="1">
      <c r="A285" s="46"/>
      <c r="B285" s="68" t="s">
        <v>1252</v>
      </c>
      <c r="C285" s="68"/>
      <c r="D285" s="68"/>
      <c r="E285" s="68"/>
      <c r="F285" s="68"/>
      <c r="G285" s="120"/>
      <c r="H285" s="120"/>
      <c r="I285" s="171"/>
      <c r="J285" s="171"/>
      <c r="M285" s="123"/>
      <c r="N285" s="123"/>
      <c r="O285" s="590"/>
      <c r="P285" s="271"/>
      <c r="S285" s="24"/>
      <c r="T285" s="24"/>
      <c r="U285" s="24"/>
      <c r="V285" s="213"/>
    </row>
    <row r="286" spans="1:22" ht="15" hidden="1" customHeight="1">
      <c r="A286" s="46"/>
      <c r="B286" s="845" t="s">
        <v>1408</v>
      </c>
      <c r="C286" s="68"/>
      <c r="D286" s="68"/>
      <c r="E286" s="68"/>
      <c r="F286" s="68"/>
      <c r="G286" s="137"/>
      <c r="H286" s="129">
        <f ca="1">IFERROR(INDEX(INDIRECT(VLOOKUP($U286,Source_Master,2,0),),MATCH(TEXT($P286,0),INDIRECT(VLOOKUP($U286,Source_Master,4,0)),0),MATCH(H$1,INDIRECT(VLOOKUP($U286,Source_Master,3,0),),0)),0)</f>
        <v>0</v>
      </c>
      <c r="I286" s="351"/>
      <c r="J286" s="348">
        <f ca="1">IFERROR(INDEX(INDIRECT(VLOOKUP($U286,Source_Master,2,0),),MATCH(TEXT($P286,0),INDIRECT(VLOOKUP($U286,Source_Master,4,0)),0),MATCH(J$1,INDIRECT(VLOOKUP($U286,Source_Master,3,0),),0)),0)</f>
        <v>0</v>
      </c>
      <c r="K286" s="1574"/>
      <c r="L286" s="1574"/>
      <c r="M286" s="1574"/>
      <c r="N286" s="1574"/>
      <c r="O286" s="1152" t="str">
        <f t="shared" ref="O286:O289" ca="1" si="48">IF(AND(H286=0,J286=0),"##H","")</f>
        <v>##H</v>
      </c>
      <c r="P286" s="271" t="s">
        <v>1409</v>
      </c>
      <c r="S286" s="24"/>
      <c r="T286" s="24"/>
      <c r="U286" s="271" t="s">
        <v>50</v>
      </c>
      <c r="V286" s="213"/>
    </row>
    <row r="287" spans="1:22" ht="15" hidden="1" customHeight="1">
      <c r="A287" s="46"/>
      <c r="B287" s="80" t="s">
        <v>1410</v>
      </c>
      <c r="C287" s="68"/>
      <c r="D287" s="68"/>
      <c r="E287" s="68"/>
      <c r="F287" s="68"/>
      <c r="G287" s="822"/>
      <c r="H287" s="129">
        <f ca="1">IFERROR(INDEX(INDIRECT(VLOOKUP($U287,Source_Master,2,0),),MATCH(TEXT($P287,0),INDIRECT(VLOOKUP($U287,Source_Master,4,0)),0),MATCH(H$1,INDIRECT(VLOOKUP($U287,Source_Master,3,0),),0)),0)</f>
        <v>0</v>
      </c>
      <c r="I287" s="846"/>
      <c r="J287" s="348">
        <f ca="1">IFERROR(INDEX(INDIRECT(VLOOKUP($U287,Source_Master,2,0),),MATCH(TEXT($P287,0),INDIRECT(VLOOKUP($U287,Source_Master,4,0)),0),MATCH(J$1,INDIRECT(VLOOKUP($U287,Source_Master,3,0),),0)),0)</f>
        <v>0</v>
      </c>
      <c r="K287" s="1574"/>
      <c r="L287" s="1574"/>
      <c r="M287" s="1574"/>
      <c r="N287" s="1574"/>
      <c r="O287" s="1152" t="str">
        <f t="shared" ca="1" si="48"/>
        <v>##H</v>
      </c>
      <c r="P287" s="271"/>
      <c r="S287" s="24"/>
      <c r="T287" s="24"/>
      <c r="U287" s="24"/>
      <c r="V287" s="213"/>
    </row>
    <row r="288" spans="1:22" ht="15" hidden="1" customHeight="1">
      <c r="A288" s="46"/>
      <c r="B288" s="243" t="s">
        <v>1165</v>
      </c>
      <c r="C288" s="68"/>
      <c r="D288" s="68"/>
      <c r="E288" s="68"/>
      <c r="F288" s="68"/>
      <c r="G288" s="819"/>
      <c r="H288" s="230">
        <f ca="1">IFERROR(INDEX(INDIRECT(VLOOKUP($U288,Source_Master,2,0),),MATCH(TEXT($P288,0),INDIRECT(VLOOKUP($U288,Source_Master,4,0)),0),MATCH(H$1,INDIRECT(VLOOKUP($U288,Source_Master,3,0),),0)),0)</f>
        <v>0</v>
      </c>
      <c r="I288" s="835"/>
      <c r="J288" s="349">
        <f ca="1">IFERROR(INDEX(INDIRECT(VLOOKUP($U288,Source_Master,2,0),),MATCH(TEXT($P288,0),INDIRECT(VLOOKUP($U288,Source_Master,4,0)),0),MATCH(J$1,INDIRECT(VLOOKUP($U288,Source_Master,3,0),),0)),0)</f>
        <v>0</v>
      </c>
      <c r="K288" s="1574"/>
      <c r="L288" s="1574"/>
      <c r="M288" s="1574"/>
      <c r="N288" s="1574"/>
      <c r="O288" s="1152" t="str">
        <f t="shared" ca="1" si="48"/>
        <v>##H</v>
      </c>
      <c r="P288" s="271" t="s">
        <v>1411</v>
      </c>
      <c r="S288" s="24"/>
      <c r="T288" s="24"/>
      <c r="U288" s="271" t="s">
        <v>50</v>
      </c>
      <c r="V288" s="213"/>
    </row>
    <row r="289" spans="1:23" ht="15" hidden="1" customHeight="1">
      <c r="B289" s="1250" t="s">
        <v>246</v>
      </c>
      <c r="C289" s="224"/>
      <c r="D289" s="224"/>
      <c r="E289" s="224"/>
      <c r="F289" s="224"/>
      <c r="G289" s="843"/>
      <c r="H289" s="178">
        <f ca="1">SUM(H286:H288)</f>
        <v>0</v>
      </c>
      <c r="I289" s="817"/>
      <c r="J289" s="350">
        <f ca="1">SUM(J286:J288)</f>
        <v>0</v>
      </c>
      <c r="K289" s="1573"/>
      <c r="L289" s="1573"/>
      <c r="M289" s="1573"/>
      <c r="N289" s="1573"/>
      <c r="O289" s="1152" t="str">
        <f t="shared" ca="1" si="48"/>
        <v>##H</v>
      </c>
      <c r="P289" s="271"/>
      <c r="S289" s="24"/>
      <c r="T289" s="24"/>
      <c r="U289" s="24"/>
      <c r="V289" s="213"/>
    </row>
    <row r="290" spans="1:23">
      <c r="A290" s="46"/>
      <c r="B290" s="1264"/>
      <c r="C290" s="268"/>
      <c r="D290" s="268"/>
      <c r="E290" s="268"/>
      <c r="G290" s="21"/>
      <c r="H290" s="20"/>
      <c r="I290" s="20"/>
      <c r="J290" s="20"/>
      <c r="K290" s="20"/>
      <c r="L290" s="20"/>
      <c r="M290" s="213"/>
      <c r="N290" s="20"/>
      <c r="S290" s="607"/>
      <c r="T290" s="607"/>
      <c r="U290" s="24"/>
    </row>
    <row r="291" spans="1:23" ht="15" customHeight="1">
      <c r="A291" s="1149">
        <f>NTA!F55</f>
        <v>22</v>
      </c>
      <c r="B291" s="1163" t="str">
        <f>NTA!C55&amp;" (Current)"</f>
        <v>Other Financial Assets (Current)</v>
      </c>
      <c r="C291" s="317"/>
      <c r="D291" s="317"/>
      <c r="E291" s="317"/>
      <c r="F291" s="317"/>
      <c r="H291" s="20"/>
      <c r="I291" s="211"/>
      <c r="J291" s="1114" t="str">
        <f>+'Master Sheet'!$C$65</f>
        <v>(Amount in INR)</v>
      </c>
      <c r="K291" s="117"/>
      <c r="L291" s="117"/>
      <c r="M291" s="117"/>
      <c r="N291" s="318"/>
      <c r="P291" s="271"/>
      <c r="S291" s="24"/>
      <c r="T291" s="24"/>
      <c r="U291" s="24"/>
      <c r="V291" s="2"/>
      <c r="W291" s="213"/>
    </row>
    <row r="292" spans="1:23" ht="15" customHeight="1">
      <c r="A292" s="263"/>
      <c r="B292" s="1321" t="s">
        <v>500</v>
      </c>
      <c r="C292" s="1321"/>
      <c r="D292" s="1321"/>
      <c r="E292" s="1321"/>
      <c r="F292" s="1321"/>
      <c r="G292" s="811"/>
      <c r="H292" s="1150" t="e">
        <f ca="1">BS_CY</f>
        <v>#NAME?</v>
      </c>
      <c r="I292" s="813"/>
      <c r="J292" s="1151" t="e">
        <f ca="1">BS_PY</f>
        <v>#NAME?</v>
      </c>
      <c r="K292" s="100"/>
      <c r="L292" s="100"/>
      <c r="M292" s="100"/>
      <c r="N292" s="20"/>
      <c r="P292" s="271"/>
      <c r="S292" s="24"/>
      <c r="T292" s="24"/>
      <c r="U292" s="24"/>
      <c r="V292" s="2"/>
    </row>
    <row r="293" spans="1:23" ht="15" customHeight="1">
      <c r="A293" s="46"/>
      <c r="B293" s="80" t="s">
        <v>1412</v>
      </c>
      <c r="C293" s="80"/>
      <c r="D293" s="80"/>
      <c r="E293" s="80"/>
      <c r="F293" s="80"/>
      <c r="G293" s="237"/>
      <c r="H293" s="237"/>
      <c r="I293" s="121"/>
      <c r="J293" s="121"/>
      <c r="K293" s="39"/>
      <c r="L293" s="39"/>
      <c r="M293" s="39"/>
      <c r="N293" s="318"/>
      <c r="P293" s="271" t="s">
        <v>1413</v>
      </c>
      <c r="S293" s="24"/>
      <c r="T293" s="24"/>
      <c r="U293" s="271" t="s">
        <v>50</v>
      </c>
      <c r="V293" s="2"/>
    </row>
    <row r="294" spans="1:23" ht="15" customHeight="1">
      <c r="A294" s="46"/>
      <c r="B294" s="319" t="s">
        <v>1414</v>
      </c>
      <c r="C294" s="80"/>
      <c r="D294" s="80"/>
      <c r="E294" s="80"/>
      <c r="F294" s="80"/>
      <c r="G294" s="137"/>
      <c r="H294" s="129">
        <f ca="1">IFERROR(INDEX(INDIRECT(VLOOKUP($U294,Source_Master,2,0),),MATCH(TEXT($P294,0),INDIRECT(VLOOKUP($U294,Source_Master,4,0)),0),MATCH(H$1,INDIRECT(VLOOKUP($U294,Source_Master,3,0),),0)),0)</f>
        <v>0</v>
      </c>
      <c r="I294" s="351"/>
      <c r="J294" s="348">
        <f t="shared" ref="J294:J302" ca="1" si="49">IFERROR(INDEX(INDIRECT(VLOOKUP($U294,Source_Master,2,0),),MATCH(TEXT($P294,0),INDIRECT(VLOOKUP($U294,Source_Master,4,0)),0),MATCH(J$1,INDIRECT(VLOOKUP($U294,Source_Master,3,0),),0)),0)</f>
        <v>0</v>
      </c>
      <c r="K294" s="39"/>
      <c r="L294" s="39"/>
      <c r="M294" s="39"/>
      <c r="N294" s="318"/>
      <c r="O294" s="1152" t="str">
        <f t="shared" ref="O294:O296" ca="1" si="50">IF(AND(H294=0,J294=0),"##H","")</f>
        <v>##H</v>
      </c>
      <c r="P294" s="271" t="s">
        <v>1415</v>
      </c>
      <c r="S294" s="24"/>
      <c r="T294" s="24"/>
      <c r="U294" s="271" t="s">
        <v>50</v>
      </c>
      <c r="V294" s="2"/>
    </row>
    <row r="295" spans="1:23" ht="15" hidden="1" customHeight="1">
      <c r="A295" s="46"/>
      <c r="B295" s="319" t="s">
        <v>1416</v>
      </c>
      <c r="C295" s="80"/>
      <c r="D295" s="80"/>
      <c r="E295" s="80"/>
      <c r="F295" s="80"/>
      <c r="G295" s="137"/>
      <c r="H295" s="129">
        <f ca="1">IFERROR(INDEX(INDIRECT(VLOOKUP($U295,Source_Master,2,0),),MATCH(TEXT($P295,0),INDIRECT(VLOOKUP($U295,Source_Master,4,0)),0),MATCH(H$1,INDIRECT(VLOOKUP($U295,Source_Master,3,0),),0)),0)</f>
        <v>0</v>
      </c>
      <c r="I295" s="351"/>
      <c r="J295" s="348">
        <f t="shared" ca="1" si="49"/>
        <v>0</v>
      </c>
      <c r="K295" s="39"/>
      <c r="L295" s="39"/>
      <c r="M295" s="39"/>
      <c r="N295" s="318"/>
      <c r="O295" s="1152" t="str">
        <f t="shared" ca="1" si="50"/>
        <v>##H</v>
      </c>
      <c r="P295" s="271" t="s">
        <v>1417</v>
      </c>
      <c r="S295" s="24"/>
      <c r="T295" s="24"/>
      <c r="U295" s="271" t="s">
        <v>50</v>
      </c>
      <c r="V295" s="2"/>
    </row>
    <row r="296" spans="1:23" ht="15" hidden="1" customHeight="1">
      <c r="A296" s="46"/>
      <c r="B296" s="319" t="s">
        <v>1418</v>
      </c>
      <c r="C296" s="80"/>
      <c r="D296" s="80"/>
      <c r="E296" s="80"/>
      <c r="F296" s="80"/>
      <c r="G296" s="137"/>
      <c r="H296" s="129">
        <f ca="1">IFERROR(INDEX(INDIRECT(VLOOKUP($U296,Source_Master,2,0),),MATCH(TEXT($P296,0),INDIRECT(VLOOKUP($U296,Source_Master,4,0)),0),MATCH(H$1,INDIRECT(VLOOKUP($U296,Source_Master,3,0),),0)),0)</f>
        <v>0</v>
      </c>
      <c r="I296" s="351"/>
      <c r="J296" s="348">
        <f t="shared" ca="1" si="49"/>
        <v>0</v>
      </c>
      <c r="K296" s="39"/>
      <c r="L296" s="39"/>
      <c r="M296" s="39"/>
      <c r="N296" s="318"/>
      <c r="O296" s="1152" t="str">
        <f t="shared" ca="1" si="50"/>
        <v>##H</v>
      </c>
      <c r="P296" s="271" t="s">
        <v>1419</v>
      </c>
      <c r="S296" s="24"/>
      <c r="T296" s="24"/>
      <c r="U296" s="271" t="s">
        <v>50</v>
      </c>
      <c r="V296" s="2"/>
    </row>
    <row r="297" spans="1:23" ht="15" customHeight="1">
      <c r="A297" s="46"/>
      <c r="B297" s="80" t="s">
        <v>1420</v>
      </c>
      <c r="C297" s="80"/>
      <c r="D297" s="80"/>
      <c r="E297" s="80"/>
      <c r="F297" s="80"/>
      <c r="G297" s="137"/>
      <c r="H297" s="86"/>
      <c r="I297" s="351"/>
      <c r="J297" s="351"/>
      <c r="K297" s="39"/>
      <c r="L297" s="39"/>
      <c r="M297" s="39"/>
      <c r="N297" s="318"/>
      <c r="P297" s="271" t="s">
        <v>1421</v>
      </c>
      <c r="S297" s="24"/>
      <c r="T297" s="24"/>
      <c r="U297" s="271" t="s">
        <v>50</v>
      </c>
      <c r="V297" s="2"/>
    </row>
    <row r="298" spans="1:23" ht="15" customHeight="1">
      <c r="A298" s="46"/>
      <c r="B298" s="319" t="s">
        <v>1422</v>
      </c>
      <c r="C298" s="80"/>
      <c r="D298" s="80"/>
      <c r="E298" s="80"/>
      <c r="F298" s="80"/>
      <c r="G298" s="137"/>
      <c r="H298" s="129">
        <f ca="1">IFERROR(INDEX(INDIRECT(VLOOKUP($U298,Source_Master,2,0),),MATCH(TEXT($P298,0),INDIRECT(VLOOKUP($U298,Source_Master,4,0)),0),MATCH(H$1,INDIRECT(VLOOKUP($U298,Source_Master,3,0),),0)),0)</f>
        <v>0</v>
      </c>
      <c r="I298" s="351"/>
      <c r="J298" s="348">
        <f t="shared" ca="1" si="49"/>
        <v>0</v>
      </c>
      <c r="K298" s="39"/>
      <c r="L298" s="39"/>
      <c r="M298" s="39"/>
      <c r="N298" s="318"/>
      <c r="O298" s="1152" t="str">
        <f t="shared" ref="O298:O299" ca="1" si="51">IF(AND(H298=0,J298=0),"##H","")</f>
        <v>##H</v>
      </c>
      <c r="P298" s="271" t="s">
        <v>1423</v>
      </c>
      <c r="S298" s="24"/>
      <c r="T298" s="24"/>
      <c r="U298" s="271" t="s">
        <v>50</v>
      </c>
      <c r="V298" s="2"/>
    </row>
    <row r="299" spans="1:23" ht="15" customHeight="1">
      <c r="A299" s="46"/>
      <c r="B299" s="319" t="s">
        <v>1424</v>
      </c>
      <c r="C299" s="80"/>
      <c r="D299" s="80"/>
      <c r="E299" s="80"/>
      <c r="F299" s="80"/>
      <c r="G299" s="137"/>
      <c r="H299" s="129">
        <f ca="1">IFERROR(INDEX(INDIRECT(VLOOKUP($U299,Source_Master,2,0),),MATCH(TEXT($P299,0),INDIRECT(VLOOKUP($U299,Source_Master,4,0)),0),MATCH(H$1,INDIRECT(VLOOKUP($U299,Source_Master,3,0),),0)),0)</f>
        <v>0</v>
      </c>
      <c r="I299" s="351"/>
      <c r="J299" s="348">
        <f t="shared" ca="1" si="49"/>
        <v>0</v>
      </c>
      <c r="K299" s="39"/>
      <c r="L299" s="39"/>
      <c r="M299" s="39"/>
      <c r="N299" s="318"/>
      <c r="O299" s="1152" t="str">
        <f t="shared" ca="1" si="51"/>
        <v>##H</v>
      </c>
      <c r="P299" s="271" t="s">
        <v>1425</v>
      </c>
      <c r="S299" s="24"/>
      <c r="T299" s="24"/>
      <c r="U299" s="271" t="s">
        <v>50</v>
      </c>
      <c r="V299" s="2"/>
    </row>
    <row r="300" spans="1:23" ht="15" customHeight="1">
      <c r="A300" s="46"/>
      <c r="B300" s="80" t="s">
        <v>1426</v>
      </c>
      <c r="C300" s="80"/>
      <c r="D300" s="80"/>
      <c r="E300" s="80"/>
      <c r="F300" s="80"/>
      <c r="G300" s="137"/>
      <c r="H300" s="86"/>
      <c r="I300" s="351"/>
      <c r="J300" s="348">
        <f t="shared" ca="1" si="49"/>
        <v>0</v>
      </c>
      <c r="K300" s="39"/>
      <c r="L300" s="39"/>
      <c r="M300" s="39"/>
      <c r="N300" s="318"/>
      <c r="P300" s="271" t="s">
        <v>1427</v>
      </c>
      <c r="S300" s="24"/>
      <c r="T300" s="24"/>
      <c r="U300" s="271" t="s">
        <v>50</v>
      </c>
      <c r="V300" s="2"/>
    </row>
    <row r="301" spans="1:23" ht="15" hidden="1" customHeight="1">
      <c r="A301" s="46"/>
      <c r="B301" s="223" t="s">
        <v>1428</v>
      </c>
      <c r="C301" s="58"/>
      <c r="D301" s="58"/>
      <c r="E301" s="58"/>
      <c r="F301" s="58"/>
      <c r="G301" s="137"/>
      <c r="H301" s="129">
        <f ca="1">IFERROR(INDEX(INDIRECT(VLOOKUP($U301,Source_Master,2,0),),MATCH(TEXT($P301,0),INDIRECT(VLOOKUP($U301,Source_Master,4,0)),0),MATCH(H$1,INDIRECT(VLOOKUP($U301,Source_Master,3,0),),0)),0)</f>
        <v>0</v>
      </c>
      <c r="I301" s="351"/>
      <c r="J301" s="348">
        <f t="shared" ca="1" si="49"/>
        <v>0</v>
      </c>
      <c r="K301" s="39"/>
      <c r="L301" s="39"/>
      <c r="M301" s="39"/>
      <c r="N301" s="32"/>
      <c r="O301" s="1152" t="str">
        <f t="shared" ref="O301:O303" ca="1" si="52">IF(AND(H301=0,J301=0),"##H","")</f>
        <v>##H</v>
      </c>
      <c r="P301" s="271" t="s">
        <v>1429</v>
      </c>
      <c r="S301" s="24"/>
      <c r="T301" s="24"/>
      <c r="U301" s="271" t="s">
        <v>50</v>
      </c>
      <c r="V301" s="2"/>
    </row>
    <row r="302" spans="1:23" ht="15" customHeight="1">
      <c r="A302" s="46"/>
      <c r="B302" s="223" t="s">
        <v>1430</v>
      </c>
      <c r="C302" s="58"/>
      <c r="D302" s="58"/>
      <c r="E302" s="58"/>
      <c r="F302" s="58"/>
      <c r="G302" s="137"/>
      <c r="H302" s="129">
        <f ca="1">IFERROR(INDEX(INDIRECT(VLOOKUP($U302,Source_Master,2,0),),MATCH(TEXT($P302,0),INDIRECT(VLOOKUP($U302,Source_Master,4,0)),0),MATCH(H$1,INDIRECT(VLOOKUP($U302,Source_Master,3,0),),0)),0)</f>
        <v>0</v>
      </c>
      <c r="I302" s="351"/>
      <c r="J302" s="348">
        <f t="shared" ca="1" si="49"/>
        <v>0</v>
      </c>
      <c r="K302" s="39"/>
      <c r="L302" s="39"/>
      <c r="M302" s="39"/>
      <c r="N302" s="20"/>
      <c r="O302" s="1152" t="str">
        <f t="shared" ca="1" si="52"/>
        <v>##H</v>
      </c>
      <c r="P302" s="271" t="s">
        <v>1431</v>
      </c>
      <c r="S302" s="24"/>
      <c r="T302" s="24"/>
      <c r="U302" s="271" t="s">
        <v>50</v>
      </c>
      <c r="V302" s="2"/>
    </row>
    <row r="303" spans="1:23" ht="15" customHeight="1">
      <c r="A303" s="46"/>
      <c r="B303" s="232" t="s">
        <v>246</v>
      </c>
      <c r="C303" s="232"/>
      <c r="D303" s="232"/>
      <c r="E303" s="232"/>
      <c r="F303" s="232"/>
      <c r="G303" s="714"/>
      <c r="H303" s="69">
        <f ca="1">SUM(H294:H302)</f>
        <v>0</v>
      </c>
      <c r="I303" s="363"/>
      <c r="J303" s="175">
        <f ca="1">SUM(J294:J302)</f>
        <v>0</v>
      </c>
      <c r="K303" s="21"/>
      <c r="L303" s="21"/>
      <c r="M303" s="21"/>
      <c r="N303" s="20"/>
      <c r="O303" s="1152" t="str">
        <f t="shared" ca="1" si="52"/>
        <v>##H</v>
      </c>
      <c r="P303" s="271" t="s">
        <v>520</v>
      </c>
      <c r="S303" s="24"/>
      <c r="T303" s="24"/>
      <c r="U303" s="271" t="s">
        <v>50</v>
      </c>
      <c r="V303" s="2"/>
    </row>
    <row r="304" spans="1:23" ht="15" customHeight="1">
      <c r="A304" s="46"/>
      <c r="B304" s="1264"/>
      <c r="C304" s="1264"/>
      <c r="D304" s="21"/>
      <c r="E304" s="21"/>
      <c r="F304" s="21"/>
      <c r="G304" s="21"/>
      <c r="H304" s="20"/>
      <c r="I304" s="2"/>
      <c r="J304" s="20"/>
      <c r="K304" s="39"/>
      <c r="L304" s="39"/>
      <c r="M304" s="39"/>
      <c r="N304" s="246"/>
    </row>
    <row r="305" spans="1:22" ht="15" customHeight="1">
      <c r="A305" s="1149">
        <f>NTA!F56</f>
        <v>23</v>
      </c>
      <c r="B305" s="1149" t="str">
        <f>NTA!C56</f>
        <v>Current Tax Assets (Net)</v>
      </c>
      <c r="H305" s="20"/>
      <c r="I305" s="20"/>
      <c r="J305" s="211" t="s">
        <v>1432</v>
      </c>
      <c r="K305" s="39"/>
      <c r="L305" s="39"/>
      <c r="M305" s="39"/>
      <c r="N305" s="2"/>
    </row>
    <row r="306" spans="1:22" ht="15" customHeight="1">
      <c r="A306" s="263"/>
      <c r="B306" s="1321" t="s">
        <v>500</v>
      </c>
      <c r="C306" s="1321"/>
      <c r="D306" s="1321"/>
      <c r="E306" s="1321"/>
      <c r="F306" s="1321"/>
      <c r="G306" s="811"/>
      <c r="H306" s="811" t="s">
        <v>1180</v>
      </c>
      <c r="I306" s="723"/>
      <c r="J306" s="723" t="s">
        <v>1181</v>
      </c>
      <c r="K306" s="39"/>
      <c r="L306" s="39"/>
      <c r="M306" s="39"/>
      <c r="N306" s="2"/>
    </row>
    <row r="307" spans="1:22" ht="15" hidden="1" customHeight="1">
      <c r="B307" s="68" t="s">
        <v>1182</v>
      </c>
      <c r="C307" s="58"/>
      <c r="D307" s="58"/>
      <c r="E307" s="58"/>
      <c r="F307" s="58"/>
      <c r="G307" s="274"/>
      <c r="H307" s="129">
        <f ca="1">IFERROR(INDEX(INDIRECT(VLOOKUP($U307,Source_Master,2,0),),MATCH(TEXT($P307,0),INDIRECT(VLOOKUP($U307,Source_Master,4,0)),0),MATCH(H$1,INDIRECT(VLOOKUP($U307,Source_Master,3,0),),0)),0)</f>
        <v>0</v>
      </c>
      <c r="I307" s="417"/>
      <c r="J307" s="348">
        <f ca="1">IFERROR(INDEX(INDIRECT(VLOOKUP($U307,Source_Master,2,0),),MATCH(TEXT($P307,0),INDIRECT(VLOOKUP($U307,Source_Master,4,0)),0),MATCH(J$1,INDIRECT(VLOOKUP($U307,Source_Master,3,0),),0)),0)</f>
        <v>0</v>
      </c>
      <c r="K307" s="39"/>
      <c r="L307" s="39"/>
      <c r="M307" s="39"/>
      <c r="N307" s="2"/>
      <c r="O307" s="1152" t="str">
        <f t="shared" ref="O307:O312" ca="1" si="53">IF(AND(H307=0,J307=0),"##H","")</f>
        <v>##H</v>
      </c>
      <c r="P307" s="24" t="s">
        <v>1433</v>
      </c>
      <c r="U307" s="271" t="s">
        <v>50</v>
      </c>
    </row>
    <row r="308" spans="1:22" ht="15" hidden="1" customHeight="1">
      <c r="B308" s="68" t="s">
        <v>1184</v>
      </c>
      <c r="C308" s="58"/>
      <c r="D308" s="58"/>
      <c r="E308" s="58"/>
      <c r="F308" s="58"/>
      <c r="G308" s="137"/>
      <c r="H308" s="129">
        <f ca="1">IFERROR(INDEX(INDIRECT(VLOOKUP($U308,Source_Master,2,0),),MATCH(TEXT($P308,0),INDIRECT(VLOOKUP($U308,Source_Master,4,0)),0),MATCH(H$1,INDIRECT(VLOOKUP($U308,Source_Master,3,0),),0)),0)</f>
        <v>0</v>
      </c>
      <c r="I308" s="351"/>
      <c r="J308" s="348">
        <f ca="1">IFERROR(INDEX(INDIRECT(VLOOKUP($U308,Source_Master,2,0),),MATCH(TEXT($P308,0),INDIRECT(VLOOKUP($U308,Source_Master,4,0)),0),MATCH(J$1,INDIRECT(VLOOKUP($U308,Source_Master,3,0),),0)),0)</f>
        <v>0</v>
      </c>
      <c r="K308" s="39"/>
      <c r="L308" s="39"/>
      <c r="M308" s="39"/>
      <c r="N308" s="2"/>
      <c r="O308" s="1152" t="str">
        <f t="shared" ca="1" si="53"/>
        <v>##H</v>
      </c>
      <c r="P308" s="24" t="s">
        <v>1434</v>
      </c>
      <c r="U308" s="271" t="s">
        <v>50</v>
      </c>
    </row>
    <row r="309" spans="1:22" ht="15" hidden="1" customHeight="1">
      <c r="B309" s="68" t="s">
        <v>1186</v>
      </c>
      <c r="C309" s="58"/>
      <c r="D309" s="58"/>
      <c r="E309" s="58"/>
      <c r="F309" s="58"/>
      <c r="G309" s="137"/>
      <c r="H309" s="129">
        <f ca="1">IFERROR(INDEX(INDIRECT(VLOOKUP($U309,Source_Master,2,0),),MATCH(TEXT($P309,0),INDIRECT(VLOOKUP($U309,Source_Master,4,0)),0),MATCH(H$1,INDIRECT(VLOOKUP($U309,Source_Master,3,0),),0)),0)</f>
        <v>0</v>
      </c>
      <c r="I309" s="351"/>
      <c r="J309" s="348">
        <f ca="1">IFERROR(INDEX(INDIRECT(VLOOKUP($U309,Source_Master,2,0),),MATCH(TEXT($P309,0),INDIRECT(VLOOKUP($U309,Source_Master,4,0)),0),MATCH(J$1,INDIRECT(VLOOKUP($U309,Source_Master,3,0),),0)),0)</f>
        <v>0</v>
      </c>
      <c r="K309" s="39"/>
      <c r="L309" s="39"/>
      <c r="M309" s="39"/>
      <c r="N309" s="2"/>
      <c r="O309" s="1152" t="str">
        <f t="shared" ca="1" si="53"/>
        <v>##H</v>
      </c>
      <c r="P309" s="24" t="s">
        <v>1435</v>
      </c>
      <c r="U309" s="271" t="s">
        <v>50</v>
      </c>
    </row>
    <row r="310" spans="1:22" ht="15" customHeight="1">
      <c r="B310" s="68" t="s">
        <v>1188</v>
      </c>
      <c r="C310" s="1253"/>
      <c r="D310" s="1253"/>
      <c r="E310" s="1253"/>
      <c r="F310" s="1253"/>
      <c r="G310" s="137"/>
      <c r="H310" s="129">
        <f ca="1">IFERROR(INDEX(INDIRECT(VLOOKUP($U310,Source_Master,2,0),),MATCH(TEXT($P310,0),INDIRECT(VLOOKUP($U310,Source_Master,4,0)),0),MATCH(H$1,INDIRECT(VLOOKUP($U310,Source_Master,3,0),),0)),0)</f>
        <v>0</v>
      </c>
      <c r="I310" s="351"/>
      <c r="J310" s="348">
        <f ca="1">IFERROR(INDEX(INDIRECT(VLOOKUP($U310,Source_Master,2,0),),MATCH(TEXT($P310,0),INDIRECT(VLOOKUP($U310,Source_Master,4,0)),0),MATCH(J$1,INDIRECT(VLOOKUP($U310,Source_Master,3,0),),0)),0)</f>
        <v>0</v>
      </c>
      <c r="K310" s="39"/>
      <c r="L310" s="39"/>
      <c r="M310" s="39"/>
      <c r="N310" s="2"/>
      <c r="O310" s="1152" t="str">
        <f t="shared" ca="1" si="53"/>
        <v>##H</v>
      </c>
      <c r="P310" s="24" t="s">
        <v>1436</v>
      </c>
      <c r="U310" s="271" t="s">
        <v>50</v>
      </c>
    </row>
    <row r="311" spans="1:22" ht="15" hidden="1" customHeight="1">
      <c r="B311" s="68" t="s">
        <v>1437</v>
      </c>
      <c r="C311" s="58"/>
      <c r="D311" s="58"/>
      <c r="E311" s="58"/>
      <c r="F311" s="58"/>
      <c r="G311" s="819"/>
      <c r="H311" s="129">
        <f ca="1">IFERROR(INDEX(INDIRECT(VLOOKUP($U311,Source_Master,2,0),),MATCH(TEXT($P311,0),INDIRECT(VLOOKUP($U311,Source_Master,4,0)),0),MATCH(H$1,INDIRECT(VLOOKUP($U311,Source_Master,3,0),),0)),0)</f>
        <v>0</v>
      </c>
      <c r="I311" s="835"/>
      <c r="J311" s="348">
        <f ca="1">IFERROR(INDEX(INDIRECT(VLOOKUP($U311,Source_Master,2,0),),MATCH(TEXT($P311,0),INDIRECT(VLOOKUP($U311,Source_Master,4,0)),0),MATCH(J$1,INDIRECT(VLOOKUP($U311,Source_Master,3,0),),0)),0)</f>
        <v>0</v>
      </c>
      <c r="K311" s="39"/>
      <c r="L311" s="39"/>
      <c r="M311" s="39"/>
      <c r="N311" s="2"/>
      <c r="O311" s="1152" t="str">
        <f t="shared" ca="1" si="53"/>
        <v>##H</v>
      </c>
      <c r="P311" s="24" t="s">
        <v>1438</v>
      </c>
      <c r="U311" s="271" t="s">
        <v>50</v>
      </c>
    </row>
    <row r="312" spans="1:22" ht="15" customHeight="1">
      <c r="B312" s="232" t="s">
        <v>246</v>
      </c>
      <c r="C312" s="232"/>
      <c r="D312" s="232"/>
      <c r="E312" s="232"/>
      <c r="F312" s="232"/>
      <c r="G312" s="714"/>
      <c r="H312" s="69">
        <f ca="1">SUM(H307:H311)</f>
        <v>0</v>
      </c>
      <c r="I312" s="363"/>
      <c r="J312" s="175">
        <f ca="1">SUM(J307:J311)</f>
        <v>0</v>
      </c>
      <c r="K312" s="39"/>
      <c r="L312" s="39"/>
      <c r="M312" s="39"/>
      <c r="N312" s="2"/>
      <c r="O312" s="1152" t="str">
        <f t="shared" ca="1" si="53"/>
        <v>##H</v>
      </c>
      <c r="P312" s="24" t="s">
        <v>521</v>
      </c>
      <c r="U312" s="271" t="s">
        <v>50</v>
      </c>
    </row>
    <row r="313" spans="1:22" ht="15" customHeight="1">
      <c r="A313" s="46"/>
      <c r="B313" s="1264"/>
      <c r="C313" s="21"/>
      <c r="D313" s="21"/>
      <c r="E313" s="21"/>
      <c r="F313" s="21"/>
      <c r="G313" s="21"/>
      <c r="H313" s="20"/>
      <c r="I313" s="2"/>
      <c r="J313" s="20"/>
      <c r="K313" s="39"/>
      <c r="L313" s="39"/>
      <c r="M313" s="39"/>
      <c r="N313" s="2"/>
    </row>
    <row r="314" spans="1:22" ht="15" customHeight="1">
      <c r="A314" s="1149">
        <f>NTA!F57</f>
        <v>24</v>
      </c>
      <c r="B314" s="1149" t="str">
        <f>NTA!C57</f>
        <v>Other Current Assets</v>
      </c>
      <c r="H314" s="20"/>
      <c r="I314" s="20"/>
      <c r="J314" s="1114" t="str">
        <f>+'Master Sheet'!$C$65</f>
        <v>(Amount in INR)</v>
      </c>
      <c r="K314" s="117"/>
      <c r="L314" s="117"/>
      <c r="M314" s="126"/>
      <c r="N314" s="2"/>
      <c r="S314" s="24"/>
      <c r="T314" s="24"/>
      <c r="U314" s="24"/>
    </row>
    <row r="315" spans="1:22" ht="15" customHeight="1">
      <c r="A315" s="263"/>
      <c r="B315" s="1321" t="s">
        <v>500</v>
      </c>
      <c r="C315" s="1321"/>
      <c r="D315" s="1321"/>
      <c r="E315" s="1321"/>
      <c r="F315" s="1321"/>
      <c r="G315" s="811"/>
      <c r="H315" s="1150" t="e">
        <f ca="1">BS_CY</f>
        <v>#NAME?</v>
      </c>
      <c r="I315" s="723"/>
      <c r="J315" s="1093" t="e">
        <f ca="1">BS_PY</f>
        <v>#NAME?</v>
      </c>
      <c r="K315" s="100"/>
      <c r="L315" s="100"/>
      <c r="M315" s="100"/>
      <c r="N315" s="126"/>
      <c r="P315" s="271"/>
      <c r="S315" s="24"/>
      <c r="T315" s="24"/>
      <c r="U315" s="24"/>
      <c r="V315" s="2"/>
    </row>
    <row r="316" spans="1:22" ht="15" customHeight="1">
      <c r="B316" s="68" t="s">
        <v>1252</v>
      </c>
      <c r="C316" s="58"/>
      <c r="D316" s="58"/>
      <c r="E316" s="58"/>
      <c r="F316" s="58"/>
      <c r="G316" s="274"/>
      <c r="H316" s="89"/>
      <c r="I316" s="417"/>
      <c r="J316" s="417"/>
      <c r="M316" s="123"/>
      <c r="N316" s="126"/>
      <c r="P316" s="271"/>
      <c r="S316" s="24"/>
      <c r="T316" s="24"/>
      <c r="U316" s="24"/>
      <c r="V316" s="2"/>
    </row>
    <row r="317" spans="1:22" ht="15" customHeight="1">
      <c r="B317" s="68" t="s">
        <v>1439</v>
      </c>
      <c r="C317" s="58"/>
      <c r="D317" s="58"/>
      <c r="E317" s="58"/>
      <c r="F317" s="58"/>
      <c r="G317" s="137"/>
      <c r="H317" s="129">
        <f ca="1">IFERROR(INDEX(INDIRECT(VLOOKUP($U317,Source_Master,2,0),),MATCH(TEXT($P317,0),INDIRECT(VLOOKUP($U317,Source_Master,4,0)),0),MATCH(H$1,INDIRECT(VLOOKUP($U317,Source_Master,3,0),),0)),0)</f>
        <v>0</v>
      </c>
      <c r="I317" s="351"/>
      <c r="J317" s="348">
        <f ca="1">IFERROR(INDEX(INDIRECT(VLOOKUP($U317,Source_Master,2,0),),MATCH(TEXT($P317,0),INDIRECT(VLOOKUP($U317,Source_Master,4,0)),0),MATCH(J$1,INDIRECT(VLOOKUP($U317,Source_Master,3,0),),0)),0)</f>
        <v>0</v>
      </c>
      <c r="K317" s="39"/>
      <c r="L317" s="39"/>
      <c r="M317" s="39"/>
      <c r="N317" s="320"/>
      <c r="O317" s="1152" t="str">
        <f t="shared" ref="O317:O318" ca="1" si="54">IF(AND(H317=0,J317=0),"##H","")</f>
        <v>##H</v>
      </c>
      <c r="P317" s="271" t="s">
        <v>1440</v>
      </c>
      <c r="S317" s="24"/>
      <c r="T317" s="24"/>
      <c r="U317" s="271" t="s">
        <v>50</v>
      </c>
      <c r="V317" s="2"/>
    </row>
    <row r="318" spans="1:22" ht="15" customHeight="1">
      <c r="B318" s="68" t="s">
        <v>1441</v>
      </c>
      <c r="C318" s="58"/>
      <c r="D318" s="58"/>
      <c r="E318" s="58"/>
      <c r="F318" s="58"/>
      <c r="G318" s="137"/>
      <c r="H318" s="129">
        <f ca="1">IFERROR(INDEX(INDIRECT(VLOOKUP($U318,Source_Master,2,0),),MATCH(TEXT($P318,0),INDIRECT(VLOOKUP($U318,Source_Master,4,0)),0),MATCH(H$1,INDIRECT(VLOOKUP($U318,Source_Master,3,0),),0)),0)</f>
        <v>0</v>
      </c>
      <c r="I318" s="351"/>
      <c r="J318" s="348">
        <f ca="1">IFERROR(INDEX(INDIRECT(VLOOKUP($U318,Source_Master,2,0),),MATCH(TEXT($P318,0),INDIRECT(VLOOKUP($U318,Source_Master,4,0)),0),MATCH(J$1,INDIRECT(VLOOKUP($U318,Source_Master,3,0),),0)),0)</f>
        <v>0</v>
      </c>
      <c r="K318" s="39"/>
      <c r="L318" s="39"/>
      <c r="M318" s="39"/>
      <c r="N318" s="126"/>
      <c r="O318" s="1152" t="str">
        <f t="shared" ca="1" si="54"/>
        <v>##H</v>
      </c>
      <c r="P318" s="271" t="s">
        <v>1442</v>
      </c>
      <c r="S318" s="24"/>
      <c r="T318" s="24"/>
      <c r="U318" s="271" t="s">
        <v>50</v>
      </c>
      <c r="V318" s="2"/>
    </row>
    <row r="319" spans="1:22" ht="15" customHeight="1">
      <c r="B319" s="68" t="s">
        <v>1443</v>
      </c>
      <c r="C319" s="58"/>
      <c r="D319" s="58"/>
      <c r="E319" s="58"/>
      <c r="F319" s="58"/>
      <c r="G319" s="137"/>
      <c r="H319" s="86"/>
      <c r="I319" s="351"/>
      <c r="J319" s="351"/>
      <c r="K319" s="39"/>
      <c r="L319" s="39"/>
      <c r="M319" s="39"/>
      <c r="N319" s="126"/>
      <c r="P319" s="271" t="s">
        <v>1444</v>
      </c>
      <c r="S319" s="24"/>
      <c r="T319" s="24"/>
      <c r="U319" s="271" t="s">
        <v>50</v>
      </c>
      <c r="V319" s="2"/>
    </row>
    <row r="320" spans="1:22" ht="15" customHeight="1">
      <c r="B320" s="223" t="s">
        <v>1445</v>
      </c>
      <c r="C320" s="58"/>
      <c r="D320" s="58"/>
      <c r="E320" s="58"/>
      <c r="F320" s="58"/>
      <c r="G320" s="137"/>
      <c r="H320" s="129">
        <f ca="1">IFERROR(INDEX(INDIRECT(VLOOKUP($U320,Source_Master,2,0),),MATCH(TEXT($P320,0),INDIRECT(VLOOKUP($U320,Source_Master,4,0)),0),MATCH(H$1,INDIRECT(VLOOKUP($U320,Source_Master,3,0),),0)),0)</f>
        <v>0</v>
      </c>
      <c r="I320" s="351"/>
      <c r="J320" s="348">
        <f ca="1">IFERROR(INDEX(INDIRECT(VLOOKUP($U320,Source_Master,2,0),),MATCH(TEXT($P320,0),INDIRECT(VLOOKUP($U320,Source_Master,4,0)),0),MATCH(J$1,INDIRECT(VLOOKUP($U320,Source_Master,3,0),),0)),0)</f>
        <v>0</v>
      </c>
      <c r="K320" s="39"/>
      <c r="L320" s="39"/>
      <c r="M320" s="39"/>
      <c r="N320" s="126"/>
      <c r="O320" s="1152" t="str">
        <f t="shared" ref="O320:O324" ca="1" si="55">IF(AND(H320=0,J320=0),"##H","")</f>
        <v>##H</v>
      </c>
      <c r="P320" s="271" t="s">
        <v>1446</v>
      </c>
      <c r="S320" s="24"/>
      <c r="T320" s="24"/>
      <c r="U320" s="271" t="s">
        <v>50</v>
      </c>
      <c r="V320" s="2"/>
    </row>
    <row r="321" spans="1:22" ht="15" hidden="1" customHeight="1">
      <c r="B321" s="223" t="s">
        <v>1447</v>
      </c>
      <c r="C321" s="58"/>
      <c r="D321" s="58"/>
      <c r="E321" s="58"/>
      <c r="F321" s="58"/>
      <c r="G321" s="137"/>
      <c r="H321" s="129">
        <f ca="1">IFERROR(INDEX(INDIRECT(VLOOKUP($U321,Source_Master,2,0),),MATCH(TEXT($P321,0),INDIRECT(VLOOKUP($U321,Source_Master,4,0)),0),MATCH(H$1,INDIRECT(VLOOKUP($U321,Source_Master,3,0),),0)),0)</f>
        <v>0</v>
      </c>
      <c r="I321" s="351"/>
      <c r="J321" s="348">
        <f ca="1">IFERROR(INDEX(INDIRECT(VLOOKUP($U321,Source_Master,2,0),),MATCH(TEXT($P321,0),INDIRECT(VLOOKUP($U321,Source_Master,4,0)),0),MATCH(J$1,INDIRECT(VLOOKUP($U321,Source_Master,3,0),),0)),0)</f>
        <v>0</v>
      </c>
      <c r="K321" s="39"/>
      <c r="L321" s="39"/>
      <c r="M321" s="39"/>
      <c r="N321" s="126"/>
      <c r="O321" s="1152" t="str">
        <f t="shared" ca="1" si="55"/>
        <v>##H</v>
      </c>
      <c r="P321" s="271" t="s">
        <v>1448</v>
      </c>
      <c r="S321" s="24"/>
      <c r="T321" s="24"/>
      <c r="U321" s="271" t="s">
        <v>50</v>
      </c>
      <c r="V321" s="2"/>
    </row>
    <row r="322" spans="1:22" ht="15" customHeight="1">
      <c r="B322" s="68" t="s">
        <v>1449</v>
      </c>
      <c r="C322" s="1253"/>
      <c r="D322" s="1253"/>
      <c r="E322" s="1253"/>
      <c r="F322" s="1253"/>
      <c r="G322" s="137"/>
      <c r="H322" s="129">
        <f ca="1">IFERROR(INDEX(INDIRECT(VLOOKUP($U322,Source_Master,2,0),),MATCH(TEXT($P322,0),INDIRECT(VLOOKUP($U322,Source_Master,4,0)),0),MATCH(H$1,INDIRECT(VLOOKUP($U322,Source_Master,3,0),),0)),0)</f>
        <v>0</v>
      </c>
      <c r="I322" s="351"/>
      <c r="J322" s="348">
        <f ca="1">IFERROR(INDEX(INDIRECT(VLOOKUP($U322,Source_Master,2,0),),MATCH(TEXT($P322,0),INDIRECT(VLOOKUP($U322,Source_Master,4,0)),0),MATCH(J$1,INDIRECT(VLOOKUP($U322,Source_Master,3,0),),0)),0)</f>
        <v>0</v>
      </c>
      <c r="K322" s="39"/>
      <c r="L322" s="39"/>
      <c r="M322" s="39"/>
      <c r="N322" s="20"/>
      <c r="O322" s="1152" t="str">
        <f t="shared" ca="1" si="55"/>
        <v>##H</v>
      </c>
      <c r="P322" s="271" t="s">
        <v>1450</v>
      </c>
      <c r="S322" s="24"/>
      <c r="T322" s="24"/>
      <c r="U322" s="271" t="s">
        <v>50</v>
      </c>
      <c r="V322" s="2"/>
    </row>
    <row r="323" spans="1:22" ht="15" hidden="1" customHeight="1">
      <c r="B323" s="68" t="s">
        <v>1451</v>
      </c>
      <c r="C323" s="58"/>
      <c r="D323" s="58"/>
      <c r="E323" s="58"/>
      <c r="F323" s="58"/>
      <c r="G323" s="819"/>
      <c r="H323" s="230">
        <f ca="1">IFERROR(INDEX(INDIRECT(VLOOKUP($U323,Source_Master,2,0),),MATCH(TEXT($P323,0),INDIRECT(VLOOKUP($U323,Source_Master,4,0)),0),MATCH(H$1,INDIRECT(VLOOKUP($U323,Source_Master,3,0),),0)),0)</f>
        <v>0</v>
      </c>
      <c r="I323" s="835"/>
      <c r="J323" s="349">
        <f ca="1">IFERROR(INDEX(INDIRECT(VLOOKUP($U323,Source_Master,2,0),),MATCH(TEXT($P323,0),INDIRECT(VLOOKUP($U323,Source_Master,4,0)),0),MATCH(J$1,INDIRECT(VLOOKUP($U323,Source_Master,3,0),),0)),0)</f>
        <v>0</v>
      </c>
      <c r="K323" s="39"/>
      <c r="L323" s="39"/>
      <c r="M323" s="39"/>
      <c r="N323" s="20"/>
      <c r="O323" s="1152" t="str">
        <f t="shared" ca="1" si="55"/>
        <v>##H</v>
      </c>
      <c r="P323" s="271" t="s">
        <v>1452</v>
      </c>
      <c r="S323" s="24"/>
      <c r="T323" s="24"/>
      <c r="U323" s="271" t="s">
        <v>50</v>
      </c>
      <c r="V323" s="2"/>
    </row>
    <row r="324" spans="1:22" ht="15" customHeight="1">
      <c r="B324" s="232" t="s">
        <v>246</v>
      </c>
      <c r="C324" s="232"/>
      <c r="D324" s="232"/>
      <c r="E324" s="232"/>
      <c r="F324" s="232"/>
      <c r="G324" s="714"/>
      <c r="H324" s="69">
        <f ca="1">SUM(H317:H323)</f>
        <v>0</v>
      </c>
      <c r="I324" s="363"/>
      <c r="J324" s="175">
        <f ca="1">SUM(J317:J323)</f>
        <v>0</v>
      </c>
      <c r="K324" s="21"/>
      <c r="L324" s="21"/>
      <c r="M324" s="21"/>
      <c r="N324" s="20"/>
      <c r="O324" s="1152" t="str">
        <f t="shared" ca="1" si="55"/>
        <v>##H</v>
      </c>
      <c r="P324" s="271" t="s">
        <v>522</v>
      </c>
      <c r="S324" s="24"/>
      <c r="T324" s="24"/>
      <c r="U324" s="271" t="s">
        <v>50</v>
      </c>
      <c r="V324" s="2"/>
    </row>
    <row r="325" spans="1:22">
      <c r="B325" s="1264"/>
      <c r="H325" s="20"/>
      <c r="I325" s="20"/>
      <c r="J325" s="20"/>
      <c r="K325" s="20"/>
      <c r="L325" s="20"/>
      <c r="N325" s="20"/>
      <c r="P325" s="271"/>
      <c r="Q325" s="271"/>
      <c r="R325" s="271"/>
    </row>
    <row r="326" spans="1:22">
      <c r="A326" s="46"/>
      <c r="B326" s="1264"/>
      <c r="C326" s="1305"/>
      <c r="D326" s="1305"/>
      <c r="E326" s="1305"/>
      <c r="F326" s="1305"/>
      <c r="H326" s="20"/>
      <c r="I326" s="20"/>
      <c r="J326" s="2"/>
      <c r="K326" s="20"/>
      <c r="L326" s="20"/>
      <c r="M326" s="39"/>
      <c r="N326" s="20"/>
      <c r="P326" s="271"/>
      <c r="Q326" s="271"/>
      <c r="R326" s="271"/>
    </row>
  </sheetData>
  <sheetProtection algorithmName="SHA-512" hashValue="kJAQOwca5i6YnT8QbxdvR4JKtK7uo3YFimCEXpktwxq1Zrd4o2IOdQ11VS8uLN6Y4/LtlSji1O0l1oZ8K26IKw==" saltValue="FCf4ArmkmoGkfYfew83DqQ==" spinCount="100000" sheet="1" objects="1" scenarios="1"/>
  <mergeCells count="78">
    <mergeCell ref="C277:F277"/>
    <mergeCell ref="C221:F221"/>
    <mergeCell ref="C224:F224"/>
    <mergeCell ref="C231:J231"/>
    <mergeCell ref="C232:J232"/>
    <mergeCell ref="C233:J233"/>
    <mergeCell ref="C234:F234"/>
    <mergeCell ref="C247:F247"/>
    <mergeCell ref="C256:J256"/>
    <mergeCell ref="C257:J257"/>
    <mergeCell ref="B260:F260"/>
    <mergeCell ref="B268:F268"/>
    <mergeCell ref="C326:F326"/>
    <mergeCell ref="C281:F281"/>
    <mergeCell ref="B284:F284"/>
    <mergeCell ref="B292:F292"/>
    <mergeCell ref="B306:F306"/>
    <mergeCell ref="B315:F315"/>
    <mergeCell ref="C216:J216"/>
    <mergeCell ref="C214:J214"/>
    <mergeCell ref="E188:I188"/>
    <mergeCell ref="E189:I189"/>
    <mergeCell ref="J189:J190"/>
    <mergeCell ref="C191:D191"/>
    <mergeCell ref="C192:D192"/>
    <mergeCell ref="C202:J202"/>
    <mergeCell ref="C204:F204"/>
    <mergeCell ref="C208:J208"/>
    <mergeCell ref="C210:J210"/>
    <mergeCell ref="C212:J212"/>
    <mergeCell ref="C194:D194"/>
    <mergeCell ref="C195:D195"/>
    <mergeCell ref="C196:D196"/>
    <mergeCell ref="C197:D197"/>
    <mergeCell ref="C201:J201"/>
    <mergeCell ref="C178:D178"/>
    <mergeCell ref="C193:D193"/>
    <mergeCell ref="C180:D180"/>
    <mergeCell ref="C181:D181"/>
    <mergeCell ref="C182:D182"/>
    <mergeCell ref="C183:D183"/>
    <mergeCell ref="C184:D184"/>
    <mergeCell ref="C188:D190"/>
    <mergeCell ref="C179:D179"/>
    <mergeCell ref="B156:F156"/>
    <mergeCell ref="C150:F150"/>
    <mergeCell ref="C175:D177"/>
    <mergeCell ref="E175:I175"/>
    <mergeCell ref="E176:I176"/>
    <mergeCell ref="I167:J167"/>
    <mergeCell ref="B168:F168"/>
    <mergeCell ref="J176:J177"/>
    <mergeCell ref="B138:F138"/>
    <mergeCell ref="C152:F152"/>
    <mergeCell ref="C153:F153"/>
    <mergeCell ref="C111:D111"/>
    <mergeCell ref="C125:J125"/>
    <mergeCell ref="C126:J126"/>
    <mergeCell ref="B130:F130"/>
    <mergeCell ref="C95:D95"/>
    <mergeCell ref="C109:E110"/>
    <mergeCell ref="F109:F110"/>
    <mergeCell ref="G109:I109"/>
    <mergeCell ref="J109:J110"/>
    <mergeCell ref="B7:F7"/>
    <mergeCell ref="B84:F84"/>
    <mergeCell ref="C93:E94"/>
    <mergeCell ref="F93:F94"/>
    <mergeCell ref="G93:I93"/>
    <mergeCell ref="B12:F12"/>
    <mergeCell ref="B34:F34"/>
    <mergeCell ref="C66:F66"/>
    <mergeCell ref="J93:J94"/>
    <mergeCell ref="B20:F20"/>
    <mergeCell ref="C80:J80"/>
    <mergeCell ref="C81:J81"/>
    <mergeCell ref="C45:F45"/>
    <mergeCell ref="B25:F25"/>
  </mergeCells>
  <dataValidations disablePrompts="1" count="2">
    <dataValidation type="list" allowBlank="1" showInputMessage="1" showErrorMessage="1" sqref="T158 V158:X158" xr:uid="{AFE56808-EB2D-4702-937A-9659ED298154}">
      <formula1>"GroupID,FSInput,GL"</formula1>
    </dataValidation>
    <dataValidation type="list" allowBlank="1" showInputMessage="1" showErrorMessage="1" sqref="V98" xr:uid="{80D747EC-10FF-49B0-971B-51F8830ED7D1}">
      <formula1>$C$11:$C$16</formula1>
    </dataValidation>
  </dataValidations>
  <pageMargins left="0.51181102362204722" right="0.51181102362204722" top="0.51181102362204722" bottom="0.51181102362204722" header="0" footer="0"/>
  <pageSetup paperSize="9" scale="34" fitToHeight="0" orientation="portrait" r:id="rId1"/>
  <headerFooter alignWithMargins="0"/>
  <rowBreaks count="4" manualBreakCount="4">
    <brk id="41" max="10" man="1"/>
    <brk id="81" max="10" man="1"/>
    <brk id="127" max="10" man="1"/>
    <brk id="199" max="10" man="1"/>
  </rowBreaks>
  <ignoredErrors>
    <ignoredError sqref="I15" formula="1"/>
  </ignoredError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75582A6-7187-41D4-A24C-64B847FA6EF3}">
          <x14:formula1>
            <xm:f>'Master Sheet'!$C$37:$C$41</xm:f>
          </x14:formula1>
          <xm:sqref>U235:U244 U205:U206 U191:U197 U178:U184 U112:U121 U96:U106 U86:U87 U70:U77 U62:U63 U307:U312 U293:U303 U288 U286 U269:U273 U261:U264 U169:U171 U140:U146 U47:U48 U58:U59 U54 U51 U317:U324 U132:U135 U8:U9 U35:U40 U29:U31 U27 U16:U17 U14 U152 U158 U278:U280 U248:U253</xm:sqref>
        </x14:dataValidation>
        <x14:dataValidation type="list" allowBlank="1" showInputMessage="1" showErrorMessage="1" xr:uid="{43D5D6AB-0DA4-438D-A628-F4CD01A1C7EB}">
          <x14:formula1>
            <xm:f>SourceMaster!$C$6:$C$9</xm:f>
          </x14:formula1>
          <xm:sqref>S16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655AB-4582-4913-BC02-221A6DF534F1}">
  <sheetPr codeName="Sheet28">
    <tabColor theme="5" tint="0.59999389629810485"/>
    <pageSetUpPr fitToPage="1"/>
  </sheetPr>
  <dimension ref="A1:P62"/>
  <sheetViews>
    <sheetView showGridLines="0" view="pageBreakPreview" zoomScaleNormal="100" zoomScaleSheetLayoutView="100" workbookViewId="0">
      <pane ySplit="1" topLeftCell="A2" activePane="bottomLeft" state="frozen"/>
      <selection pane="bottomLeft" activeCell="K19" sqref="K19"/>
    </sheetView>
  </sheetViews>
  <sheetFormatPr defaultColWidth="9.42578125" defaultRowHeight="13.15" outlineLevelRow="1" outlineLevelCol="1"/>
  <cols>
    <col min="1" max="1" customWidth="true" style="210" width="4.5703125"/>
    <col min="2" max="2" customWidth="true" style="210" width="5.5703125"/>
    <col min="3" max="3" customWidth="true" style="39" width="44.7109375"/>
    <col min="4" max="4" customWidth="true" style="39" width="14.0"/>
    <col min="5" max="8" customWidth="true" style="117" width="17.28515625"/>
    <col min="9" max="9" customWidth="true" style="117" width="2.0"/>
    <col min="10" max="10" bestFit="true" customWidth="true" style="117" width="15.7109375"/>
    <col min="11" max="13" customWidth="true" style="20" width="10.28515625"/>
    <col min="14" max="14" customWidth="true" hidden="true" style="114" width="13.28515625" outlineLevel="1"/>
    <col min="15" max="15" customWidth="true" hidden="true" style="114" width="12.28515625" outlineLevel="1"/>
    <col min="16" max="16" customWidth="true" hidden="true" style="114" width="9.42578125" outlineLevel="1"/>
    <col min="17" max="17" customWidth="true" style="20" width="9.42578125" collapsed="true"/>
    <col min="18" max="16384" style="20" width="9.42578125"/>
  </cols>
  <sheetData>
    <row r="1" spans="1:16" ht="26.45" hidden="1" outlineLevel="1">
      <c r="F1" s="1164" t="str">
        <f>BS!C1</f>
        <v>7756|001|INR|Actual|Standalone</v>
      </c>
      <c r="G1" s="1164" t="str">
        <f>BS!D1</f>
        <v>7756|002|INR|Actual|Standalone</v>
      </c>
      <c r="H1" s="1054" t="str">
        <f>BS!E1</f>
        <v>7756|003|INR|Actual|Standalone</v>
      </c>
      <c r="I1" s="253"/>
      <c r="J1" s="253"/>
      <c r="L1" s="2" t="s">
        <v>492</v>
      </c>
      <c r="M1" s="2"/>
      <c r="N1" s="28" t="s">
        <v>553</v>
      </c>
      <c r="O1" s="28"/>
      <c r="P1" s="28"/>
    </row>
    <row r="2" spans="1:16" hidden="1" outlineLevel="1">
      <c r="F2" s="115"/>
      <c r="G2" s="115"/>
      <c r="H2" s="115"/>
      <c r="I2" s="115"/>
      <c r="J2" s="115"/>
    </row>
    <row r="3" spans="1:16" ht="17.45" collapsed="1">
      <c r="A3" s="1165" t="e">
        <f ca="1">Company</f>
        <v>#NAME?</v>
      </c>
      <c r="B3" s="876"/>
      <c r="K3" s="115"/>
    </row>
    <row r="4" spans="1:16" ht="15.6">
      <c r="A4" s="1166" t="e">
        <f ca="1">Note_Head</f>
        <v>#NAME?</v>
      </c>
      <c r="B4" s="877"/>
    </row>
    <row r="5" spans="1:16" ht="15.6">
      <c r="A5" s="877"/>
      <c r="B5" s="877"/>
    </row>
    <row r="6" spans="1:16">
      <c r="A6" s="1094">
        <f>NTA!F62</f>
        <v>25</v>
      </c>
      <c r="B6" s="1149" t="str">
        <f>NTA!C62</f>
        <v>Equity Share Capital</v>
      </c>
    </row>
    <row r="7" spans="1:16" ht="15" customHeight="1">
      <c r="B7" s="1314" t="s">
        <v>500</v>
      </c>
      <c r="C7" s="1314"/>
      <c r="D7" s="1314"/>
      <c r="E7" s="1363" t="e">
        <f ca="1">BS_CY</f>
        <v>#NAME?</v>
      </c>
      <c r="F7" s="1363"/>
      <c r="G7" s="1364" t="e">
        <f ca="1">BS_PY</f>
        <v>#NAME?</v>
      </c>
      <c r="H7" s="1364"/>
      <c r="I7" s="46"/>
      <c r="J7" s="46"/>
    </row>
    <row r="8" spans="1:16" ht="13.9">
      <c r="A8" s="576"/>
      <c r="B8" s="1315"/>
      <c r="C8" s="1315"/>
      <c r="D8" s="1315"/>
      <c r="E8" s="670" t="s">
        <v>1453</v>
      </c>
      <c r="F8" s="1167" t="str">
        <f>'Master Sheet'!$C$65</f>
        <v>(Amount in INR)</v>
      </c>
      <c r="G8" s="600" t="s">
        <v>1453</v>
      </c>
      <c r="H8" s="1168" t="str">
        <f>'Master Sheet'!$C$65</f>
        <v>(Amount in INR)</v>
      </c>
      <c r="I8" s="100"/>
      <c r="J8" s="100"/>
      <c r="K8" s="100"/>
      <c r="L8" s="100"/>
      <c r="M8" s="100"/>
    </row>
    <row r="9" spans="1:16" ht="15" customHeight="1">
      <c r="A9" s="32"/>
      <c r="B9" s="33" t="s">
        <v>133</v>
      </c>
      <c r="C9" s="33"/>
      <c r="D9" s="33"/>
      <c r="E9" s="137"/>
      <c r="F9" s="237"/>
      <c r="G9" s="119"/>
      <c r="H9" s="354"/>
      <c r="I9" s="353"/>
      <c r="J9" s="353"/>
      <c r="K9" s="100"/>
      <c r="L9" s="100"/>
      <c r="M9" s="100"/>
    </row>
    <row r="10" spans="1:16" ht="15" hidden="1" customHeight="1">
      <c r="B10" s="1169" t="str">
        <f>'Share Capital- Master Sheet'!B19</f>
        <v>79,26,103 ordinary shares of INR 10 each</v>
      </c>
      <c r="C10" s="1251"/>
      <c r="D10" s="1251"/>
      <c r="E10" s="129">
        <f t="shared" ref="E10:E11" ca="1" si="0">IFERROR(INDEX(INDIRECT(VLOOKUP($P10,Source_Master,2,0),),MATCH(TEXT($N10,0),INDIRECT(VLOOKUP($P10,Source_Master,4,0)),0),MATCH($F$1,INDIRECT(VLOOKUP($P10,Source_Master,3,0),),0)),0)</f>
        <v>0</v>
      </c>
      <c r="F10" s="355">
        <f t="shared" ref="F10:F11" ca="1" si="1">IFERROR(INDEX(INDIRECT(VLOOKUP($P10,Source_Master,2,0),),MATCH(TEXT($O10,0),INDIRECT(VLOOKUP($P10,Source_Master,4,0)),0),MATCH($F$1,INDIRECT(VLOOKUP($P10,Source_Master,3,0),),0)),0)</f>
        <v>0</v>
      </c>
      <c r="G10" s="348">
        <f t="shared" ref="G10:G11" ca="1" si="2">IFERROR(INDEX(INDIRECT(VLOOKUP($P10,Source_Master,2,0),),MATCH(TEXT($N10,0),INDIRECT(VLOOKUP($P10,Source_Master,4,0)),0),MATCH($G$1,INDIRECT(VLOOKUP($P10,Source_Master,3,0),),0)),0)</f>
        <v>0</v>
      </c>
      <c r="H10" s="883">
        <f t="shared" ref="H10:H11" ca="1" si="3">IFERROR(INDEX(INDIRECT(VLOOKUP($P10,Source_Master,2,0),),MATCH(TEXT($O10,0),INDIRECT(VLOOKUP($P10,Source_Master,4,0)),0),MATCH($G$1,INDIRECT(VLOOKUP($P10,Source_Master,3,0),),0)),0)</f>
        <v>0</v>
      </c>
      <c r="I10" s="1574"/>
      <c r="J10" s="1574"/>
      <c r="L10" s="1054" t="str">
        <f t="shared" ref="L10:L15" ca="1" si="4">IF(AND(F10=0,H10=0),"##H","")</f>
        <v>##H</v>
      </c>
      <c r="N10" s="114" t="s">
        <v>1454</v>
      </c>
      <c r="O10" s="114" t="s">
        <v>1455</v>
      </c>
      <c r="P10" s="124" t="s">
        <v>51</v>
      </c>
    </row>
    <row r="11" spans="1:16" ht="15" hidden="1" customHeight="1">
      <c r="B11" s="68" t="s">
        <v>1456</v>
      </c>
      <c r="C11" s="1251"/>
      <c r="D11" s="1251"/>
      <c r="E11" s="129">
        <f t="shared" ca="1" si="0"/>
        <v>0</v>
      </c>
      <c r="F11" s="355">
        <f t="shared" ca="1" si="1"/>
        <v>0</v>
      </c>
      <c r="G11" s="348">
        <f t="shared" ca="1" si="2"/>
        <v>0</v>
      </c>
      <c r="H11" s="883">
        <f t="shared" ca="1" si="3"/>
        <v>0</v>
      </c>
      <c r="I11" s="1574"/>
      <c r="J11" s="1574"/>
      <c r="L11" s="1054" t="str">
        <f t="shared" ca="1" si="4"/>
        <v>##H</v>
      </c>
      <c r="N11" s="114" t="s">
        <v>1457</v>
      </c>
      <c r="O11" s="114" t="s">
        <v>1458</v>
      </c>
      <c r="P11" s="124" t="s">
        <v>51</v>
      </c>
    </row>
    <row r="12" spans="1:16" ht="15" hidden="1" customHeight="1">
      <c r="B12" s="58"/>
      <c r="C12" s="1253"/>
      <c r="D12" s="1253"/>
      <c r="E12" s="450">
        <f ca="1">SUM(E10:E11)</f>
        <v>0</v>
      </c>
      <c r="F12" s="450">
        <f ca="1">SUM(F10:F11)</f>
        <v>0</v>
      </c>
      <c r="G12" s="884">
        <f ca="1">SUM(G10:G11)</f>
        <v>0</v>
      </c>
      <c r="H12" s="885">
        <f ca="1">SUM(H10:H11)</f>
        <v>0</v>
      </c>
      <c r="I12" s="1574"/>
      <c r="J12" s="1574"/>
      <c r="L12" s="1054" t="str">
        <f t="shared" ca="1" si="4"/>
        <v>##H</v>
      </c>
    </row>
    <row r="13" spans="1:16" ht="16.5" customHeight="1">
      <c r="A13" s="32"/>
      <c r="B13" s="33" t="s">
        <v>134</v>
      </c>
      <c r="C13" s="356"/>
      <c r="D13" s="356"/>
      <c r="E13" s="86"/>
      <c r="F13" s="86"/>
      <c r="G13" s="79"/>
      <c r="H13" s="79"/>
      <c r="I13" s="1540"/>
      <c r="J13" s="1540"/>
    </row>
    <row r="14" spans="1:16" ht="15" customHeight="1">
      <c r="B14" s="1170" t="str">
        <f>'Share Capital- Master Sheet'!B22</f>
        <v>79,26,103- fully paid ordinary shares of INR 10 each</v>
      </c>
      <c r="C14" s="1253"/>
      <c r="D14" s="1253"/>
      <c r="E14" s="129">
        <f ca="1">IFERROR(INDEX(INDIRECT(VLOOKUP($P14,Source_Master,2,0),),MATCH(TEXT($N14,0),INDIRECT(VLOOKUP($P14,Source_Master,4,0)),0),MATCH($F$1,INDIRECT(VLOOKUP($P14,Source_Master,3,0),),0)),0)</f>
        <v>0</v>
      </c>
      <c r="F14" s="61">
        <f ca="1">IFERROR(INDEX(INDIRECT(VLOOKUP($P14,Source_Master,2,0),),MATCH(TEXT($O14,0),INDIRECT(VLOOKUP($P14,Source_Master,4,0)),0),MATCH($F$1,INDIRECT(VLOOKUP($P14,Source_Master,3,0),),0)),0)</f>
        <v>0</v>
      </c>
      <c r="G14" s="62">
        <f ca="1">IFERROR(INDEX(INDIRECT(VLOOKUP($P14,Source_Master,2,0),),MATCH(TEXT($N14,0),INDIRECT(VLOOKUP($P14,Source_Master,4,0)),0),MATCH($G$1,INDIRECT(VLOOKUP($P14,Source_Master,3,0),),0)),0)</f>
        <v>0</v>
      </c>
      <c r="H14" s="62">
        <f ca="1">IFERROR(INDEX(INDIRECT(VLOOKUP($P14,Source_Master,2,0),),MATCH(TEXT($O14,0),INDIRECT(VLOOKUP($P14,Source_Master,4,0)),0),MATCH($G$1,INDIRECT(VLOOKUP($P14,Source_Master,3,0),),0)),0)</f>
        <v>0</v>
      </c>
      <c r="I14" s="1574"/>
      <c r="J14" s="1574"/>
      <c r="K14" s="1574"/>
      <c r="L14" s="1054" t="str">
        <f t="shared" ca="1" si="4"/>
        <v>##H</v>
      </c>
      <c r="N14" s="114" t="s">
        <v>1459</v>
      </c>
      <c r="O14" s="114" t="s">
        <v>1460</v>
      </c>
      <c r="P14" s="124" t="s">
        <v>51</v>
      </c>
    </row>
    <row r="15" spans="1:16" ht="15" hidden="1" customHeight="1">
      <c r="B15" s="58" t="s">
        <v>1456</v>
      </c>
      <c r="C15" s="1253"/>
      <c r="D15" s="1253"/>
      <c r="E15" s="176">
        <f ca="1">IFERROR(INDEX(INDIRECT(VLOOKUP($P15,Source_Master,2,0),),MATCH(TEXT($N15,0),INDIRECT(VLOOKUP($P15,Source_Master,4,0)),0),MATCH($F$1,INDIRECT(VLOOKUP($P15,Source_Master,3,0),),0)),0)</f>
        <v>0</v>
      </c>
      <c r="F15" s="358">
        <f ca="1">IFERROR(INDEX(INDIRECT(VLOOKUP($P15,Source_Master,2,0),),MATCH(TEXT($O15,0),INDIRECT(VLOOKUP($P15,Source_Master,4,0)),0),MATCH($F$1,INDIRECT(VLOOKUP($P15,Source_Master,3,0),),0)),0)</f>
        <v>0</v>
      </c>
      <c r="G15" s="185">
        <f ca="1">IFERROR(INDEX(INDIRECT(VLOOKUP($P15,Source_Master,2,0),),MATCH(TEXT($N15,0),INDIRECT(VLOOKUP($P15,Source_Master,4,0)),0),MATCH($G$1,INDIRECT(VLOOKUP($P15,Source_Master,3,0),),0)),0)</f>
        <v>0</v>
      </c>
      <c r="H15" s="185">
        <f ca="1">IFERROR(INDEX(INDIRECT(VLOOKUP($P15,Source_Master,2,0),),MATCH(TEXT($O15,0),INDIRECT(VLOOKUP($P15,Source_Master,4,0)),0),MATCH($G$1,INDIRECT(VLOOKUP($P15,Source_Master,3,0),),0)),0)</f>
        <v>0</v>
      </c>
      <c r="I15" s="1574"/>
      <c r="J15" s="1574"/>
      <c r="K15" s="1574"/>
      <c r="L15" s="1054" t="str">
        <f t="shared" ca="1" si="4"/>
        <v>##H</v>
      </c>
      <c r="N15" s="114" t="s">
        <v>1461</v>
      </c>
      <c r="O15" s="114" t="s">
        <v>1462</v>
      </c>
      <c r="P15" s="124" t="s">
        <v>51</v>
      </c>
    </row>
    <row r="16" spans="1:16" ht="15" customHeight="1">
      <c r="B16" s="58"/>
      <c r="C16" s="1253"/>
      <c r="D16" s="1253"/>
      <c r="E16" s="450">
        <f ca="1">SUM(E14:E15)</f>
        <v>0</v>
      </c>
      <c r="F16" s="382">
        <f ca="1">SUM(F14:F15)</f>
        <v>0</v>
      </c>
      <c r="G16" s="316">
        <f ca="1">SUM(G14:G15)</f>
        <v>0</v>
      </c>
      <c r="H16" s="316">
        <f ca="1">SUM(H14:H15)</f>
        <v>0</v>
      </c>
      <c r="I16" s="1574"/>
      <c r="J16" s="1574"/>
      <c r="K16" s="1574"/>
      <c r="O16" s="124"/>
      <c r="P16" s="124"/>
    </row>
    <row r="17" spans="1:16" ht="15" customHeight="1">
      <c r="B17" s="58"/>
      <c r="C17" s="1253"/>
      <c r="D17" s="1253"/>
      <c r="E17" s="324"/>
      <c r="F17" s="283"/>
      <c r="G17" s="75"/>
      <c r="H17" s="75"/>
      <c r="I17" s="1574"/>
      <c r="J17" s="1574"/>
      <c r="K17" s="1574"/>
      <c r="O17" s="124"/>
      <c r="P17" s="124"/>
    </row>
    <row r="18" spans="1:16" ht="15" customHeight="1">
      <c r="B18" s="33" t="s">
        <v>135</v>
      </c>
      <c r="C18" s="1253"/>
      <c r="D18" s="1253"/>
      <c r="E18" s="86"/>
      <c r="F18" s="78"/>
      <c r="G18" s="79"/>
      <c r="H18" s="79"/>
      <c r="I18" s="1574"/>
      <c r="J18" s="1574"/>
      <c r="K18" s="1574"/>
      <c r="O18" s="124"/>
      <c r="P18" s="124"/>
    </row>
    <row r="19" spans="1:16" ht="15" customHeight="1">
      <c r="B19" s="1170" t="str">
        <f>B14</f>
        <v>79,26,103- fully paid ordinary shares of INR 10 each</v>
      </c>
      <c r="C19" s="1253"/>
      <c r="D19" s="1253"/>
      <c r="E19" s="129">
        <f ca="1">IFERROR(INDEX(INDIRECT(VLOOKUP($P21,Source_Master,2,0),),MATCH(TEXT($N19,0),INDIRECT(VLOOKUP($P21,Source_Master,4,0)),0),MATCH($F$1,INDIRECT(VLOOKUP($P21,Source_Master,3,0),),0)),0)</f>
        <v>0</v>
      </c>
      <c r="F19" s="61">
        <f ca="1">IFERROR(INDEX(INDIRECT(VLOOKUP($P19,Source_Master,2,0),),MATCH(TEXT($O19,0),INDIRECT(VLOOKUP($P19,Source_Master,4,0)),0),MATCH($F$1,INDIRECT(VLOOKUP($P19,Source_Master,3,0),),0)),0)</f>
        <v>0</v>
      </c>
      <c r="G19" s="62">
        <f ca="1">IFERROR(INDEX(INDIRECT(VLOOKUP($P21,Source_Master,2,0),),MATCH(TEXT($N19,0),INDIRECT(VLOOKUP($P21,Source_Master,4,0)),0),MATCH($G$1,INDIRECT(VLOOKUP($P21,Source_Master,3,0),),0)),0)</f>
        <v>0</v>
      </c>
      <c r="H19" s="62">
        <f ca="1">IFERROR(INDEX(INDIRECT(VLOOKUP($P19,Source_Master,2,0),),MATCH(TEXT($O19,0),INDIRECT(VLOOKUP($P19,Source_Master,4,0)),0),MATCH($G$1,INDIRECT(VLOOKUP($P19,Source_Master,3,0),),0)),0)</f>
        <v>0</v>
      </c>
      <c r="I19" s="1574"/>
      <c r="J19" s="1574"/>
      <c r="K19" s="1574"/>
      <c r="L19" s="1054" t="str">
        <f t="shared" ref="L19:L21" ca="1" si="5">IF(AND(F19=0,H19=0),"##H","")</f>
        <v>##H</v>
      </c>
      <c r="N19" s="559" t="s">
        <v>1463</v>
      </c>
      <c r="O19" s="559" t="s">
        <v>1464</v>
      </c>
      <c r="P19" s="559" t="s">
        <v>50</v>
      </c>
    </row>
    <row r="20" spans="1:16" ht="15" hidden="1" customHeight="1">
      <c r="B20" s="58" t="s">
        <v>1456</v>
      </c>
      <c r="C20" s="1253"/>
      <c r="D20" s="1253"/>
      <c r="E20" s="129">
        <f ca="1">IFERROR(INDEX(INDIRECT(VLOOKUP($P20,Source_Master,2,0),),MATCH(TEXT($N20,0),INDIRECT(VLOOKUP($P20,Source_Master,4,0)),0),MATCH($F$1,INDIRECT(VLOOKUP($P20,Source_Master,3,0),),0)),0)</f>
        <v>0</v>
      </c>
      <c r="F20" s="61">
        <f ca="1">IFERROR(INDEX(INDIRECT(VLOOKUP($P20,Source_Master,2,0),),MATCH(TEXT($O20,0),INDIRECT(VLOOKUP($P20,Source_Master,4,0)),0),MATCH($F$1,INDIRECT(VLOOKUP($P20,Source_Master,3,0),),0)),0)</f>
        <v>0</v>
      </c>
      <c r="G20" s="62">
        <f ca="1">IFERROR(INDEX(INDIRECT(VLOOKUP($P20,Source_Master,2,0),),MATCH(TEXT($N20,0),INDIRECT(VLOOKUP($P20,Source_Master,4,0)),0),MATCH($G$1,INDIRECT(VLOOKUP($P20,Source_Master,3,0),),0)),0)</f>
        <v>0</v>
      </c>
      <c r="H20" s="62">
        <f ca="1">IFERROR(INDEX(INDIRECT(VLOOKUP($P20,Source_Master,2,0),),MATCH(TEXT($O20,0),INDIRECT(VLOOKUP($P20,Source_Master,4,0)),0),MATCH($G$1,INDIRECT(VLOOKUP($P20,Source_Master,3,0),),0)),0)</f>
        <v>0</v>
      </c>
      <c r="I20" s="1574"/>
      <c r="J20" s="1574"/>
      <c r="K20" s="1574"/>
      <c r="L20" s="1054" t="str">
        <f t="shared" ca="1" si="5"/>
        <v>##H</v>
      </c>
      <c r="N20" s="114" t="s">
        <v>1465</v>
      </c>
      <c r="O20" s="114" t="s">
        <v>1465</v>
      </c>
      <c r="P20" s="124" t="s">
        <v>51</v>
      </c>
    </row>
    <row r="21" spans="1:16" ht="15" customHeight="1">
      <c r="B21" s="1250" t="s">
        <v>1466</v>
      </c>
      <c r="C21" s="1250"/>
      <c r="D21" s="1250"/>
      <c r="E21" s="69">
        <f ca="1">SUM(E19:E20)</f>
        <v>0</v>
      </c>
      <c r="F21" s="69">
        <f ca="1">SUM(F19:F20)</f>
        <v>0</v>
      </c>
      <c r="G21" s="70">
        <f ca="1">SUM(G19:G20)</f>
        <v>0</v>
      </c>
      <c r="H21" s="70">
        <f ca="1">SUM(H19:H20)</f>
        <v>0</v>
      </c>
      <c r="I21" s="1573"/>
      <c r="J21" s="1573"/>
      <c r="K21" s="1563"/>
      <c r="L21" s="1054" t="str">
        <f t="shared" ca="1" si="5"/>
        <v>##H</v>
      </c>
      <c r="P21" s="559" t="s">
        <v>51</v>
      </c>
    </row>
    <row r="22" spans="1:16" ht="15" customHeight="1">
      <c r="C22" s="210"/>
      <c r="D22" s="210"/>
      <c r="E22" s="32"/>
      <c r="F22" s="32"/>
      <c r="G22" s="32"/>
      <c r="H22" s="32"/>
      <c r="I22" s="32"/>
      <c r="J22" s="32"/>
    </row>
    <row r="23" spans="1:16" ht="18" customHeight="1">
      <c r="A23" s="795"/>
      <c r="B23" s="1132">
        <f>NTA!F63</f>
        <v>25.1</v>
      </c>
      <c r="C23" s="1366" t="str">
        <f>NTA!C63</f>
        <v>Reconciliation of the Number of Shares and Amount Outstanding at the Beginning and at the End of the Reporting Period</v>
      </c>
      <c r="D23" s="1366"/>
      <c r="E23" s="1366"/>
      <c r="F23" s="1366"/>
      <c r="G23" s="1366"/>
      <c r="H23" s="1366"/>
      <c r="I23" s="41"/>
      <c r="J23" s="41"/>
    </row>
    <row r="24" spans="1:16" ht="15" customHeight="1">
      <c r="C24" s="1314" t="s">
        <v>500</v>
      </c>
      <c r="D24" s="1314"/>
      <c r="E24" s="1361" t="e">
        <f ca="1">BS_CY</f>
        <v>#NAME?</v>
      </c>
      <c r="F24" s="1361"/>
      <c r="G24" s="1362" t="e">
        <f ca="1">BS_PY</f>
        <v>#NAME?</v>
      </c>
      <c r="H24" s="1362"/>
      <c r="I24" s="46"/>
      <c r="J24" s="46"/>
    </row>
    <row r="25" spans="1:16" ht="27" customHeight="1">
      <c r="C25" s="1365"/>
      <c r="D25" s="1365"/>
      <c r="E25" s="475" t="s">
        <v>1453</v>
      </c>
      <c r="F25" s="1115" t="str">
        <f>'Master Sheet'!$C$65</f>
        <v>(Amount in INR)</v>
      </c>
      <c r="G25" s="600" t="s">
        <v>1453</v>
      </c>
      <c r="H25" s="1256" t="str">
        <f>'Master Sheet'!$C$65</f>
        <v>(Amount in INR)</v>
      </c>
      <c r="I25" s="32"/>
      <c r="J25" s="32"/>
    </row>
    <row r="26" spans="1:16" ht="12.75" customHeight="1">
      <c r="A26" s="117"/>
      <c r="B26" s="117"/>
      <c r="C26" s="599" t="s">
        <v>1467</v>
      </c>
      <c r="D26" s="128"/>
      <c r="E26" s="324"/>
      <c r="F26" s="283"/>
      <c r="G26" s="75"/>
      <c r="H26" s="75"/>
      <c r="I26" s="357"/>
      <c r="J26" s="357"/>
    </row>
    <row r="27" spans="1:16" ht="15" customHeight="1">
      <c r="A27" s="117"/>
      <c r="B27" s="117"/>
      <c r="C27" s="577" t="s">
        <v>1468</v>
      </c>
      <c r="D27" s="128"/>
      <c r="E27" s="355">
        <f t="shared" ref="E27:E32" ca="1" si="6">IFERROR(INDEX(INDIRECT(VLOOKUP($P27,Source_Master,2,0),),MATCH(TEXT($N27,0),INDIRECT(VLOOKUP($P27,Source_Master,4,0)),0),MATCH($F$1,INDIRECT(VLOOKUP($P27,Source_Master,3,0),),0)),0)</f>
        <v>0</v>
      </c>
      <c r="F27" s="130">
        <f t="shared" ref="F27:F32" ca="1" si="7">IFERROR(INDEX(INDIRECT(VLOOKUP($P27,Source_Master,2,0),),MATCH(TEXT($O27,0),INDIRECT(VLOOKUP($P27,Source_Master,4,0)),0),MATCH($F$1,INDIRECT(VLOOKUP($P27,Source_Master,3,0),),0)),0)</f>
        <v>0</v>
      </c>
      <c r="G27" s="158">
        <f t="shared" ref="G27:G32" ca="1" si="8">IFERROR(INDEX(INDIRECT(VLOOKUP($P27,Source_Master,2,0),),MATCH(TEXT($N27,0),INDIRECT(VLOOKUP($P27,Source_Master,4,0)),0),MATCH($G$1,INDIRECT(VLOOKUP($P27,Source_Master,3,0),),0)),0)</f>
        <v>0</v>
      </c>
      <c r="H27" s="158">
        <f t="shared" ref="H27:H32" ca="1" si="9">IFERROR(INDEX(INDIRECT(VLOOKUP($P27,Source_Master,2,0),),MATCH(TEXT($O27,0),INDIRECT(VLOOKUP($P27,Source_Master,4,0)),0),MATCH($G$1,INDIRECT(VLOOKUP($P27,Source_Master,3,0),),0)),0)</f>
        <v>0</v>
      </c>
      <c r="I27" s="357"/>
      <c r="J27" s="357"/>
      <c r="L27" s="1054" t="str">
        <f t="shared" ref="L27:L33" ca="1" si="10">IF(AND(F27=0,H27=0),"##H","")</f>
        <v>##H</v>
      </c>
      <c r="N27" s="114" t="s">
        <v>1469</v>
      </c>
      <c r="O27" s="114" t="s">
        <v>1470</v>
      </c>
      <c r="P27" s="124" t="s">
        <v>51</v>
      </c>
    </row>
    <row r="28" spans="1:16" ht="15" hidden="1" customHeight="1">
      <c r="A28" s="117"/>
      <c r="B28" s="117"/>
      <c r="C28" s="1253" t="s">
        <v>1471</v>
      </c>
      <c r="D28" s="1253"/>
      <c r="E28" s="129">
        <f t="shared" ca="1" si="6"/>
        <v>0</v>
      </c>
      <c r="F28" s="61">
        <f t="shared" ca="1" si="7"/>
        <v>0</v>
      </c>
      <c r="G28" s="158">
        <f t="shared" ca="1" si="8"/>
        <v>0</v>
      </c>
      <c r="H28" s="158">
        <f t="shared" ca="1" si="9"/>
        <v>0</v>
      </c>
      <c r="I28" s="357"/>
      <c r="J28" s="357"/>
      <c r="L28" s="1054" t="str">
        <f t="shared" ca="1" si="10"/>
        <v>##H</v>
      </c>
      <c r="N28" s="114" t="s">
        <v>1472</v>
      </c>
      <c r="O28" s="114" t="s">
        <v>1473</v>
      </c>
      <c r="P28" s="124" t="s">
        <v>51</v>
      </c>
    </row>
    <row r="29" spans="1:16" ht="15" hidden="1" customHeight="1">
      <c r="A29" s="117"/>
      <c r="B29" s="117"/>
      <c r="C29" s="1253" t="s">
        <v>1474</v>
      </c>
      <c r="D29" s="1253"/>
      <c r="E29" s="129">
        <f t="shared" ca="1" si="6"/>
        <v>0</v>
      </c>
      <c r="F29" s="61">
        <f t="shared" ca="1" si="7"/>
        <v>0</v>
      </c>
      <c r="G29" s="158">
        <f t="shared" ca="1" si="8"/>
        <v>0</v>
      </c>
      <c r="H29" s="158">
        <f t="shared" ca="1" si="9"/>
        <v>0</v>
      </c>
      <c r="I29" s="357"/>
      <c r="J29" s="357"/>
      <c r="L29" s="1054" t="str">
        <f t="shared" ca="1" si="10"/>
        <v>##H</v>
      </c>
      <c r="N29" s="114" t="s">
        <v>1475</v>
      </c>
      <c r="O29" s="114" t="s">
        <v>1476</v>
      </c>
      <c r="P29" s="124" t="s">
        <v>51</v>
      </c>
    </row>
    <row r="30" spans="1:16" ht="15" hidden="1" customHeight="1">
      <c r="A30" s="117"/>
      <c r="B30" s="117"/>
      <c r="C30" s="1253" t="s">
        <v>1477</v>
      </c>
      <c r="D30" s="577"/>
      <c r="E30" s="129">
        <f t="shared" ca="1" si="6"/>
        <v>0</v>
      </c>
      <c r="F30" s="61">
        <f t="shared" ca="1" si="7"/>
        <v>0</v>
      </c>
      <c r="G30" s="158">
        <f t="shared" ca="1" si="8"/>
        <v>0</v>
      </c>
      <c r="H30" s="158">
        <f t="shared" ca="1" si="9"/>
        <v>0</v>
      </c>
      <c r="I30" s="357"/>
      <c r="J30" s="357"/>
      <c r="L30" s="1054" t="str">
        <f t="shared" ca="1" si="10"/>
        <v>##H</v>
      </c>
      <c r="N30" s="114" t="s">
        <v>1478</v>
      </c>
      <c r="O30" s="114" t="s">
        <v>1479</v>
      </c>
      <c r="P30" s="124" t="s">
        <v>51</v>
      </c>
    </row>
    <row r="31" spans="1:16" ht="15" hidden="1" customHeight="1">
      <c r="B31" s="117"/>
      <c r="C31" s="1253" t="s">
        <v>1480</v>
      </c>
      <c r="D31" s="577"/>
      <c r="E31" s="129">
        <f t="shared" ca="1" si="6"/>
        <v>0</v>
      </c>
      <c r="F31" s="61">
        <f t="shared" ca="1" si="7"/>
        <v>0</v>
      </c>
      <c r="G31" s="158">
        <f t="shared" ca="1" si="8"/>
        <v>0</v>
      </c>
      <c r="H31" s="158">
        <f t="shared" ca="1" si="9"/>
        <v>0</v>
      </c>
      <c r="I31" s="357"/>
      <c r="J31" s="357"/>
      <c r="L31" s="1054" t="str">
        <f t="shared" ca="1" si="10"/>
        <v>##H</v>
      </c>
      <c r="N31" s="114" t="s">
        <v>1481</v>
      </c>
      <c r="O31" s="114" t="s">
        <v>1482</v>
      </c>
      <c r="P31" s="124" t="s">
        <v>51</v>
      </c>
    </row>
    <row r="32" spans="1:16" ht="15" hidden="1" customHeight="1">
      <c r="A32" s="117"/>
      <c r="B32" s="117"/>
      <c r="C32" s="58" t="s">
        <v>1483</v>
      </c>
      <c r="D32" s="200"/>
      <c r="E32" s="129">
        <f t="shared" ca="1" si="6"/>
        <v>0</v>
      </c>
      <c r="F32" s="61">
        <f t="shared" ca="1" si="7"/>
        <v>0</v>
      </c>
      <c r="G32" s="158">
        <f t="shared" ca="1" si="8"/>
        <v>0</v>
      </c>
      <c r="H32" s="158">
        <f t="shared" ca="1" si="9"/>
        <v>0</v>
      </c>
      <c r="I32" s="357"/>
      <c r="J32" s="357"/>
      <c r="L32" s="1054" t="str">
        <f t="shared" ca="1" si="10"/>
        <v>##H</v>
      </c>
      <c r="N32" s="114" t="s">
        <v>1484</v>
      </c>
      <c r="O32" s="114" t="s">
        <v>1485</v>
      </c>
      <c r="P32" s="124" t="s">
        <v>51</v>
      </c>
    </row>
    <row r="33" spans="1:16" ht="15" customHeight="1">
      <c r="A33" s="117"/>
      <c r="B33" s="117"/>
      <c r="C33" s="1253" t="s">
        <v>1486</v>
      </c>
      <c r="D33" s="1253"/>
      <c r="E33" s="450">
        <f ca="1">SUM(E27:E32)</f>
        <v>0</v>
      </c>
      <c r="F33" s="382">
        <f ca="1">SUM(F27:F32)</f>
        <v>0</v>
      </c>
      <c r="G33" s="316">
        <f ca="1">SUM(G27:G32)</f>
        <v>0</v>
      </c>
      <c r="H33" s="316">
        <f ca="1">SUM(H27:H32)</f>
        <v>0</v>
      </c>
      <c r="I33" s="357"/>
      <c r="J33" s="357"/>
      <c r="L33" s="1054" t="str">
        <f t="shared" ca="1" si="10"/>
        <v>##H</v>
      </c>
      <c r="P33" s="124"/>
    </row>
    <row r="34" spans="1:16" ht="12.75" customHeight="1">
      <c r="A34" s="117"/>
      <c r="B34" s="117"/>
      <c r="C34" s="253"/>
      <c r="D34" s="253"/>
      <c r="E34" s="1578"/>
      <c r="F34" s="1581"/>
      <c r="G34" s="1574"/>
      <c r="H34" s="1574"/>
      <c r="I34" s="357"/>
      <c r="J34" s="357"/>
    </row>
    <row r="35" spans="1:16">
      <c r="A35" s="1264"/>
      <c r="B35" s="1264"/>
      <c r="C35" s="1244"/>
      <c r="D35" s="1244"/>
      <c r="E35" s="1246"/>
      <c r="F35" s="1246"/>
      <c r="G35" s="1246"/>
      <c r="H35" s="1246"/>
      <c r="I35" s="357"/>
      <c r="J35" s="357"/>
    </row>
    <row r="36" spans="1:16">
      <c r="A36" s="1264"/>
      <c r="B36" s="1132">
        <f>NTA!F64</f>
        <v>25.200000000000003</v>
      </c>
      <c r="C36" s="1132" t="str">
        <f>NTA!C64</f>
        <v>Details of shares held by Globex india Limited (Holding Company/ Ultimate Holding Company)</v>
      </c>
      <c r="D36" s="1244"/>
      <c r="E36" s="1246"/>
      <c r="F36" s="1246"/>
      <c r="G36" s="1246"/>
      <c r="H36" s="1246"/>
      <c r="I36" s="357"/>
      <c r="J36" s="620"/>
      <c r="K36" s="246"/>
      <c r="L36" s="246"/>
      <c r="M36" s="559"/>
    </row>
    <row r="37" spans="1:16">
      <c r="A37" s="117"/>
      <c r="B37" s="1264"/>
      <c r="C37" s="1314" t="s">
        <v>1487</v>
      </c>
      <c r="D37" s="1314"/>
      <c r="E37" s="1367" t="s">
        <v>1453</v>
      </c>
      <c r="F37" s="1367"/>
      <c r="G37" s="1368" t="s">
        <v>1453</v>
      </c>
      <c r="H37" s="1368"/>
      <c r="I37" s="357"/>
      <c r="J37" s="357"/>
    </row>
    <row r="38" spans="1:16">
      <c r="A38" s="1264"/>
      <c r="B38" s="1264"/>
      <c r="C38" s="1365"/>
      <c r="D38" s="1365"/>
      <c r="E38" s="1369" t="e">
        <f ca="1">BS_CY</f>
        <v>#NAME?</v>
      </c>
      <c r="F38" s="1369"/>
      <c r="G38" s="1370" t="e">
        <f ca="1">BS_PY</f>
        <v>#NAME?</v>
      </c>
      <c r="H38" s="1370"/>
      <c r="I38" s="357"/>
      <c r="J38" s="357"/>
    </row>
    <row r="39" spans="1:16" ht="15.75" hidden="1" customHeight="1">
      <c r="A39" s="1264"/>
      <c r="B39" s="1264"/>
      <c r="C39" s="1253" t="s">
        <v>1488</v>
      </c>
      <c r="D39" s="1253"/>
      <c r="E39" s="86"/>
      <c r="F39" s="130">
        <f ca="1">IFERROR(INDEX(INDIRECT(VLOOKUP($P39,Source_Master,2,0),),MATCH(TEXT($N39,0),INDIRECT(VLOOKUP($P39,Source_Master,4,0)),0),MATCH($F$1,INDIRECT(VLOOKUP($P39,Source_Master,3,0),),0)),0)</f>
        <v>0</v>
      </c>
      <c r="G39" s="79"/>
      <c r="H39" s="158">
        <f ca="1">IFERROR(INDEX(INDIRECT(VLOOKUP($P39,Source_Master,2,0),),MATCH(TEXT($N39,0),INDIRECT(VLOOKUP($P39,Source_Master,4,0)),0),MATCH($G$1,INDIRECT(VLOOKUP($P39,Source_Master,3,0),),0)),0)</f>
        <v>0</v>
      </c>
      <c r="I39" s="357"/>
      <c r="J39" s="357"/>
      <c r="L39" s="1054" t="str">
        <f t="shared" ref="L39:L40" ca="1" si="11">IF(AND(F39=0,H39=0),"##H","")</f>
        <v>##H</v>
      </c>
      <c r="N39" s="114" t="s">
        <v>1489</v>
      </c>
      <c r="O39" s="114" t="s">
        <v>1490</v>
      </c>
      <c r="P39" s="124" t="s">
        <v>51</v>
      </c>
    </row>
    <row r="40" spans="1:16" ht="15.75" hidden="1" customHeight="1">
      <c r="A40" s="1264"/>
      <c r="B40" s="1264"/>
      <c r="C40" s="577" t="s">
        <v>1491</v>
      </c>
      <c r="D40" s="577"/>
      <c r="E40" s="214"/>
      <c r="F40" s="130">
        <f ca="1">IFERROR(INDEX(INDIRECT(VLOOKUP($P40,Source_Master,2,0),),MATCH(TEXT($N40,0),INDIRECT(VLOOKUP($P40,Source_Master,4,0)),0),MATCH($F$1,INDIRECT(VLOOKUP($P40,Source_Master,3,0),),0)),0)</f>
        <v>0</v>
      </c>
      <c r="G40" s="215"/>
      <c r="H40" s="158">
        <f ca="1">IFERROR(INDEX(INDIRECT(VLOOKUP($P40,Source_Master,2,0),),MATCH(TEXT($N40,0),INDIRECT(VLOOKUP($P40,Source_Master,4,0)),0),MATCH($G$1,INDIRECT(VLOOKUP($P40,Source_Master,3,0),),0)),0)</f>
        <v>0</v>
      </c>
      <c r="I40" s="357"/>
      <c r="J40" s="357"/>
      <c r="L40" s="1054" t="str">
        <f t="shared" ca="1" si="11"/>
        <v>##H</v>
      </c>
      <c r="N40" s="114" t="s">
        <v>1492</v>
      </c>
      <c r="O40" s="114" t="s">
        <v>1493</v>
      </c>
      <c r="P40" s="124" t="s">
        <v>51</v>
      </c>
    </row>
    <row r="41" spans="1:16">
      <c r="A41" s="1264"/>
      <c r="B41" s="1264"/>
      <c r="C41" s="423"/>
      <c r="D41" s="423"/>
      <c r="E41" s="878"/>
      <c r="F41" s="879"/>
      <c r="G41" s="880"/>
      <c r="H41" s="880"/>
      <c r="I41" s="357"/>
      <c r="J41" s="357"/>
    </row>
    <row r="42" spans="1:16" ht="15" customHeight="1">
      <c r="A42" s="795"/>
      <c r="B42" s="1132">
        <f>NTA!F65</f>
        <v>25.300000000000004</v>
      </c>
      <c r="C42" s="1132" t="str">
        <f>NTA!C65</f>
        <v>Terms / rights attached to Equity Shares</v>
      </c>
      <c r="D42" s="795"/>
      <c r="E42" s="39"/>
      <c r="F42" s="39"/>
      <c r="G42" s="39"/>
      <c r="H42" s="39"/>
      <c r="I42" s="39"/>
      <c r="J42" s="39"/>
    </row>
    <row r="43" spans="1:16" ht="54" customHeight="1">
      <c r="A43" s="795"/>
      <c r="B43" s="795"/>
      <c r="C43" s="1305" t="s">
        <v>1494</v>
      </c>
      <c r="D43" s="1305"/>
      <c r="E43" s="1304"/>
      <c r="F43" s="1304"/>
      <c r="G43" s="1304"/>
      <c r="H43" s="1304"/>
      <c r="I43" s="39"/>
      <c r="J43" s="39"/>
    </row>
    <row r="44" spans="1:16" ht="15" customHeight="1">
      <c r="A44" s="795"/>
      <c r="B44" s="795"/>
      <c r="C44" s="795"/>
      <c r="D44" s="795"/>
      <c r="E44" s="39"/>
      <c r="F44" s="39"/>
      <c r="G44" s="39"/>
      <c r="H44" s="39"/>
      <c r="I44" s="39"/>
      <c r="J44" s="39"/>
    </row>
    <row r="45" spans="1:16" ht="15" customHeight="1">
      <c r="A45" s="795"/>
      <c r="B45" s="1149">
        <f>NTA!F66</f>
        <v>25.400000000000006</v>
      </c>
      <c r="C45" s="1149" t="str">
        <f>NTA!C66</f>
        <v>Details of shares held by each shareholder holding more than 5% shares</v>
      </c>
      <c r="D45" s="795"/>
      <c r="E45" s="39"/>
      <c r="F45" s="39"/>
      <c r="G45" s="39"/>
      <c r="H45" s="39"/>
      <c r="I45" s="39"/>
      <c r="J45" s="39"/>
    </row>
    <row r="46" spans="1:16" ht="15" customHeight="1">
      <c r="C46" s="1314" t="s">
        <v>1495</v>
      </c>
      <c r="D46" s="1314"/>
      <c r="E46" s="1361" t="e">
        <f ca="1">BS_CY</f>
        <v>#NAME?</v>
      </c>
      <c r="F46" s="1361"/>
      <c r="G46" s="1362" t="e">
        <f ca="1">BS_PY</f>
        <v>#NAME?</v>
      </c>
      <c r="H46" s="1362"/>
      <c r="I46" s="46"/>
      <c r="J46" s="46"/>
    </row>
    <row r="47" spans="1:16" ht="27" customHeight="1">
      <c r="C47" s="1365"/>
      <c r="D47" s="1365"/>
      <c r="E47" s="352" t="s">
        <v>1496</v>
      </c>
      <c r="F47" s="722" t="s">
        <v>1497</v>
      </c>
      <c r="G47" s="98" t="s">
        <v>1496</v>
      </c>
      <c r="H47" s="881" t="s">
        <v>1497</v>
      </c>
      <c r="I47" s="100"/>
      <c r="J47" s="100"/>
    </row>
    <row r="48" spans="1:16" ht="15" customHeight="1">
      <c r="A48" s="117"/>
      <c r="B48" s="117"/>
      <c r="C48" s="356" t="s">
        <v>1498</v>
      </c>
      <c r="D48" s="356"/>
      <c r="E48" s="324"/>
      <c r="F48" s="283"/>
      <c r="G48" s="75"/>
      <c r="H48" s="75"/>
      <c r="I48" s="1540"/>
      <c r="J48" s="1540"/>
    </row>
    <row r="49" spans="1:16" ht="15.75" customHeight="1">
      <c r="A49" s="117"/>
      <c r="B49" s="117"/>
      <c r="C49" s="323" t="s">
        <v>1499</v>
      </c>
      <c r="D49" s="323"/>
      <c r="E49" s="129">
        <f t="shared" ref="E49" ca="1" si="12">IFERROR(INDEX(INDIRECT(VLOOKUP($P49,Source_Master,2,0),),MATCH(TEXT($N49,0),INDIRECT(VLOOKUP($P49,Source_Master,4,0)),0),MATCH($F$1,INDIRECT(VLOOKUP($P49,Source_Master,3,0),),0)),0)</f>
        <v>0</v>
      </c>
      <c r="F49" s="1015">
        <f ca="1">IFERROR((E49/E21),)</f>
        <v>0</v>
      </c>
      <c r="G49" s="62">
        <f t="shared" ref="G49" ca="1" si="13">IFERROR(INDEX(INDIRECT(VLOOKUP($P49,Source_Master,2,0),),MATCH(TEXT($N49,0),INDIRECT(VLOOKUP($P49,Source_Master,4,0)),0),MATCH($G$1,INDIRECT(VLOOKUP($P49,Source_Master,3,0),),0)),0)</f>
        <v>0</v>
      </c>
      <c r="H49" s="1027">
        <f ca="1">IFERROR((G49/G21),)</f>
        <v>0</v>
      </c>
      <c r="I49" s="1540"/>
      <c r="J49" s="1540"/>
      <c r="L49" s="1054" t="str">
        <f t="shared" ref="L49:L51" ca="1" si="14">IF(AND(E49=0,G49=0),"##H","")</f>
        <v>##H</v>
      </c>
      <c r="N49" s="114" t="s">
        <v>1500</v>
      </c>
      <c r="P49" s="124" t="s">
        <v>51</v>
      </c>
    </row>
    <row r="50" spans="1:16" ht="15.75" customHeight="1">
      <c r="A50" s="117"/>
      <c r="B50" s="117"/>
      <c r="C50" s="323" t="s">
        <v>1501</v>
      </c>
      <c r="D50" s="323"/>
      <c r="E50" s="62">
        <f t="shared" ref="E50" ca="1" si="15">IFERROR(INDEX(INDIRECT(VLOOKUP($P50,Source_Master,2,0),),MATCH(TEXT($N50,0),INDIRECT(VLOOKUP($P50,Source_Master,4,0)),0),MATCH($F$1,INDIRECT(VLOOKUP($P50,Source_Master,3,0),),0)),0)</f>
        <v>0</v>
      </c>
      <c r="F50" s="1015">
        <f ca="1">IFERROR((E50/E21),)</f>
        <v>0</v>
      </c>
      <c r="G50" s="62">
        <f t="shared" ref="G50" ca="1" si="16">IFERROR(INDEX(INDIRECT(VLOOKUP($P50,Source_Master,2,0),),MATCH(TEXT($N50,0),INDIRECT(VLOOKUP($P50,Source_Master,4,0)),0),MATCH($G$1,INDIRECT(VLOOKUP($P50,Source_Master,3,0),),0)),0)</f>
        <v>0</v>
      </c>
      <c r="H50" s="1027">
        <f ca="1">IFERROR((E50/G21),)</f>
        <v>0</v>
      </c>
      <c r="I50" s="1540"/>
      <c r="J50" s="1540"/>
      <c r="L50" s="1054" t="str">
        <f t="shared" ca="1" si="14"/>
        <v>##H</v>
      </c>
      <c r="N50" s="114" t="s">
        <v>1502</v>
      </c>
      <c r="P50" s="124" t="s">
        <v>51</v>
      </c>
    </row>
    <row r="51" spans="1:16" ht="15.75" customHeight="1">
      <c r="A51" s="117"/>
      <c r="C51" s="1250" t="s">
        <v>1466</v>
      </c>
      <c r="D51" s="232"/>
      <c r="E51" s="69">
        <f ca="1">SUM(E49:E49)+SUM(E50:E50)</f>
        <v>0</v>
      </c>
      <c r="F51" s="1016">
        <f ca="1">SUM(F49:F49)+SUM(F50:F50)</f>
        <v>0</v>
      </c>
      <c r="G51" s="70">
        <f ca="1">SUM(G49:G49)+SUM(G50:G50)</f>
        <v>0</v>
      </c>
      <c r="H51" s="1028">
        <f ca="1">SUM(H49:H49)+SUM(H50:H50)</f>
        <v>0</v>
      </c>
      <c r="I51" s="1573"/>
      <c r="J51" s="1573"/>
      <c r="L51" s="1054" t="str">
        <f t="shared" ca="1" si="14"/>
        <v>##H</v>
      </c>
    </row>
    <row r="52" spans="1:16" ht="15" customHeight="1">
      <c r="C52" s="210"/>
      <c r="D52" s="210"/>
      <c r="E52" s="100"/>
      <c r="F52" s="100"/>
      <c r="G52" s="100"/>
      <c r="H52" s="100"/>
      <c r="I52" s="100"/>
      <c r="J52" s="100"/>
    </row>
    <row r="53" spans="1:16">
      <c r="A53" s="795"/>
      <c r="B53" s="1149">
        <f>NTA!F67</f>
        <v>25.500000000000007</v>
      </c>
      <c r="C53" s="1149" t="str">
        <f>NTA!C67</f>
        <v xml:space="preserve">Share holding by promoters </v>
      </c>
      <c r="D53" s="795"/>
      <c r="E53" s="795"/>
      <c r="F53" s="795"/>
      <c r="G53" s="795"/>
      <c r="H53" s="795"/>
      <c r="I53" s="1243"/>
      <c r="J53" s="1243"/>
    </row>
    <row r="54" spans="1:16" ht="15" customHeight="1">
      <c r="C54" s="1314" t="s">
        <v>500</v>
      </c>
      <c r="D54" s="1371" t="e">
        <f ca="1">BS_CY</f>
        <v>#NAME?</v>
      </c>
      <c r="E54" s="1371"/>
      <c r="F54" s="1362" t="e">
        <f ca="1">BS_PY</f>
        <v>#NAME?</v>
      </c>
      <c r="G54" s="1362"/>
      <c r="H54" s="1372" t="s">
        <v>1503</v>
      </c>
      <c r="I54" s="46"/>
      <c r="J54" s="46"/>
    </row>
    <row r="55" spans="1:16" ht="26.45">
      <c r="C55" s="1315"/>
      <c r="D55" s="580" t="s">
        <v>1496</v>
      </c>
      <c r="E55" s="797" t="s">
        <v>1497</v>
      </c>
      <c r="F55" s="578" t="s">
        <v>1496</v>
      </c>
      <c r="G55" s="882" t="s">
        <v>1497</v>
      </c>
      <c r="H55" s="1373"/>
      <c r="I55" s="100"/>
      <c r="J55" s="100"/>
    </row>
    <row r="56" spans="1:16" ht="15" customHeight="1">
      <c r="C56" s="1277" t="s">
        <v>1498</v>
      </c>
      <c r="D56" s="579"/>
      <c r="E56" s="283"/>
      <c r="F56" s="75"/>
      <c r="G56" s="75"/>
      <c r="H56" s="75"/>
      <c r="I56" s="1540"/>
      <c r="J56" s="1540"/>
      <c r="N56" s="20"/>
      <c r="O56" s="20"/>
      <c r="P56" s="20"/>
    </row>
    <row r="57" spans="1:16" ht="15" customHeight="1">
      <c r="C57" s="1171" t="str">
        <f>C49</f>
        <v>ABC holders</v>
      </c>
      <c r="D57" s="886">
        <f t="shared" ref="D57" ca="1" si="17">IFERROR(INDEX(INDIRECT(VLOOKUP($P57,Source_Master,2,0),),MATCH(TEXT($N57,0),INDIRECT(VLOOKUP($P57,Source_Master,4,0)),0),MATCH($F$1,INDIRECT(VLOOKUP($P57,Source_Master,3,0),),0)),0)</f>
        <v>0</v>
      </c>
      <c r="E57" s="1017">
        <f ca="1">IFERROR((D57/E21),)</f>
        <v>0</v>
      </c>
      <c r="F57" s="158">
        <f t="shared" ref="F57" ca="1" si="18">IFERROR(INDEX(INDIRECT(VLOOKUP($P57,Source_Master,2,0),),MATCH(TEXT($N57,0),INDIRECT(VLOOKUP($P57,Source_Master,4,0)),0),MATCH($G$1,INDIRECT(VLOOKUP($P57,Source_Master,3,0),),0)),0)</f>
        <v>0</v>
      </c>
      <c r="G57" s="1029">
        <f ca="1">IFERROR((F57/G21),)</f>
        <v>0</v>
      </c>
      <c r="H57" s="1029">
        <f ca="1">IFERROR((E57/G57),)</f>
        <v>0</v>
      </c>
      <c r="I57" s="1540"/>
      <c r="J57" s="1540"/>
      <c r="L57" s="1054" t="str">
        <f t="shared" ref="L57:L59" ca="1" si="19">IF(AND(E57=0,G57=0),"##H","")</f>
        <v>##H</v>
      </c>
      <c r="N57" s="114" t="s">
        <v>1504</v>
      </c>
      <c r="P57" s="124" t="s">
        <v>51</v>
      </c>
    </row>
    <row r="58" spans="1:16" ht="15" customHeight="1">
      <c r="C58" s="1171" t="str">
        <f>C50</f>
        <v>MNO Holders</v>
      </c>
      <c r="D58" s="887">
        <f t="shared" ref="D58" ca="1" si="20">IFERROR(INDEX(INDIRECT(VLOOKUP($P58,Source_Master,2,0),),MATCH(TEXT($N58,0),INDIRECT(VLOOKUP($P58,Source_Master,4,0)),0),MATCH($F$1,INDIRECT(VLOOKUP($P58,Source_Master,3,0),),0)),0)</f>
        <v>0</v>
      </c>
      <c r="E58" s="1018">
        <f ca="1">IFERROR((D58/E21),)</f>
        <v>0</v>
      </c>
      <c r="F58" s="62">
        <f t="shared" ref="F58" ca="1" si="21">IFERROR(INDEX(INDIRECT(VLOOKUP($P58,Source_Master,2,0),),MATCH(TEXT($N58,0),INDIRECT(VLOOKUP($P58,Source_Master,4,0)),0),MATCH($G$1,INDIRECT(VLOOKUP($P58,Source_Master,3,0),),0)),0)</f>
        <v>0</v>
      </c>
      <c r="G58" s="1027">
        <f ca="1">IFERROR((F58/G21),)</f>
        <v>0</v>
      </c>
      <c r="H58" s="1029">
        <f ca="1">IFERROR((E58/G58),)</f>
        <v>0</v>
      </c>
      <c r="I58" s="1540"/>
      <c r="J58" s="1540"/>
      <c r="L58" s="1054" t="str">
        <f t="shared" ca="1" si="19"/>
        <v>##H</v>
      </c>
      <c r="N58" s="114" t="s">
        <v>1505</v>
      </c>
      <c r="P58" s="124" t="s">
        <v>51</v>
      </c>
    </row>
    <row r="59" spans="1:16" ht="15" customHeight="1">
      <c r="C59" s="359" t="s">
        <v>1506</v>
      </c>
      <c r="D59" s="888">
        <f ca="1">SUM(D56:D58)</f>
        <v>0</v>
      </c>
      <c r="E59" s="1019">
        <f ca="1">SUM(E56:E58)</f>
        <v>0</v>
      </c>
      <c r="F59" s="175">
        <f ca="1">SUM(F56:F58)</f>
        <v>0</v>
      </c>
      <c r="G59" s="1030">
        <f ca="1">SUM(G56:G58)</f>
        <v>0</v>
      </c>
      <c r="H59" s="1030">
        <f ca="1">IFERROR((E59/G59),)</f>
        <v>0</v>
      </c>
      <c r="I59" s="1573"/>
      <c r="J59" s="1573"/>
      <c r="L59" s="1054" t="str">
        <f t="shared" ca="1" si="19"/>
        <v>##H</v>
      </c>
    </row>
    <row r="60" spans="1:16" ht="15" customHeight="1">
      <c r="C60" s="1246"/>
      <c r="D60" s="1246"/>
      <c r="E60" s="253"/>
      <c r="F60" s="253"/>
      <c r="G60" s="253"/>
      <c r="H60" s="253"/>
      <c r="I60" s="253"/>
      <c r="J60" s="253"/>
    </row>
    <row r="61" spans="1:16">
      <c r="C61" s="21" t="s">
        <v>1507</v>
      </c>
    </row>
    <row r="62" spans="1:16" ht="28.5" customHeight="1">
      <c r="C62" s="1305" t="s">
        <v>1508</v>
      </c>
      <c r="D62" s="1304"/>
      <c r="E62" s="1304"/>
      <c r="F62" s="1304"/>
      <c r="G62" s="1304"/>
      <c r="H62" s="1304"/>
      <c r="J62" s="598"/>
    </row>
  </sheetData>
  <sheetProtection algorithmName="SHA-512" hashValue="6EiMYjmCLl2ydSO/yDF4pwwiYIC0umXAOEzXZyynRnw++mtcWBJpPxwwO5TsJoEzuH/3DA0eCJvraRHt0cLg3A==" saltValue="NaXu9XwkPmDzWveo2XIGNg==" spinCount="100000" sheet="1" objects="1" scenarios="1"/>
  <mergeCells count="21">
    <mergeCell ref="C62:H62"/>
    <mergeCell ref="C54:C55"/>
    <mergeCell ref="D54:E54"/>
    <mergeCell ref="F54:G54"/>
    <mergeCell ref="H54:H55"/>
    <mergeCell ref="E46:F46"/>
    <mergeCell ref="G46:H46"/>
    <mergeCell ref="E7:F7"/>
    <mergeCell ref="G7:H7"/>
    <mergeCell ref="E24:F24"/>
    <mergeCell ref="G24:H24"/>
    <mergeCell ref="C43:H43"/>
    <mergeCell ref="C46:D47"/>
    <mergeCell ref="C23:H23"/>
    <mergeCell ref="B7:D8"/>
    <mergeCell ref="C24:D25"/>
    <mergeCell ref="C37:D38"/>
    <mergeCell ref="E37:F37"/>
    <mergeCell ref="G37:H37"/>
    <mergeCell ref="E38:F38"/>
    <mergeCell ref="G38:H38"/>
  </mergeCells>
  <pageMargins left="0.7" right="0.7" top="0.75" bottom="0.75" header="0.3" footer="0.3"/>
  <pageSetup scale="52" fitToHeight="0" orientation="portrait" r:id="rId1"/>
  <headerFooter alignWithMargins="0"/>
  <rowBreaks count="1" manualBreakCount="1">
    <brk id="34" max="8" man="1"/>
  </rowBreaks>
  <ignoredErrors>
    <ignoredError sqref="F57:F58" 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801731A-2D82-46B7-8BAA-AD7316D6E0C2}">
          <x14:formula1>
            <xm:f>'Master Sheet'!$C$37:$C$41</xm:f>
          </x14:formula1>
          <xm:sqref>P27:P33 P10:P11 P14:P15 P19:P21 P39:P40 P49:P50 P57:P58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1AD33-57F7-40C1-A900-CBB91D82C645}">
  <sheetPr codeName="Sheet29">
    <tabColor theme="5" tint="0.59999389629810485"/>
    <pageSetUpPr fitToPage="1"/>
  </sheetPr>
  <dimension ref="A1:N103"/>
  <sheetViews>
    <sheetView showGridLines="0" view="pageBreakPreview" topLeftCell="A3" zoomScaleNormal="100" zoomScaleSheetLayoutView="100" workbookViewId="0">
      <selection activeCell="G33" sqref="G33"/>
    </sheetView>
  </sheetViews>
  <sheetFormatPr defaultColWidth="9.28515625" defaultRowHeight="13.15" outlineLevelRow="1" outlineLevelCol="1"/>
  <cols>
    <col min="1" max="1" customWidth="true" style="15" width="4.28515625"/>
    <col min="2" max="2" customWidth="true" style="15" width="6.7109375"/>
    <col min="3" max="3" customWidth="true" style="15" width="45.5703125"/>
    <col min="4" max="5" style="15" width="9.28515625"/>
    <col min="6" max="7" bestFit="true" customWidth="true" style="15" width="22.7109375"/>
    <col min="8" max="8" customWidth="true" style="15" width="4.42578125"/>
    <col min="9" max="9" customWidth="true" hidden="true" style="15" width="17.28515625"/>
    <col min="10" max="10" bestFit="true" customWidth="true" style="15" width="15.42578125"/>
    <col min="11" max="12" style="15" width="9.28515625"/>
    <col min="13" max="13" customWidth="true" hidden="true" style="15" width="10.5703125" outlineLevel="1"/>
    <col min="14" max="14" customWidth="true" hidden="true" style="15" width="9.28515625" outlineLevel="1"/>
    <col min="15" max="15" style="15" width="9.28515625" collapsed="true"/>
    <col min="16" max="16384" style="15" width="9.28515625"/>
  </cols>
  <sheetData>
    <row r="1" spans="1:8" hidden="1" outlineLevel="1">
      <c r="F1" s="1045" t="str">
        <f>BS!C1</f>
        <v>7756|001|INR|Actual|Standalone</v>
      </c>
      <c r="G1" s="1045" t="str">
        <f>BS!D1</f>
        <v>7756|002|INR|Actual|Standalone</v>
      </c>
      <c r="H1" s="1045" t="str">
        <f>BS!E1</f>
        <v>7756|003|INR|Actual|Standalone</v>
      </c>
    </row>
    <row r="2" spans="1:8" hidden="1" outlineLevel="1"/>
    <row r="3" spans="1:8" ht="17.45" collapsed="1">
      <c r="A3" s="1077" t="e">
        <f ca="1">Company</f>
        <v>#NAME?</v>
      </c>
      <c r="B3" s="25"/>
    </row>
    <row r="4" spans="1:8" ht="15.6">
      <c r="A4" s="1078" t="e">
        <f ca="1">Note_Head</f>
        <v>#NAME?</v>
      </c>
      <c r="B4" s="25"/>
    </row>
    <row r="7" spans="1:8">
      <c r="A7" s="1122">
        <f>NTA!F68</f>
        <v>26</v>
      </c>
      <c r="B7" s="1149" t="str">
        <f>NTA!C68</f>
        <v>Other Equity</v>
      </c>
      <c r="G7" s="1172" t="str">
        <f>+'Master Sheet'!$C$65</f>
        <v>(Amount in INR)</v>
      </c>
    </row>
    <row r="8" spans="1:8" ht="27" customHeight="1">
      <c r="B8" s="1374" t="s">
        <v>500</v>
      </c>
      <c r="C8" s="1374"/>
      <c r="D8" s="1375"/>
      <c r="E8" s="630" t="s">
        <v>179</v>
      </c>
      <c r="F8" s="1173" t="e">
        <f ca="1">BS_CY</f>
        <v>#NAME?</v>
      </c>
      <c r="G8" s="1174" t="e">
        <f ca="1">BS_PY</f>
        <v>#NAME?</v>
      </c>
    </row>
    <row r="9" spans="1:8" ht="15" customHeight="1">
      <c r="B9" s="633" t="s">
        <v>294</v>
      </c>
      <c r="C9" s="633"/>
      <c r="D9" s="629"/>
      <c r="E9" s="1178">
        <f>B22</f>
        <v>26.1</v>
      </c>
      <c r="F9" s="1175">
        <f ca="1">F26</f>
        <v>0</v>
      </c>
      <c r="G9" s="1176">
        <f ca="1">G26</f>
        <v>0</v>
      </c>
    </row>
    <row r="10" spans="1:8" ht="15" customHeight="1">
      <c r="B10" s="631" t="s">
        <v>583</v>
      </c>
      <c r="C10" s="631"/>
      <c r="D10" s="622"/>
      <c r="E10" s="1179">
        <f>B30</f>
        <v>26.200000000000003</v>
      </c>
      <c r="F10" s="603">
        <f ca="1">F38</f>
        <v>0</v>
      </c>
      <c r="G10" s="341">
        <f ca="1">G38</f>
        <v>0</v>
      </c>
    </row>
    <row r="11" spans="1:8" ht="15" customHeight="1">
      <c r="B11" s="631" t="s">
        <v>298</v>
      </c>
      <c r="C11" s="631"/>
      <c r="D11" s="622"/>
      <c r="E11" s="1180">
        <f>B42</f>
        <v>26.300000000000004</v>
      </c>
      <c r="F11" s="1177">
        <f ca="1">F58</f>
        <v>0</v>
      </c>
      <c r="G11" s="341">
        <f ca="1">G58</f>
        <v>0</v>
      </c>
    </row>
    <row r="12" spans="1:8" ht="15" customHeight="1">
      <c r="B12" s="631" t="s">
        <v>300</v>
      </c>
      <c r="C12" s="631"/>
      <c r="D12" s="622"/>
      <c r="E12" s="1180">
        <f>B63</f>
        <v>26.400000000000006</v>
      </c>
      <c r="F12" s="1177">
        <f ca="1">F67</f>
        <v>0</v>
      </c>
      <c r="G12" s="341">
        <f ca="1">G67</f>
        <v>0</v>
      </c>
    </row>
    <row r="13" spans="1:8" ht="15" customHeight="1">
      <c r="B13" s="631" t="s">
        <v>302</v>
      </c>
      <c r="C13" s="631"/>
      <c r="D13" s="622"/>
      <c r="E13" s="1180">
        <f>B69</f>
        <v>26.500000000000007</v>
      </c>
      <c r="F13" s="1177">
        <f ca="1">F73</f>
        <v>0</v>
      </c>
      <c r="G13" s="341">
        <f ca="1">G73</f>
        <v>0</v>
      </c>
    </row>
    <row r="14" spans="1:8" ht="15" customHeight="1">
      <c r="B14" s="631" t="s">
        <v>304</v>
      </c>
      <c r="C14" s="631"/>
      <c r="D14" s="622"/>
      <c r="E14" s="1180">
        <f>B75</f>
        <v>26.600000000000009</v>
      </c>
      <c r="F14" s="966">
        <f ca="1">F79</f>
        <v>0</v>
      </c>
      <c r="G14" s="635">
        <f ca="1">G79</f>
        <v>0</v>
      </c>
    </row>
    <row r="15" spans="1:8" ht="15" customHeight="1">
      <c r="B15" s="634" t="s">
        <v>1509</v>
      </c>
      <c r="C15" s="634"/>
      <c r="D15" s="622"/>
      <c r="E15" s="623"/>
      <c r="F15" s="967">
        <f ca="1">SUM(F9:F14)</f>
        <v>0</v>
      </c>
      <c r="G15" s="671">
        <f ca="1">SUM(G9:G14)</f>
        <v>0</v>
      </c>
    </row>
    <row r="16" spans="1:8" ht="15" customHeight="1">
      <c r="B16" s="631"/>
      <c r="C16" s="631"/>
      <c r="D16" s="622"/>
      <c r="E16" s="623"/>
      <c r="F16" s="914"/>
      <c r="G16" s="66"/>
    </row>
    <row r="17" spans="2:14" ht="15" customHeight="1">
      <c r="B17" s="631" t="s">
        <v>306</v>
      </c>
      <c r="C17" s="631"/>
      <c r="D17" s="622"/>
      <c r="E17" s="1180">
        <f>B84</f>
        <v>26.70000000000001</v>
      </c>
      <c r="F17" s="603">
        <f ca="1">F88</f>
        <v>0</v>
      </c>
      <c r="G17" s="341">
        <f ca="1">G88</f>
        <v>0</v>
      </c>
    </row>
    <row r="18" spans="2:14" ht="15" customHeight="1">
      <c r="B18" s="632" t="s">
        <v>415</v>
      </c>
      <c r="C18" s="632"/>
      <c r="D18" s="622"/>
      <c r="E18" s="623"/>
      <c r="F18" s="968">
        <f ca="1">F17</f>
        <v>0</v>
      </c>
      <c r="G18" s="219">
        <f ca="1">G17</f>
        <v>0</v>
      </c>
    </row>
    <row r="19" spans="2:14" ht="15" customHeight="1">
      <c r="C19" s="625"/>
      <c r="D19" s="626"/>
      <c r="E19" s="628"/>
      <c r="F19" s="627"/>
      <c r="G19" s="624"/>
    </row>
    <row r="20" spans="2:14" ht="15" customHeight="1">
      <c r="B20" s="1376" t="s">
        <v>246</v>
      </c>
      <c r="C20" s="1376"/>
      <c r="D20" s="1376"/>
      <c r="E20" s="1377"/>
      <c r="F20" s="672">
        <f ca="1">F15+F18</f>
        <v>0</v>
      </c>
      <c r="G20" s="346">
        <f ca="1">G15+G18</f>
        <v>0</v>
      </c>
    </row>
    <row r="22" spans="2:14">
      <c r="B22" s="1123">
        <f>NTA!F69</f>
        <v>26.1</v>
      </c>
      <c r="C22" s="1123" t="str">
        <f>NTA!C69</f>
        <v>General Reserve</v>
      </c>
      <c r="G22" s="1172" t="str">
        <f>+'Master Sheet'!$C$65</f>
        <v>(Amount in INR)</v>
      </c>
    </row>
    <row r="23" spans="2:14">
      <c r="C23" s="1313" t="s">
        <v>500</v>
      </c>
      <c r="D23" s="1313"/>
      <c r="E23" s="1313"/>
      <c r="F23" s="1181" t="e">
        <f ca="1">BS_CY</f>
        <v>#NAME?</v>
      </c>
      <c r="G23" s="1182" t="e">
        <f ca="1">BS_PY</f>
        <v>#NAME?</v>
      </c>
    </row>
    <row r="24" spans="2:14" ht="15" customHeight="1">
      <c r="C24" s="197" t="s">
        <v>1510</v>
      </c>
      <c r="D24" s="197"/>
      <c r="E24" s="197"/>
      <c r="F24" s="892">
        <f ca="1">IFERROR(INDEX(INDIRECT(VLOOKUP($N24,Source_Master,2,0),),MATCH(TEXT($M24,0),INDIRECT(VLOOKUP($N24,Source_Master,4,0)),0),MATCH(G$1,INDIRECT(VLOOKUP($N24,Source_Master,3,0),),0)),0)</f>
        <v>0</v>
      </c>
      <c r="G24" s="893">
        <f ca="1">IFERROR(INDEX(INDIRECT(VLOOKUP($N24,Source_Master,2,0),),MATCH(TEXT($M24,0),INDIRECT(VLOOKUP($N24,Source_Master,4,0)),0),MATCH(H$1,INDIRECT(VLOOKUP($N24,Source_Master,3,0),),0)),0)</f>
        <v>0</v>
      </c>
      <c r="M24" s="271" t="s">
        <v>1511</v>
      </c>
      <c r="N24" s="24" t="s">
        <v>50</v>
      </c>
    </row>
    <row r="25" spans="2:14" ht="15" customHeight="1">
      <c r="C25" s="197" t="s">
        <v>906</v>
      </c>
      <c r="D25" s="197"/>
      <c r="E25" s="197"/>
      <c r="F25" s="894">
        <f ca="1">F26-F24</f>
        <v>0</v>
      </c>
      <c r="G25" s="895">
        <f ca="1">G26-G24</f>
        <v>0</v>
      </c>
    </row>
    <row r="26" spans="2:14" ht="15" customHeight="1">
      <c r="C26" s="451" t="s">
        <v>1512</v>
      </c>
      <c r="D26" s="202"/>
      <c r="E26" s="202"/>
      <c r="F26" s="896">
        <f ca="1">IFERROR(INDEX(INDIRECT(VLOOKUP($N24,Source_Master,2,0),),MATCH(TEXT($M24,0),INDIRECT(VLOOKUP($N24,Source_Master,4,0)),0),MATCH(F$1,INDIRECT(VLOOKUP($N24,Source_Master,3,0),),0)),0)</f>
        <v>0</v>
      </c>
      <c r="G26" s="897">
        <f ca="1">IFERROR(INDEX(INDIRECT(VLOOKUP($N24,Source_Master,2,0),),MATCH(TEXT($M24,0),INDIRECT(VLOOKUP($N24,Source_Master,4,0)),0),MATCH(G$1,INDIRECT(VLOOKUP($N24,Source_Master,3,0),),0)),0)</f>
        <v>0</v>
      </c>
    </row>
    <row r="27" spans="2:14" ht="7.5" customHeight="1"/>
    <row r="28" spans="2:14" ht="57" customHeight="1">
      <c r="C28" s="1305" t="s">
        <v>1513</v>
      </c>
      <c r="D28" s="1378"/>
      <c r="E28" s="1378"/>
      <c r="F28" s="1378"/>
      <c r="G28" s="1378"/>
    </row>
    <row r="29" spans="2:14">
      <c r="C29" s="1244"/>
      <c r="D29" s="1264"/>
      <c r="E29" s="1264"/>
      <c r="F29" s="1264"/>
      <c r="G29" s="1264"/>
    </row>
    <row r="30" spans="2:14">
      <c r="B30" s="1134">
        <f>NTA!F70</f>
        <v>26.200000000000003</v>
      </c>
      <c r="C30" s="1134" t="str">
        <f>NTA!C70</f>
        <v xml:space="preserve">Securities Premium </v>
      </c>
      <c r="G30" s="1172" t="str">
        <f>+'Master Sheet'!$C$65</f>
        <v>(Amount in INR)</v>
      </c>
    </row>
    <row r="31" spans="2:14">
      <c r="C31" s="1313" t="s">
        <v>500</v>
      </c>
      <c r="D31" s="1313"/>
      <c r="E31" s="1313"/>
      <c r="F31" s="1181" t="e">
        <f ca="1">BS_CY</f>
        <v>#NAME?</v>
      </c>
      <c r="G31" s="1182" t="e">
        <f ca="1">BS_PY</f>
        <v>#NAME?</v>
      </c>
    </row>
    <row r="32" spans="2:14" ht="15" customHeight="1">
      <c r="C32" s="197" t="s">
        <v>1510</v>
      </c>
      <c r="D32" s="197"/>
      <c r="E32" s="197"/>
      <c r="F32" s="892">
        <f ca="1">IFERROR(INDEX(INDIRECT(VLOOKUP($N32,Source_Master,2,0),),MATCH(TEXT($M32,0),INDIRECT(VLOOKUP($N32,Source_Master,4,0)),0),MATCH(G$1,INDIRECT(VLOOKUP($N32,Source_Master,3,0),),0)),0)</f>
        <v>0</v>
      </c>
      <c r="G32" s="893">
        <f ca="1">IFERROR(INDEX(INDIRECT(VLOOKUP($N32,Source_Master,2,0),),MATCH(TEXT($M32,0),INDIRECT(VLOOKUP($N32,Source_Master,4,0)),0),MATCH(H$1,INDIRECT(VLOOKUP($N32,Source_Master,3,0),),0)),0)</f>
        <v>0</v>
      </c>
      <c r="M32" s="271" t="s">
        <v>1514</v>
      </c>
      <c r="N32" s="24" t="s">
        <v>50</v>
      </c>
    </row>
    <row r="33" spans="2:14" ht="15" customHeight="1">
      <c r="C33" s="197" t="s">
        <v>1515</v>
      </c>
      <c r="D33" s="197"/>
      <c r="E33" s="197"/>
      <c r="F33" s="894">
        <f ca="1">F38-F32-F34</f>
        <v>0</v>
      </c>
      <c r="G33" s="895">
        <f ca="1">G38-G32-G34</f>
        <v>0</v>
      </c>
    </row>
    <row r="34" spans="2:14" ht="15" customHeight="1">
      <c r="C34" s="197" t="s">
        <v>1516</v>
      </c>
      <c r="D34" s="197"/>
      <c r="E34" s="197"/>
      <c r="F34" s="892">
        <f ca="1">IFERROR(INDEX(INDIRECT(VLOOKUP($N34,Source_Master,2,0),),MATCH(TEXT($M34,0),INDIRECT(VLOOKUP($N34,Source_Master,4,0)),0),MATCH(G$1,INDIRECT(VLOOKUP($N34,Source_Master,3,0),),0)),0)</f>
        <v>0</v>
      </c>
      <c r="G34" s="893">
        <f ca="1">IFERROR(INDEX(INDIRECT(VLOOKUP($N34,Source_Master,2,0),),MATCH(TEXT($M34,0),INDIRECT(VLOOKUP($N34,Source_Master,4,0)),0),MATCH(H$1,INDIRECT(VLOOKUP($N34,Source_Master,3,0),),0)),0)</f>
        <v>0</v>
      </c>
      <c r="M34" s="271" t="s">
        <v>1517</v>
      </c>
    </row>
    <row r="35" spans="2:14" ht="15" customHeight="1">
      <c r="C35" s="197" t="s">
        <v>1518</v>
      </c>
      <c r="D35" s="197"/>
      <c r="E35" s="197"/>
      <c r="F35" s="890"/>
      <c r="G35" s="891"/>
    </row>
    <row r="36" spans="2:14" ht="15" customHeight="1">
      <c r="C36" s="197" t="s">
        <v>1519</v>
      </c>
      <c r="D36" s="197"/>
      <c r="E36" s="197"/>
      <c r="F36" s="890"/>
      <c r="G36" s="891"/>
    </row>
    <row r="37" spans="2:14" ht="15" customHeight="1">
      <c r="C37" s="197" t="s">
        <v>1520</v>
      </c>
      <c r="D37" s="197"/>
      <c r="E37" s="197"/>
      <c r="F37" s="890"/>
      <c r="G37" s="891"/>
    </row>
    <row r="38" spans="2:14" ht="15" customHeight="1">
      <c r="C38" s="451" t="s">
        <v>1512</v>
      </c>
      <c r="D38" s="202"/>
      <c r="E38" s="202"/>
      <c r="F38" s="896">
        <f ca="1">IFERROR(INDEX(INDIRECT(VLOOKUP($N32,Source_Master,2,0),),MATCH(TEXT($M32,0),INDIRECT(VLOOKUP($N32,Source_Master,4,0)),0),MATCH(F$1,INDIRECT(VLOOKUP($N32,Source_Master,3,0),),0)),0)</f>
        <v>0</v>
      </c>
      <c r="G38" s="897">
        <f ca="1">IFERROR(INDEX(INDIRECT(VLOOKUP($N32,Source_Master,2,0),),MATCH(TEXT($M32,0),INDIRECT(VLOOKUP($N32,Source_Master,4,0)),0),MATCH(G$1,INDIRECT(VLOOKUP($N32,Source_Master,3,0),),0)),0)</f>
        <v>0</v>
      </c>
    </row>
    <row r="39" spans="2:14" ht="6.75" customHeight="1"/>
    <row r="40" spans="2:14" ht="16.5" customHeight="1">
      <c r="C40" s="1305" t="s">
        <v>1521</v>
      </c>
      <c r="D40" s="1378"/>
      <c r="E40" s="1378"/>
      <c r="F40" s="1378"/>
      <c r="G40" s="1378"/>
    </row>
    <row r="41" spans="2:14">
      <c r="C41" s="1244"/>
      <c r="D41" s="1264"/>
      <c r="E41" s="1264"/>
      <c r="F41" s="1264"/>
      <c r="G41" s="1264"/>
    </row>
    <row r="42" spans="2:14">
      <c r="B42" s="1134">
        <f>NTA!F71</f>
        <v>26.300000000000004</v>
      </c>
      <c r="C42" s="1134" t="str">
        <f>NTA!C71</f>
        <v xml:space="preserve">Retained earnings </v>
      </c>
      <c r="G42" s="1172" t="str">
        <f>+'Master Sheet'!$C$65</f>
        <v>(Amount in INR)</v>
      </c>
    </row>
    <row r="43" spans="2:14">
      <c r="C43" s="1313" t="s">
        <v>500</v>
      </c>
      <c r="D43" s="1313"/>
      <c r="E43" s="1313"/>
      <c r="F43" s="1181" t="e">
        <f ca="1">BS_CY</f>
        <v>#NAME?</v>
      </c>
      <c r="G43" s="1182" t="e">
        <f ca="1">BS_PY</f>
        <v>#NAME?</v>
      </c>
      <c r="M43" s="15" t="s">
        <v>1522</v>
      </c>
    </row>
    <row r="44" spans="2:14" ht="15" customHeight="1">
      <c r="C44" s="197" t="s">
        <v>1510</v>
      </c>
      <c r="D44" s="197"/>
      <c r="E44" s="197"/>
      <c r="F44" s="997">
        <f ca="1">IFERROR(INDEX(INDIRECT(VLOOKUP($N44,Source_Master,2,0),),MATCH(TEXT($M44,0),INDIRECT(VLOOKUP($N44,Source_Master,4,0)),0),MATCH(F$1,INDIRECT(VLOOKUP($N44,Source_Master,3,0),),0)),0)-F50-F49-F47</f>
        <v>0</v>
      </c>
      <c r="G44" s="970">
        <f ca="1">IFERROR(INDEX(INDIRECT(VLOOKUP($N44,Source_Master,2,0),),MATCH(TEXT($M44,0),INDIRECT(VLOOKUP($N44,Source_Master,4,0)),0),MATCH(G$1,INDIRECT(VLOOKUP($N44,Source_Master,3,0),),0)),0)-G50-G49-G47</f>
        <v>0</v>
      </c>
      <c r="I44" s="974"/>
      <c r="M44" s="271" t="s">
        <v>1523</v>
      </c>
      <c r="N44" s="24" t="s">
        <v>50</v>
      </c>
    </row>
    <row r="45" spans="2:14" ht="15" customHeight="1">
      <c r="C45" s="205" t="s">
        <v>1524</v>
      </c>
      <c r="D45" s="197"/>
      <c r="E45" s="197"/>
      <c r="F45" s="971"/>
      <c r="G45" s="972"/>
    </row>
    <row r="46" spans="2:14" ht="15" customHeight="1">
      <c r="C46" s="197" t="s">
        <v>1525</v>
      </c>
      <c r="D46" s="197"/>
      <c r="E46" s="197"/>
      <c r="F46" s="971"/>
      <c r="G46" s="972"/>
    </row>
    <row r="47" spans="2:14" ht="15" customHeight="1">
      <c r="C47" s="197" t="s">
        <v>1526</v>
      </c>
      <c r="D47" s="197"/>
      <c r="E47" s="197"/>
      <c r="F47" s="997">
        <f ca="1">'P&amp;L'!C36</f>
        <v>0</v>
      </c>
      <c r="G47" s="973">
        <f ca="1">'P&amp;L'!D36</f>
        <v>0</v>
      </c>
      <c r="J47" s="974"/>
    </row>
    <row r="48" spans="2:14" ht="15" customHeight="1">
      <c r="C48" s="197" t="s">
        <v>1527</v>
      </c>
      <c r="D48" s="197"/>
      <c r="E48" s="197"/>
      <c r="F48" s="997">
        <f ca="1">IFERROR(INDEX(INDIRECT(VLOOKUP($N48,Source_Master,2,0),),MATCH(TEXT($M48,0),INDIRECT(VLOOKUP($N48,Source_Master,4,0)),0),MATCH(F$1,INDIRECT(VLOOKUP($N48,Source_Master,3,0),),0)),0)</f>
        <v>0</v>
      </c>
      <c r="G48" s="973">
        <f t="shared" ref="G48:G51" ca="1" si="0">IFERROR(INDEX(INDIRECT(VLOOKUP($N48,Source_Master,2,0),),MATCH(TEXT($M48,0),INDIRECT(VLOOKUP($N48,Source_Master,4,0)),0),MATCH(G$1,INDIRECT(VLOOKUP($N48,Source_Master,3,0),),0)),0)</f>
        <v>0</v>
      </c>
      <c r="M48" s="15" t="s">
        <v>1528</v>
      </c>
      <c r="N48" s="24" t="s">
        <v>50</v>
      </c>
    </row>
    <row r="49" spans="2:14" ht="15" customHeight="1">
      <c r="C49" s="197" t="s">
        <v>1529</v>
      </c>
      <c r="D49" s="197"/>
      <c r="E49" s="197"/>
      <c r="F49" s="997">
        <f ca="1">IFERROR(INDEX(INDIRECT(VLOOKUP($N49,Source_Master,2,0),),MATCH(TEXT($M49,0),INDIRECT(VLOOKUP($N49,Source_Master,4,0)),0),MATCH(F$1,INDIRECT(VLOOKUP($N49,Source_Master,3,0),),0)),0)</f>
        <v>0</v>
      </c>
      <c r="G49" s="973">
        <f t="shared" ca="1" si="0"/>
        <v>0</v>
      </c>
      <c r="M49" s="15" t="s">
        <v>1530</v>
      </c>
      <c r="N49" s="24" t="s">
        <v>50</v>
      </c>
    </row>
    <row r="50" spans="2:14" ht="15" customHeight="1">
      <c r="C50" s="197" t="s">
        <v>1228</v>
      </c>
      <c r="D50" s="197"/>
      <c r="E50" s="197"/>
      <c r="F50" s="997">
        <f ca="1">IFERROR(INDEX(INDIRECT(VLOOKUP($N50,Source_Master,2,0),),MATCH(TEXT($M50,0),INDIRECT(VLOOKUP($N50,Source_Master,4,0)),0),MATCH(F$1,INDIRECT(VLOOKUP($N50,Source_Master,3,0),),0)),0)</f>
        <v>0</v>
      </c>
      <c r="G50" s="973">
        <f t="shared" ca="1" si="0"/>
        <v>0</v>
      </c>
      <c r="M50" s="15" t="s">
        <v>1531</v>
      </c>
      <c r="N50" s="24" t="s">
        <v>50</v>
      </c>
    </row>
    <row r="51" spans="2:14" ht="15" customHeight="1">
      <c r="C51" s="197" t="s">
        <v>1532</v>
      </c>
      <c r="D51" s="197"/>
      <c r="E51" s="197"/>
      <c r="F51" s="969">
        <f ca="1">IFERROR(INDEX(INDIRECT(VLOOKUP($N51,Source_Master,2,0),),MATCH(TEXT($M51,0),INDIRECT(VLOOKUP($N51,Source_Master,4,0)),0),MATCH(F$1,INDIRECT(VLOOKUP($N51,Source_Master,3,0),),0)),0)</f>
        <v>0</v>
      </c>
      <c r="G51" s="970">
        <f t="shared" ca="1" si="0"/>
        <v>0</v>
      </c>
      <c r="M51" s="271" t="s">
        <v>1533</v>
      </c>
      <c r="N51" s="24" t="s">
        <v>50</v>
      </c>
    </row>
    <row r="52" spans="2:14" ht="15" customHeight="1">
      <c r="C52" s="197" t="s">
        <v>1534</v>
      </c>
      <c r="D52" s="197"/>
      <c r="E52" s="197"/>
      <c r="F52" s="971"/>
      <c r="G52" s="972"/>
    </row>
    <row r="53" spans="2:14" ht="15" customHeight="1">
      <c r="C53" s="197" t="s">
        <v>1535</v>
      </c>
      <c r="D53" s="197"/>
      <c r="E53" s="197"/>
      <c r="F53" s="969">
        <f ca="1">IFERROR(INDEX(INDIRECT(VLOOKUP($N53,Source_Master,2,0),),MATCH(TEXT($M53,0),INDIRECT(VLOOKUP($N53,Source_Master,4,0)),0),MATCH(F$1,INDIRECT(VLOOKUP($N53,Source_Master,3,0),),0)),0)</f>
        <v>0</v>
      </c>
      <c r="G53" s="970">
        <f ca="1">IFERROR(INDEX(INDIRECT(VLOOKUP($N53,Source_Master,2,0),),MATCH(TEXT($M53,0),INDIRECT(VLOOKUP($N53,Source_Master,4,0)),0),MATCH(G$1,INDIRECT(VLOOKUP($N53,Source_Master,3,0),),0)),0)</f>
        <v>0</v>
      </c>
      <c r="M53" s="15" t="s">
        <v>1536</v>
      </c>
      <c r="N53" s="24" t="s">
        <v>50</v>
      </c>
    </row>
    <row r="54" spans="2:14" ht="15" customHeight="1">
      <c r="C54" s="197" t="s">
        <v>1537</v>
      </c>
      <c r="D54" s="197"/>
      <c r="E54" s="197"/>
      <c r="F54" s="971"/>
      <c r="G54" s="972"/>
    </row>
    <row r="55" spans="2:14" ht="15" customHeight="1">
      <c r="C55" s="197" t="s">
        <v>1538</v>
      </c>
      <c r="D55" s="197"/>
      <c r="E55" s="197"/>
      <c r="F55" s="969">
        <f ca="1">IFERROR(INDEX(INDIRECT(VLOOKUP($N55,Source_Master,2,0),),MATCH(TEXT($M55,0),INDIRECT(VLOOKUP($N55,Source_Master,4,0)),0),MATCH(F$1,INDIRECT(VLOOKUP($N55,Source_Master,3,0),),0)),0)</f>
        <v>0</v>
      </c>
      <c r="G55" s="970">
        <f ca="1">IFERROR(INDEX(INDIRECT(VLOOKUP($N55,Source_Master,2,0),),MATCH(TEXT($M55,0),INDIRECT(VLOOKUP($N55,Source_Master,4,0)),0),MATCH(G$1,INDIRECT(VLOOKUP($N55,Source_Master,3,0),),0)),0)</f>
        <v>0</v>
      </c>
      <c r="M55" s="15" t="s">
        <v>1539</v>
      </c>
      <c r="N55" s="24" t="s">
        <v>50</v>
      </c>
    </row>
    <row r="56" spans="2:14" ht="15" customHeight="1">
      <c r="C56" s="197" t="s">
        <v>1540</v>
      </c>
      <c r="D56" s="197"/>
      <c r="E56" s="197"/>
      <c r="F56" s="971"/>
      <c r="G56" s="972"/>
      <c r="I56" s="1529"/>
      <c r="J56" s="1529"/>
      <c r="K56" s="1529"/>
    </row>
    <row r="57" spans="2:14" ht="15" customHeight="1">
      <c r="C57" s="1347" t="s">
        <v>1541</v>
      </c>
      <c r="D57" s="1347"/>
      <c r="E57" s="1347"/>
      <c r="F57" s="971"/>
      <c r="G57" s="972"/>
      <c r="I57" s="1529"/>
      <c r="J57" s="1529"/>
      <c r="K57" s="1529"/>
    </row>
    <row r="58" spans="2:14" ht="15" customHeight="1">
      <c r="C58" s="451" t="s">
        <v>1512</v>
      </c>
      <c r="D58" s="202"/>
      <c r="E58" s="202"/>
      <c r="F58" s="896">
        <f ca="1">SUM(F44:F57)</f>
        <v>0</v>
      </c>
      <c r="G58" s="897">
        <f ca="1">SUM(G44:G57)</f>
        <v>0</v>
      </c>
      <c r="I58" s="1582"/>
      <c r="J58" s="1583"/>
      <c r="K58" s="1529"/>
      <c r="M58" s="15" t="s">
        <v>1523</v>
      </c>
      <c r="N58" s="24" t="s">
        <v>50</v>
      </c>
    </row>
    <row r="59" spans="2:14" ht="7.5" customHeight="1">
      <c r="I59" s="1529"/>
      <c r="J59" s="1529"/>
      <c r="K59" s="1529"/>
    </row>
    <row r="60" spans="2:14">
      <c r="C60" s="25" t="s">
        <v>1507</v>
      </c>
      <c r="I60" s="1529"/>
      <c r="J60" s="1529"/>
      <c r="K60" s="1529"/>
    </row>
    <row r="61" spans="2:14" ht="79.5" customHeight="1">
      <c r="C61" s="1305" t="s">
        <v>1542</v>
      </c>
      <c r="D61" s="1378"/>
      <c r="E61" s="1378"/>
      <c r="F61" s="1378"/>
      <c r="G61" s="1378"/>
      <c r="I61" s="1529"/>
      <c r="J61" s="1529"/>
      <c r="K61" s="1529"/>
    </row>
    <row r="62" spans="2:14" ht="11.25" customHeight="1">
      <c r="C62" s="1244"/>
      <c r="D62" s="1264"/>
      <c r="E62" s="1264"/>
      <c r="F62" s="1264"/>
      <c r="G62" s="1264"/>
    </row>
    <row r="63" spans="2:14">
      <c r="B63" s="1134">
        <f>NTA!F72</f>
        <v>26.400000000000006</v>
      </c>
      <c r="C63" s="1134" t="str">
        <f>NTA!C72</f>
        <v>Capital redemption reserve</v>
      </c>
      <c r="G63" s="1172" t="str">
        <f>+'Master Sheet'!$C$65</f>
        <v>(Amount in INR)</v>
      </c>
    </row>
    <row r="64" spans="2:14">
      <c r="C64" s="1313" t="s">
        <v>500</v>
      </c>
      <c r="D64" s="1313"/>
      <c r="E64" s="1313"/>
      <c r="F64" s="1181" t="e">
        <f ca="1">BS_CY</f>
        <v>#NAME?</v>
      </c>
      <c r="G64" s="1182" t="e">
        <f ca="1">BS_PY</f>
        <v>#NAME?</v>
      </c>
    </row>
    <row r="65" spans="2:14" ht="15" customHeight="1">
      <c r="C65" s="197" t="s">
        <v>1510</v>
      </c>
      <c r="D65" s="197"/>
      <c r="E65" s="197"/>
      <c r="F65" s="892">
        <f ca="1">IFERROR(INDEX(INDIRECT(VLOOKUP($N65,Source_Master,2,0),),MATCH(TEXT($M65,0),INDIRECT(VLOOKUP($N65,Source_Master,4,0)),0),MATCH(G$1,INDIRECT(VLOOKUP($N65,Source_Master,3,0),),0)),0)</f>
        <v>0</v>
      </c>
      <c r="G65" s="893">
        <f ca="1">IFERROR(INDEX(INDIRECT(VLOOKUP($N65,Source_Master,2,0),),MATCH(TEXT($M65,0),INDIRECT(VLOOKUP($N65,Source_Master,4,0)),0),MATCH(H$1,INDIRECT(VLOOKUP($N65,Source_Master,3,0),),0)),0)</f>
        <v>0</v>
      </c>
      <c r="M65" s="271" t="s">
        <v>1543</v>
      </c>
      <c r="N65" s="24" t="s">
        <v>50</v>
      </c>
    </row>
    <row r="66" spans="2:14" ht="15" customHeight="1">
      <c r="C66" s="197" t="s">
        <v>906</v>
      </c>
      <c r="D66" s="197"/>
      <c r="E66" s="197"/>
      <c r="F66" s="894">
        <f ca="1">F67-F65</f>
        <v>0</v>
      </c>
      <c r="G66" s="895">
        <f ca="1">G67-G65</f>
        <v>0</v>
      </c>
    </row>
    <row r="67" spans="2:14" ht="15" customHeight="1">
      <c r="C67" s="451" t="s">
        <v>1512</v>
      </c>
      <c r="D67" s="202"/>
      <c r="E67" s="202"/>
      <c r="F67" s="896">
        <f ca="1">IFERROR(INDEX(INDIRECT(VLOOKUP($N65,Source_Master,2,0),),MATCH(TEXT($M65,0),INDIRECT(VLOOKUP($N65,Source_Master,4,0)),0),MATCH(F$1,INDIRECT(VLOOKUP($N65,Source_Master,3,0),),0)),0)</f>
        <v>0</v>
      </c>
      <c r="G67" s="897">
        <f ca="1">IFERROR(INDEX(INDIRECT(VLOOKUP($N65,Source_Master,2,0),),MATCH(TEXT($M65,0),INDIRECT(VLOOKUP($N65,Source_Master,4,0)),0),MATCH(G$1,INDIRECT(VLOOKUP($N65,Source_Master,3,0),),0)),0)</f>
        <v>0</v>
      </c>
    </row>
    <row r="69" spans="2:14">
      <c r="B69" s="1134">
        <f>NTA!F73</f>
        <v>26.500000000000007</v>
      </c>
      <c r="C69" s="1134" t="str">
        <f>NTA!C73</f>
        <v>ESOP Reserve</v>
      </c>
      <c r="G69" s="1172" t="str">
        <f>+'Master Sheet'!$C$65</f>
        <v>(Amount in INR)</v>
      </c>
    </row>
    <row r="70" spans="2:14">
      <c r="C70" s="1313" t="s">
        <v>500</v>
      </c>
      <c r="D70" s="1313"/>
      <c r="E70" s="1313"/>
      <c r="F70" s="1181" t="e">
        <f ca="1">BS_CY</f>
        <v>#NAME?</v>
      </c>
      <c r="G70" s="1182" t="e">
        <f ca="1">BS_PY</f>
        <v>#NAME?</v>
      </c>
    </row>
    <row r="71" spans="2:14" ht="15" customHeight="1">
      <c r="C71" s="197" t="s">
        <v>1510</v>
      </c>
      <c r="D71" s="197"/>
      <c r="E71" s="197"/>
      <c r="F71" s="892">
        <f ca="1">IFERROR(INDEX(INDIRECT(VLOOKUP($N71,Source_Master,2,0),),MATCH(TEXT($M71,0),INDIRECT(VLOOKUP($N71,Source_Master,4,0)),0),MATCH(G$1,INDIRECT(VLOOKUP($N71,Source_Master,3,0),),0)),0)</f>
        <v>0</v>
      </c>
      <c r="G71" s="893">
        <f ca="1">IFERROR(INDEX(INDIRECT(VLOOKUP($N71,Source_Master,2,0),),MATCH(TEXT($M71,0),INDIRECT(VLOOKUP($N71,Source_Master,4,0)),0),MATCH(H$1,INDIRECT(VLOOKUP($N71,Source_Master,3,0),),0)),0)</f>
        <v>0</v>
      </c>
      <c r="M71" s="271" t="s">
        <v>1544</v>
      </c>
      <c r="N71" s="24" t="s">
        <v>50</v>
      </c>
    </row>
    <row r="72" spans="2:14" ht="15" customHeight="1">
      <c r="C72" s="197" t="s">
        <v>906</v>
      </c>
      <c r="D72" s="197"/>
      <c r="E72" s="197"/>
      <c r="F72" s="894">
        <f ca="1">F73-F71</f>
        <v>0</v>
      </c>
      <c r="G72" s="895">
        <f ca="1">G73-G71</f>
        <v>0</v>
      </c>
    </row>
    <row r="73" spans="2:14" ht="15" customHeight="1">
      <c r="C73" s="451" t="s">
        <v>1512</v>
      </c>
      <c r="D73" s="202"/>
      <c r="E73" s="202"/>
      <c r="F73" s="896">
        <f ca="1">IFERROR(INDEX(INDIRECT(VLOOKUP($N71,Source_Master,2,0),),MATCH(TEXT($M71,0),INDIRECT(VLOOKUP($N71,Source_Master,4,0)),0),MATCH(F$1,INDIRECT(VLOOKUP($N71,Source_Master,3,0),),0)),0)</f>
        <v>0</v>
      </c>
      <c r="G73" s="897">
        <f ca="1">IFERROR(INDEX(INDIRECT(VLOOKUP($N71,Source_Master,2,0),),MATCH(TEXT($M71,0),INDIRECT(VLOOKUP($N71,Source_Master,4,0)),0),MATCH(G$1,INDIRECT(VLOOKUP($N71,Source_Master,3,0),),0)),0)</f>
        <v>0</v>
      </c>
    </row>
    <row r="74" spans="2:14" ht="13.5" customHeight="1"/>
    <row r="75" spans="2:14">
      <c r="B75" s="1134">
        <f>NTA!F74</f>
        <v>26.600000000000009</v>
      </c>
      <c r="C75" s="1134" t="str">
        <f>NTA!C74</f>
        <v>Capital reserve</v>
      </c>
      <c r="G75" s="1172" t="str">
        <f>+'Master Sheet'!$C$65</f>
        <v>(Amount in INR)</v>
      </c>
    </row>
    <row r="76" spans="2:14">
      <c r="C76" s="1313" t="s">
        <v>500</v>
      </c>
      <c r="D76" s="1313"/>
      <c r="E76" s="1313"/>
      <c r="F76" s="1181" t="e">
        <f ca="1">BS_CY</f>
        <v>#NAME?</v>
      </c>
      <c r="G76" s="1182" t="e">
        <f ca="1">BS_PY</f>
        <v>#NAME?</v>
      </c>
    </row>
    <row r="77" spans="2:14" ht="15" customHeight="1">
      <c r="C77" s="197" t="s">
        <v>1510</v>
      </c>
      <c r="D77" s="197"/>
      <c r="E77" s="197"/>
      <c r="F77" s="892">
        <f ca="1">IFERROR(INDEX(INDIRECT(VLOOKUP($N77,Source_Master,2,0),),MATCH(TEXT($M77,0),INDIRECT(VLOOKUP($N77,Source_Master,4,0)),0),MATCH(G$1,INDIRECT(VLOOKUP($N77,Source_Master,3,0),),0)),0)</f>
        <v>0</v>
      </c>
      <c r="G77" s="893">
        <f ca="1">IFERROR(INDEX(INDIRECT(VLOOKUP($N77,Source_Master,2,0),),MATCH(TEXT($M77,0),INDIRECT(VLOOKUP($N77,Source_Master,4,0)),0),MATCH(H$1,INDIRECT(VLOOKUP($N77,Source_Master,3,0),),0)),0)</f>
        <v>0</v>
      </c>
      <c r="M77" s="271" t="s">
        <v>1545</v>
      </c>
      <c r="N77" s="24" t="s">
        <v>50</v>
      </c>
    </row>
    <row r="78" spans="2:14" ht="15" customHeight="1">
      <c r="C78" s="197" t="s">
        <v>906</v>
      </c>
      <c r="D78" s="197"/>
      <c r="E78" s="197"/>
      <c r="F78" s="894">
        <f ca="1">F79-F77</f>
        <v>0</v>
      </c>
      <c r="G78" s="895">
        <f ca="1">G79-G77</f>
        <v>0</v>
      </c>
    </row>
    <row r="79" spans="2:14" ht="15" customHeight="1">
      <c r="C79" s="451" t="s">
        <v>1512</v>
      </c>
      <c r="D79" s="202"/>
      <c r="E79" s="202"/>
      <c r="F79" s="896">
        <f ca="1">IFERROR(INDEX(INDIRECT(VLOOKUP($N77,Source_Master,2,0),),MATCH(TEXT($M77,0),INDIRECT(VLOOKUP($N77,Source_Master,4,0)),0),MATCH(F$1,INDIRECT(VLOOKUP($N77,Source_Master,3,0),),0)),0)</f>
        <v>0</v>
      </c>
      <c r="G79" s="897">
        <f ca="1">IFERROR(INDEX(INDIRECT(VLOOKUP($N77,Source_Master,2,0),),MATCH(TEXT($M77,0),INDIRECT(VLOOKUP($N77,Source_Master,4,0)),0),MATCH(G$1,INDIRECT(VLOOKUP($N77,Source_Master,3,0),),0)),0)</f>
        <v>0</v>
      </c>
    </row>
    <row r="80" spans="2:14" ht="8.25" customHeight="1"/>
    <row r="81" spans="1:14">
      <c r="C81" s="25" t="s">
        <v>1507</v>
      </c>
    </row>
    <row r="82" spans="1:14" ht="27" customHeight="1">
      <c r="C82" s="1305" t="s">
        <v>1546</v>
      </c>
      <c r="D82" s="1378"/>
      <c r="E82" s="1378"/>
      <c r="F82" s="1378"/>
      <c r="G82" s="1378"/>
    </row>
    <row r="83" spans="1:14">
      <c r="C83" s="1244"/>
      <c r="D83" s="1264"/>
      <c r="E83" s="1264"/>
      <c r="F83" s="1264"/>
      <c r="G83" s="1264"/>
    </row>
    <row r="84" spans="1:14">
      <c r="B84" s="1134">
        <f>NTA!F75</f>
        <v>26.70000000000001</v>
      </c>
      <c r="C84" s="1134" t="str">
        <f>NTA!C75</f>
        <v>Exchange Difference on Translation of Foreign Subsidiary</v>
      </c>
      <c r="G84" s="1172" t="str">
        <f>+'Master Sheet'!$C$65</f>
        <v>(Amount in INR)</v>
      </c>
    </row>
    <row r="85" spans="1:14">
      <c r="C85" s="1313" t="s">
        <v>500</v>
      </c>
      <c r="D85" s="1313"/>
      <c r="E85" s="1313"/>
      <c r="F85" s="1181" t="e">
        <f ca="1">BS_CY</f>
        <v>#NAME?</v>
      </c>
      <c r="G85" s="1182" t="e">
        <f ca="1">BS_PY</f>
        <v>#NAME?</v>
      </c>
    </row>
    <row r="86" spans="1:14" ht="15" customHeight="1">
      <c r="C86" s="197" t="s">
        <v>1510</v>
      </c>
      <c r="D86" s="197"/>
      <c r="E86" s="197"/>
      <c r="F86" s="892">
        <f ca="1">IFERROR(INDEX(INDIRECT(VLOOKUP($N86,Source_Master,2,0),),MATCH(TEXT($M86,0),INDIRECT(VLOOKUP($N86,Source_Master,4,0)),0),MATCH(F$1,INDIRECT(VLOOKUP($N86,Source_Master,3,0),),0)),0)</f>
        <v>0</v>
      </c>
      <c r="G86" s="893">
        <f ca="1">IFERROR(INDEX(INDIRECT(VLOOKUP($N86,Source_Master,2,0),),MATCH(TEXT($M86,0),INDIRECT(VLOOKUP($N86,Source_Master,4,0)),0),MATCH(G$1,INDIRECT(VLOOKUP($N86,Source_Master,3,0),),0)),0)</f>
        <v>0</v>
      </c>
      <c r="M86" s="271" t="s">
        <v>1547</v>
      </c>
      <c r="N86" s="24" t="s">
        <v>50</v>
      </c>
    </row>
    <row r="87" spans="1:14" ht="15" customHeight="1">
      <c r="C87" s="197" t="s">
        <v>1548</v>
      </c>
      <c r="D87" s="197"/>
      <c r="E87" s="197"/>
      <c r="F87" s="892">
        <f ca="1">IFERROR(INDEX(INDIRECT(VLOOKUP($N87,Source_Master,2,0),),MATCH(TEXT($M87,0),INDIRECT(VLOOKUP($N87,Source_Master,4,0)),0),MATCH(F$1,INDIRECT(VLOOKUP($N87,Source_Master,3,0),),0)),0)</f>
        <v>0</v>
      </c>
      <c r="G87" s="893">
        <f ca="1">IFERROR(INDEX(INDIRECT(VLOOKUP($N87,Source_Master,2,0),),MATCH(TEXT($M87,0),INDIRECT(VLOOKUP($N87,Source_Master,4,0)),0),MATCH(G$1,INDIRECT(VLOOKUP($N87,Source_Master,3,0),),0)),0)</f>
        <v>0</v>
      </c>
      <c r="M87" s="271" t="s">
        <v>596</v>
      </c>
      <c r="N87" s="24" t="s">
        <v>50</v>
      </c>
    </row>
    <row r="88" spans="1:14" ht="15" customHeight="1">
      <c r="C88" s="451" t="s">
        <v>1512</v>
      </c>
      <c r="D88" s="202"/>
      <c r="E88" s="202"/>
      <c r="F88" s="896">
        <f ca="1">SUM(F86:F87)</f>
        <v>0</v>
      </c>
      <c r="G88" s="897">
        <f ca="1">SUM(G86:G87)</f>
        <v>0</v>
      </c>
    </row>
    <row r="89" spans="1:14" ht="15" customHeight="1">
      <c r="C89" s="1584"/>
      <c r="D89" s="1529"/>
      <c r="E89" s="1529"/>
      <c r="F89" s="1570"/>
      <c r="G89" s="1570"/>
    </row>
    <row r="90" spans="1:14" ht="15" customHeight="1">
      <c r="A90" s="1122">
        <f>NTA!F76</f>
        <v>27</v>
      </c>
      <c r="B90" s="1149" t="str">
        <f>NTA!C76</f>
        <v>Non Controlling interest</v>
      </c>
      <c r="G90" s="1172" t="str">
        <f>+'Master Sheet'!$C$65</f>
        <v>(Amount in INR)</v>
      </c>
    </row>
    <row r="91" spans="1:14" ht="27" customHeight="1">
      <c r="B91" s="1374" t="s">
        <v>500</v>
      </c>
      <c r="C91" s="1374"/>
      <c r="D91" s="1374"/>
      <c r="E91" s="1375"/>
      <c r="F91" s="1173" t="e">
        <f ca="1">BS_CY</f>
        <v>#NAME?</v>
      </c>
      <c r="G91" s="1174" t="e">
        <f ca="1">BS_PY</f>
        <v>#NAME?</v>
      </c>
    </row>
    <row r="92" spans="1:14" ht="15" customHeight="1">
      <c r="B92" s="633" t="s">
        <v>1549</v>
      </c>
      <c r="C92" s="633"/>
      <c r="D92" s="629"/>
      <c r="E92" s="629"/>
      <c r="F92" s="892">
        <f t="shared" ref="F92:F97" ca="1" si="1">IFERROR(INDEX(INDIRECT(VLOOKUP($N92,Source_Master,2,0),),MATCH(TEXT($M92,0),INDIRECT(VLOOKUP($N92,Source_Master,4,0)),0),MATCH(F$1,INDIRECT(VLOOKUP($N92,Source_Master,3,0),),0)),0)</f>
        <v>0</v>
      </c>
      <c r="G92" s="893">
        <f t="shared" ref="G92:G97" ca="1" si="2">IFERROR(INDEX(INDIRECT(VLOOKUP($N92,Source_Master,2,0),),MATCH(TEXT($M92,0),INDIRECT(VLOOKUP($N92,Source_Master,4,0)),0),MATCH(G$1,INDIRECT(VLOOKUP($N92,Source_Master,3,0),),0)),0)</f>
        <v>0</v>
      </c>
      <c r="M92" s="271">
        <v>13100380</v>
      </c>
      <c r="N92" s="24" t="s">
        <v>6</v>
      </c>
    </row>
    <row r="93" spans="1:14" ht="15" customHeight="1">
      <c r="B93" s="631" t="s">
        <v>1550</v>
      </c>
      <c r="C93" s="631"/>
      <c r="D93" s="622"/>
      <c r="E93" s="622"/>
      <c r="F93" s="892">
        <f t="shared" ca="1" si="1"/>
        <v>0</v>
      </c>
      <c r="G93" s="893">
        <f t="shared" ca="1" si="2"/>
        <v>0</v>
      </c>
      <c r="M93" s="271">
        <v>13100377</v>
      </c>
      <c r="N93" s="24" t="s">
        <v>6</v>
      </c>
    </row>
    <row r="94" spans="1:14" ht="15" customHeight="1">
      <c r="B94" s="631" t="s">
        <v>1551</v>
      </c>
      <c r="C94" s="631"/>
      <c r="D94" s="622"/>
      <c r="E94" s="622"/>
      <c r="F94" s="892">
        <f t="shared" ca="1" si="1"/>
        <v>0</v>
      </c>
      <c r="G94" s="893">
        <f t="shared" ca="1" si="2"/>
        <v>0</v>
      </c>
      <c r="M94" s="271">
        <v>13100375</v>
      </c>
      <c r="N94" s="24" t="s">
        <v>6</v>
      </c>
    </row>
    <row r="95" spans="1:14" ht="15" customHeight="1">
      <c r="B95" s="631" t="s">
        <v>595</v>
      </c>
      <c r="C95" s="631"/>
      <c r="D95" s="622"/>
      <c r="E95" s="622"/>
      <c r="F95" s="892">
        <f t="shared" ca="1" si="1"/>
        <v>0</v>
      </c>
      <c r="G95" s="893">
        <f t="shared" ca="1" si="2"/>
        <v>0</v>
      </c>
      <c r="M95" s="271">
        <v>13100378</v>
      </c>
      <c r="N95" s="24" t="s">
        <v>6</v>
      </c>
    </row>
    <row r="96" spans="1:14" ht="15" customHeight="1">
      <c r="B96" s="631" t="s">
        <v>306</v>
      </c>
      <c r="C96" s="631"/>
      <c r="D96" s="622"/>
      <c r="E96" s="622"/>
      <c r="F96" s="892">
        <f t="shared" ca="1" si="1"/>
        <v>0</v>
      </c>
      <c r="G96" s="893">
        <f t="shared" ca="1" si="2"/>
        <v>0</v>
      </c>
      <c r="M96" s="271">
        <v>13100379</v>
      </c>
      <c r="N96" s="24" t="s">
        <v>6</v>
      </c>
    </row>
    <row r="97" spans="2:14" ht="15" customHeight="1">
      <c r="B97" s="631" t="s">
        <v>598</v>
      </c>
      <c r="C97" s="631"/>
      <c r="D97" s="622"/>
      <c r="E97" s="622"/>
      <c r="F97" s="892">
        <f t="shared" ca="1" si="1"/>
        <v>0</v>
      </c>
      <c r="G97" s="893">
        <f t="shared" ca="1" si="2"/>
        <v>0</v>
      </c>
      <c r="M97" s="271"/>
      <c r="N97" s="24" t="s">
        <v>6</v>
      </c>
    </row>
    <row r="98" spans="2:14" ht="15" customHeight="1">
      <c r="B98" s="631"/>
      <c r="C98" s="631"/>
      <c r="D98" s="622"/>
      <c r="E98" s="622"/>
      <c r="F98" s="454"/>
      <c r="G98" s="479"/>
    </row>
    <row r="99" spans="2:14" ht="15" customHeight="1">
      <c r="B99" s="634" t="s">
        <v>1552</v>
      </c>
      <c r="C99" s="634"/>
      <c r="D99" s="622"/>
      <c r="E99" s="622"/>
      <c r="F99" s="896">
        <f ca="1">IFERROR(INDEX(INDIRECT(VLOOKUP($N99,Source_Master,2,0),),MATCH(TEXT($M99,0),INDIRECT(VLOOKUP($N99,Source_Master,4,0)),0),MATCH(F$1,INDIRECT(VLOOKUP($N99,Source_Master,3,0),),0)),0)</f>
        <v>0</v>
      </c>
      <c r="G99" s="897">
        <f ca="1">IFERROR(INDEX(INDIRECT(VLOOKUP($N99,Source_Master,2,0),),MATCH(TEXT($M99,0),INDIRECT(VLOOKUP($N99,Source_Master,4,0)),0),MATCH(G$1,INDIRECT(VLOOKUP($N99,Source_Master,3,0),),0)),0)</f>
        <v>0</v>
      </c>
      <c r="I99" s="638">
        <f ca="1">IFERROR(INDEX(INDIRECT(VLOOKUP($N99,Source_Master,2,0),),MATCH(TEXT($M99,0),INDIRECT(VLOOKUP($N99,Source_Master,4,0)),0),MATCH(I$1,INDIRECT(VLOOKUP($N99,Source_Master,3,0),),0)),0)</f>
        <v>0</v>
      </c>
      <c r="M99" s="15" t="s">
        <v>526</v>
      </c>
      <c r="N99" s="24" t="s">
        <v>50</v>
      </c>
    </row>
    <row r="101" spans="2:14" hidden="1"/>
    <row r="102" spans="2:14" hidden="1">
      <c r="G102" s="1183">
        <f ca="1">G88-F86</f>
        <v>0</v>
      </c>
    </row>
    <row r="103" spans="2:14" hidden="1"/>
  </sheetData>
  <sheetProtection algorithmName="SHA-512" hashValue="dqKPvFqPRWopYyd2X/hkYFL77DoqottKianxpKylkPjWBPv1Becl1ioQitblIvVgXW6FixYVDaIw1yKZWoazrw==" saltValue="0mi8IR/xlJ52TCa8iKNHAg==" spinCount="100000" sheet="1" objects="1" scenarios="1"/>
  <mergeCells count="15">
    <mergeCell ref="B91:E91"/>
    <mergeCell ref="B8:D8"/>
    <mergeCell ref="B20:E20"/>
    <mergeCell ref="C85:E85"/>
    <mergeCell ref="C23:E23"/>
    <mergeCell ref="C28:G28"/>
    <mergeCell ref="C31:E31"/>
    <mergeCell ref="C40:G40"/>
    <mergeCell ref="C43:E43"/>
    <mergeCell ref="C57:E57"/>
    <mergeCell ref="C61:G61"/>
    <mergeCell ref="C64:E64"/>
    <mergeCell ref="C70:E70"/>
    <mergeCell ref="C76:E76"/>
    <mergeCell ref="C82:G82"/>
  </mergeCells>
  <pageMargins left="0.70866141732283472" right="0.70866141732283472" top="0.74803149606299213" bottom="0.74803149606299213" header="0.31496062992125984" footer="0.31496062992125984"/>
  <pageSetup scale="61" fitToHeight="0" orientation="portrait" r:id="rId1"/>
  <rowBreaks count="1" manualBreakCount="1">
    <brk id="53" max="7" man="1"/>
  </row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C28E19-AB7F-4D46-B64D-C2BA8692EA91}">
          <x14:formula1>
            <xm:f>'Master Sheet'!$C$37:$C$41</xm:f>
          </x14:formula1>
          <xm:sqref>N24 N92:N97 N32 N65 N71 N77 N86:N87 N44 N53 N55 N48:N51 N58 N99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3AB40-8C71-4CC0-905B-79CE9993BC23}">
  <sheetPr codeName="Sheet26">
    <tabColor theme="5" tint="0.59999389629810485"/>
    <pageSetUpPr fitToPage="1"/>
  </sheetPr>
  <dimension ref="A1:Q71"/>
  <sheetViews>
    <sheetView showGridLines="0" view="pageBreakPreview" zoomScaleNormal="100" zoomScaleSheetLayoutView="100" workbookViewId="0">
      <pane ySplit="3" topLeftCell="A4" activePane="bottomLeft" state="frozen"/>
      <selection pane="bottomLeft" activeCell="X30" sqref="X30"/>
    </sheetView>
  </sheetViews>
  <sheetFormatPr defaultColWidth="8.85546875" defaultRowHeight="13.15" outlineLevelRow="1" outlineLevelCol="1"/>
  <cols>
    <col min="1" max="1" customWidth="true" style="2" width="3.7109375"/>
    <col min="2" max="2" style="2" width="8.85546875"/>
    <col min="3" max="3" customWidth="true" style="2" width="42.42578125"/>
    <col min="4" max="4" customWidth="true" style="2" width="18.7109375"/>
    <col min="5" max="5" customWidth="true" style="2" width="16.42578125"/>
    <col min="6" max="6" customWidth="true" style="2" width="17.7109375"/>
    <col min="7" max="7" customWidth="true" style="2" width="15.28515625"/>
    <col min="8" max="8" bestFit="true" customWidth="true" style="2" width="21.5703125"/>
    <col min="9" max="9" customWidth="true" style="2" width="19.42578125"/>
    <col min="10" max="10" bestFit="true" customWidth="true" style="2" width="22.0"/>
    <col min="11" max="11" customWidth="true" hidden="true" style="2" width="12.7109375"/>
    <col min="12" max="12" customWidth="true" hidden="true" style="2" width="21.0"/>
    <col min="13" max="14" customWidth="true" hidden="true" style="2" width="0.0"/>
    <col min="15" max="16" customWidth="true" hidden="true" style="2" width="12.5703125" outlineLevel="1"/>
    <col min="17" max="20" customWidth="true" hidden="true" style="2" width="9.28515625" outlineLevel="1"/>
    <col min="21" max="21" customWidth="true" hidden="true" style="2" width="0.0" collapsed="true"/>
    <col min="22" max="22" customWidth="true" hidden="true" style="2" width="0.0"/>
    <col min="23" max="16384" style="2" width="8.85546875"/>
  </cols>
  <sheetData>
    <row r="1" spans="1:17" hidden="1" outlineLevel="1">
      <c r="H1" s="1148" t="str">
        <f>BS!C1</f>
        <v>7756|001|INR|Actual|Standalone</v>
      </c>
      <c r="I1" s="1148" t="str">
        <f>BS!D1</f>
        <v>7756|002|INR|Actual|Standalone</v>
      </c>
      <c r="M1" s="2" t="s">
        <v>492</v>
      </c>
    </row>
    <row r="2" spans="1:17" hidden="1" outlineLevel="1"/>
    <row r="3" spans="1:17" hidden="1" outlineLevel="1"/>
    <row r="4" spans="1:17" ht="17.45" collapsed="1">
      <c r="A4" s="1077" t="e">
        <f ca="1">Company</f>
        <v>#NAME?</v>
      </c>
    </row>
    <row r="5" spans="1:17" ht="15.6">
      <c r="A5" s="1078" t="e">
        <f ca="1">Note_Head</f>
        <v>#NAME?</v>
      </c>
    </row>
    <row r="8" spans="1:17">
      <c r="A8" s="1149">
        <f>NTA!F81</f>
        <v>28</v>
      </c>
      <c r="B8" s="1149" t="str">
        <f>NTA!C81&amp;" (Non-Current)"</f>
        <v>Borrowings (Non-Current)</v>
      </c>
      <c r="C8" s="20"/>
      <c r="D8" s="20"/>
      <c r="E8" s="20"/>
      <c r="F8" s="20"/>
      <c r="G8" s="20"/>
      <c r="H8" s="20"/>
      <c r="I8" s="20"/>
      <c r="J8" s="1114" t="str">
        <f>+'Master Sheet'!$C$65</f>
        <v>(Amount in INR)</v>
      </c>
      <c r="K8" s="321"/>
    </row>
    <row r="9" spans="1:17" ht="13.9">
      <c r="A9" s="322"/>
      <c r="B9" s="1324" t="s">
        <v>500</v>
      </c>
      <c r="C9" s="1324"/>
      <c r="D9" s="1324"/>
      <c r="E9" s="1324"/>
      <c r="F9" s="1324"/>
      <c r="G9" s="898"/>
      <c r="H9" s="1150" t="e">
        <f ca="1">BS_CY</f>
        <v>#NAME?</v>
      </c>
      <c r="I9" s="899"/>
      <c r="J9" s="1151" t="e">
        <f ca="1">BS_PY</f>
        <v>#NAME?</v>
      </c>
      <c r="K9" s="46"/>
    </row>
    <row r="10" spans="1:17">
      <c r="A10" s="46"/>
      <c r="B10" s="81" t="s">
        <v>1553</v>
      </c>
      <c r="C10" s="58"/>
      <c r="D10" s="58"/>
      <c r="E10" s="58"/>
      <c r="F10" s="58"/>
      <c r="G10" s="900"/>
      <c r="H10" s="324"/>
      <c r="I10" s="1574"/>
      <c r="J10" s="75"/>
      <c r="K10" s="1574"/>
    </row>
    <row r="11" spans="1:17" ht="15" customHeight="1">
      <c r="A11" s="46"/>
      <c r="B11" s="68" t="s">
        <v>1554</v>
      </c>
      <c r="C11" s="58"/>
      <c r="D11" s="58"/>
      <c r="E11" s="58"/>
      <c r="F11" s="58"/>
      <c r="G11" s="900"/>
      <c r="H11" s="86"/>
      <c r="I11" s="215"/>
      <c r="J11" s="79"/>
      <c r="K11" s="1574"/>
    </row>
    <row r="12" spans="1:17" ht="15" customHeight="1">
      <c r="A12" s="46"/>
      <c r="B12" s="1169" t="str">
        <f>"Term Loans from Banks (Refer Note ("&amp;B18&amp;") below)"</f>
        <v>Term Loans from Banks (Refer Note (28.1) below)</v>
      </c>
      <c r="C12" s="58"/>
      <c r="D12" s="58"/>
      <c r="E12" s="58"/>
      <c r="F12" s="58"/>
      <c r="G12" s="900"/>
      <c r="H12" s="129">
        <f t="shared" ref="H12:H15" ca="1" si="0">IFERROR(INDEX(INDIRECT(VLOOKUP($Q12,Source_Master,2,0),),MATCH(TEXT($O12,0),INDIRECT(VLOOKUP($Q12,Source_Master,4,0)),0),MATCH(H$1,INDIRECT(VLOOKUP($Q12,Source_Master,3,0),),0)),0)</f>
        <v>0</v>
      </c>
      <c r="I12" s="215"/>
      <c r="J12" s="62">
        <f t="shared" ref="J12" ca="1" si="1">IFERROR(INDEX(INDIRECT(VLOOKUP($Q12,Source_Master,2,0),),MATCH(TEXT($O12,0),INDIRECT(VLOOKUP($Q12,Source_Master,4,0)),0),MATCH(I$1,INDIRECT(VLOOKUP($Q12,Source_Master,3,0),),0)),0)</f>
        <v>0</v>
      </c>
      <c r="K12" s="1574"/>
      <c r="M12" s="2" t="str">
        <f ca="1">IF(AND(H12=0,J12=0),"##H","")</f>
        <v>##H</v>
      </c>
      <c r="O12" s="24" t="s">
        <v>1555</v>
      </c>
      <c r="Q12" s="24" t="s">
        <v>50</v>
      </c>
    </row>
    <row r="13" spans="1:17" ht="15" customHeight="1">
      <c r="A13" s="46"/>
      <c r="B13" s="1169" t="str">
        <f>"Term Loans from Related Party (Refer note ("&amp;B46&amp;") below)"</f>
        <v>Term Loans from Related Party (Refer note (28.2) below)</v>
      </c>
      <c r="C13" s="58"/>
      <c r="D13" s="58"/>
      <c r="E13" s="58"/>
      <c r="F13" s="58"/>
      <c r="G13" s="900"/>
      <c r="H13" s="129">
        <f t="shared" ca="1" si="0"/>
        <v>0</v>
      </c>
      <c r="I13" s="215"/>
      <c r="J13" s="62">
        <f t="shared" ref="J13:J15" ca="1" si="2">IFERROR(INDEX(INDIRECT(VLOOKUP($Q13,Source_Master,2,0),),MATCH(TEXT($O13,0),INDIRECT(VLOOKUP($Q13,Source_Master,4,0)),0),MATCH(I$1,INDIRECT(VLOOKUP($Q13,Source_Master,3,0),),0)),0)</f>
        <v>0</v>
      </c>
      <c r="K13" s="1574"/>
      <c r="M13" s="2" t="str">
        <f t="shared" ref="M13:M16" ca="1" si="3">IF(AND(H13=0,J13=0),"##H","")</f>
        <v>##H</v>
      </c>
      <c r="O13" s="24" t="s">
        <v>1556</v>
      </c>
      <c r="Q13" s="24" t="s">
        <v>50</v>
      </c>
    </row>
    <row r="14" spans="1:17" ht="15" customHeight="1">
      <c r="A14" s="46"/>
      <c r="B14" s="68" t="s">
        <v>1557</v>
      </c>
      <c r="C14" s="200"/>
      <c r="D14" s="200"/>
      <c r="E14" s="200"/>
      <c r="F14" s="200"/>
      <c r="G14" s="900"/>
      <c r="H14" s="129">
        <f t="shared" ca="1" si="0"/>
        <v>0</v>
      </c>
      <c r="I14" s="215"/>
      <c r="J14" s="62">
        <f t="shared" ca="1" si="2"/>
        <v>0</v>
      </c>
      <c r="K14" s="1574"/>
      <c r="O14" s="24" t="s">
        <v>1558</v>
      </c>
      <c r="Q14" s="24" t="s">
        <v>50</v>
      </c>
    </row>
    <row r="15" spans="1:17" ht="15" customHeight="1">
      <c r="A15" s="46"/>
      <c r="B15" s="68" t="s">
        <v>1559</v>
      </c>
      <c r="C15" s="200"/>
      <c r="D15" s="200"/>
      <c r="E15" s="200"/>
      <c r="F15" s="200"/>
      <c r="G15" s="1585"/>
      <c r="H15" s="129">
        <f t="shared" ca="1" si="0"/>
        <v>0</v>
      </c>
      <c r="I15" s="215"/>
      <c r="J15" s="62">
        <f t="shared" ca="1" si="2"/>
        <v>0</v>
      </c>
      <c r="K15" s="1574"/>
      <c r="O15" s="24" t="s">
        <v>1560</v>
      </c>
      <c r="Q15" s="24" t="s">
        <v>50</v>
      </c>
    </row>
    <row r="16" spans="1:17" ht="17.25" customHeight="1">
      <c r="A16" s="46"/>
      <c r="B16" s="1250" t="s">
        <v>246</v>
      </c>
      <c r="C16" s="177"/>
      <c r="D16" s="177"/>
      <c r="E16" s="177"/>
      <c r="F16" s="177"/>
      <c r="G16" s="843"/>
      <c r="H16" s="1184">
        <f ca="1">SUM(H12:H15)</f>
        <v>0</v>
      </c>
      <c r="I16" s="901"/>
      <c r="J16" s="1185">
        <f ca="1">SUM(J12:J15)</f>
        <v>0</v>
      </c>
      <c r="K16" s="100"/>
      <c r="M16" s="2" t="str">
        <f t="shared" ca="1" si="3"/>
        <v>##H</v>
      </c>
      <c r="O16" s="24" t="s">
        <v>527</v>
      </c>
      <c r="Q16" s="24" t="s">
        <v>50</v>
      </c>
    </row>
    <row r="18" spans="2:17">
      <c r="B18" s="1122">
        <f>NTA!F82</f>
        <v>28.1</v>
      </c>
      <c r="C18" s="1134" t="str">
        <f>NTA!C82</f>
        <v>Details of Term Loan from Banks / Others - Secured</v>
      </c>
      <c r="K18" s="22" t="s">
        <v>969</v>
      </c>
      <c r="L18" s="22" t="s">
        <v>1168</v>
      </c>
      <c r="M18" s="22" t="s">
        <v>172</v>
      </c>
      <c r="N18" s="22" t="s">
        <v>170</v>
      </c>
    </row>
    <row r="19" spans="2:17" ht="7.5" customHeight="1">
      <c r="B19" s="25"/>
      <c r="C19" s="25"/>
    </row>
    <row r="20" spans="2:17">
      <c r="C20" s="1385" t="s">
        <v>1561</v>
      </c>
      <c r="D20" s="1386"/>
      <c r="E20" s="1386"/>
      <c r="F20" s="1386"/>
      <c r="G20" s="1386"/>
      <c r="H20" s="1386"/>
      <c r="I20" s="1386"/>
    </row>
    <row r="21" spans="2:17" ht="5.25" customHeight="1"/>
    <row r="22" spans="2:17" ht="21.75" customHeight="1">
      <c r="B22" s="1380" t="s">
        <v>1562</v>
      </c>
      <c r="C22" s="1381" t="s">
        <v>1563</v>
      </c>
      <c r="D22" s="1381" t="s">
        <v>1564</v>
      </c>
      <c r="E22" s="1382" t="s">
        <v>1565</v>
      </c>
      <c r="F22" s="1382"/>
      <c r="G22" s="1381" t="s">
        <v>1566</v>
      </c>
      <c r="H22" s="1381"/>
      <c r="I22" s="1379" t="e">
        <f ca="1">BS_CY</f>
        <v>#NAME?</v>
      </c>
      <c r="J22" s="1379" t="e">
        <f ca="1">BS_PY</f>
        <v>#NAME?</v>
      </c>
    </row>
    <row r="23" spans="2:17" ht="18.75" customHeight="1">
      <c r="B23" s="1380"/>
      <c r="C23" s="1381"/>
      <c r="D23" s="1381"/>
      <c r="E23" s="1186" t="e">
        <f ca="1">Current_Date</f>
        <v>#NAME?</v>
      </c>
      <c r="F23" s="1186" t="e">
        <f ca="1">Previous_Date</f>
        <v>#NAME?</v>
      </c>
      <c r="G23" s="1381"/>
      <c r="H23" s="1381"/>
      <c r="I23" s="1379"/>
      <c r="J23" s="1379"/>
    </row>
    <row r="24" spans="2:17" ht="18" customHeight="1">
      <c r="B24" s="422" t="s">
        <v>1567</v>
      </c>
      <c r="C24" s="421"/>
      <c r="D24" s="421"/>
      <c r="E24" s="421"/>
      <c r="F24" s="421"/>
      <c r="G24" s="421"/>
      <c r="H24" s="421"/>
      <c r="I24" s="436"/>
      <c r="J24" s="423"/>
    </row>
    <row r="25" spans="2:17" ht="15" customHeight="1">
      <c r="B25" s="1261">
        <v>1</v>
      </c>
      <c r="C25" s="430" t="s">
        <v>1568</v>
      </c>
      <c r="D25" s="431" t="s">
        <v>1569</v>
      </c>
      <c r="E25" s="1187">
        <f t="shared" ref="E25:F27" ca="1" si="4">IFERROR(INDEX(INDIRECT(VLOOKUP($Q25,Source_Master,2,0),),MATCH(TEXT($O25,0),INDIRECT(VLOOKUP($Q25,Source_Master,4,0)),0),MATCH(H$1,INDIRECT(VLOOKUP($Q25,Source_Master,3,0),),0)),0)</f>
        <v>0</v>
      </c>
      <c r="F25" s="1187">
        <f t="shared" ca="1" si="4"/>
        <v>0</v>
      </c>
      <c r="G25" s="1387" t="s">
        <v>1570</v>
      </c>
      <c r="H25" s="1388"/>
      <c r="I25" s="435">
        <f t="shared" ref="I25:J27" ca="1" si="5">IFERROR(INDEX(INDIRECT(VLOOKUP($Q25,Source_Master,2,0),),MATCH(TEXT($P25,0),INDIRECT(VLOOKUP($Q25,Source_Master,4,0)),0),MATCH(H$1,INDIRECT(VLOOKUP($Q25,Source_Master,3,0),),0)),0)</f>
        <v>0</v>
      </c>
      <c r="J25" s="427">
        <f t="shared" ca="1" si="5"/>
        <v>0</v>
      </c>
      <c r="M25" s="2" t="str">
        <f ca="1">IF(AND(I25=0,J25=0),"##H","")</f>
        <v>##H</v>
      </c>
      <c r="O25" s="2" t="s">
        <v>1571</v>
      </c>
      <c r="P25" s="2" t="s">
        <v>1572</v>
      </c>
      <c r="Q25" s="24" t="s">
        <v>51</v>
      </c>
    </row>
    <row r="26" spans="2:17" ht="15" customHeight="1">
      <c r="B26" s="1261">
        <v>2</v>
      </c>
      <c r="C26" s="430" t="s">
        <v>1573</v>
      </c>
      <c r="D26" s="431" t="s">
        <v>1569</v>
      </c>
      <c r="E26" s="1187">
        <f t="shared" ca="1" si="4"/>
        <v>0</v>
      </c>
      <c r="F26" s="1187">
        <f t="shared" ca="1" si="4"/>
        <v>0</v>
      </c>
      <c r="G26" s="1387" t="s">
        <v>1570</v>
      </c>
      <c r="H26" s="1388"/>
      <c r="I26" s="435">
        <f t="shared" ca="1" si="5"/>
        <v>0</v>
      </c>
      <c r="J26" s="427">
        <f t="shared" ca="1" si="5"/>
        <v>0</v>
      </c>
      <c r="M26" s="2" t="str">
        <f t="shared" ref="M26:M27" ca="1" si="6">IF(AND(I26=0,J26=0),"##H","")</f>
        <v>##H</v>
      </c>
      <c r="O26" s="2" t="s">
        <v>1574</v>
      </c>
      <c r="P26" s="2" t="s">
        <v>1575</v>
      </c>
      <c r="Q26" s="24" t="s">
        <v>51</v>
      </c>
    </row>
    <row r="27" spans="2:17" ht="15" customHeight="1">
      <c r="B27" s="1261">
        <v>3</v>
      </c>
      <c r="C27" s="430" t="s">
        <v>1576</v>
      </c>
      <c r="D27" s="431" t="s">
        <v>1569</v>
      </c>
      <c r="E27" s="1187">
        <f t="shared" ca="1" si="4"/>
        <v>0</v>
      </c>
      <c r="F27" s="1187">
        <f t="shared" ca="1" si="4"/>
        <v>0</v>
      </c>
      <c r="G27" s="1387" t="s">
        <v>1570</v>
      </c>
      <c r="H27" s="1388"/>
      <c r="I27" s="435">
        <f t="shared" ca="1" si="5"/>
        <v>0</v>
      </c>
      <c r="J27" s="427">
        <f t="shared" ca="1" si="5"/>
        <v>0</v>
      </c>
      <c r="M27" s="2" t="str">
        <f t="shared" ca="1" si="6"/>
        <v>##H</v>
      </c>
      <c r="O27" s="2" t="s">
        <v>1577</v>
      </c>
      <c r="P27" s="2" t="s">
        <v>1578</v>
      </c>
      <c r="Q27" s="24" t="s">
        <v>51</v>
      </c>
    </row>
    <row r="28" spans="2:17" ht="15" customHeight="1">
      <c r="B28" s="1262"/>
      <c r="C28" s="418"/>
      <c r="D28" s="418"/>
      <c r="E28" s="428"/>
      <c r="F28" s="429"/>
      <c r="G28" s="1383"/>
      <c r="H28" s="1384"/>
      <c r="I28" s="435">
        <f ca="1">SUM(I25:I27)</f>
        <v>0</v>
      </c>
      <c r="J28" s="427">
        <f ca="1">SUM(J25:J27)</f>
        <v>0</v>
      </c>
    </row>
    <row r="29" spans="2:17" ht="15" customHeight="1">
      <c r="B29" s="1262"/>
      <c r="C29" s="418"/>
      <c r="D29" s="420"/>
      <c r="E29" s="428"/>
      <c r="F29" s="429"/>
      <c r="G29" s="1383"/>
      <c r="H29" s="1384"/>
      <c r="I29" s="433"/>
      <c r="J29" s="424"/>
    </row>
    <row r="30" spans="2:17" ht="15" customHeight="1">
      <c r="B30" s="425"/>
      <c r="C30" s="420" t="s">
        <v>1579</v>
      </c>
      <c r="D30" s="420"/>
      <c r="E30" s="428"/>
      <c r="F30" s="429"/>
      <c r="G30" s="1383"/>
      <c r="H30" s="1384"/>
      <c r="I30" s="434">
        <f ca="1">I28</f>
        <v>0</v>
      </c>
      <c r="J30" s="426">
        <f ca="1">J28</f>
        <v>0</v>
      </c>
      <c r="M30" s="2" t="str">
        <f t="shared" ref="M30" ca="1" si="7">IF(AND(I30=0,J30=0),"##H","")</f>
        <v>##H</v>
      </c>
    </row>
    <row r="31" spans="2:17" ht="15" customHeight="1">
      <c r="B31" s="425"/>
      <c r="C31" s="419" t="s">
        <v>1580</v>
      </c>
      <c r="D31" s="419"/>
      <c r="E31" s="428"/>
      <c r="F31" s="429"/>
      <c r="G31" s="1389"/>
      <c r="H31" s="1390"/>
      <c r="I31" s="902">
        <v>-12</v>
      </c>
      <c r="J31" s="903">
        <v>-5.08</v>
      </c>
    </row>
    <row r="32" spans="2:17" ht="15" customHeight="1">
      <c r="B32" s="425"/>
      <c r="C32" s="420" t="s">
        <v>1581</v>
      </c>
      <c r="D32" s="420"/>
      <c r="E32" s="428"/>
      <c r="F32" s="429"/>
      <c r="G32" s="1383"/>
      <c r="H32" s="1384"/>
      <c r="I32" s="434">
        <f ca="1">SUM(I30:I31)</f>
        <v>-12</v>
      </c>
      <c r="J32" s="426">
        <f ca="1">SUM(J30:J31)</f>
        <v>-5.08</v>
      </c>
    </row>
    <row r="33" spans="2:14" ht="15" customHeight="1">
      <c r="B33" s="1241"/>
      <c r="C33" s="201"/>
      <c r="D33" s="201"/>
      <c r="E33" s="361"/>
      <c r="F33" s="361"/>
      <c r="G33" s="432"/>
      <c r="H33" s="432"/>
      <c r="I33" s="1569"/>
      <c r="J33" s="1569"/>
    </row>
    <row r="35" spans="2:14">
      <c r="B35" s="25" t="s">
        <v>1167</v>
      </c>
      <c r="K35" s="22" t="s">
        <v>969</v>
      </c>
      <c r="L35" s="22" t="s">
        <v>1168</v>
      </c>
      <c r="M35" s="22" t="s">
        <v>170</v>
      </c>
      <c r="N35" s="22"/>
    </row>
    <row r="36" spans="2:14">
      <c r="B36" s="25" t="s">
        <v>1582</v>
      </c>
    </row>
    <row r="37" spans="2:14">
      <c r="B37" s="449" t="s">
        <v>1583</v>
      </c>
    </row>
    <row r="38" spans="2:14">
      <c r="C38" s="2" t="s">
        <v>1584</v>
      </c>
    </row>
    <row r="39" spans="2:14">
      <c r="C39" s="15" t="s">
        <v>1585</v>
      </c>
    </row>
    <row r="40" spans="2:14">
      <c r="C40" s="15" t="s">
        <v>1586</v>
      </c>
    </row>
    <row r="41" spans="2:14">
      <c r="C41" s="15" t="s">
        <v>1587</v>
      </c>
    </row>
    <row r="42" spans="2:14">
      <c r="C42" s="15" t="s">
        <v>1588</v>
      </c>
    </row>
    <row r="43" spans="2:14">
      <c r="C43" s="15" t="s">
        <v>1589</v>
      </c>
    </row>
    <row r="44" spans="2:14">
      <c r="C44" s="15" t="s">
        <v>1590</v>
      </c>
    </row>
    <row r="45" spans="2:14">
      <c r="C45" s="15"/>
    </row>
    <row r="46" spans="2:14">
      <c r="B46" s="1122">
        <f>NTA!F83</f>
        <v>28.200000000000003</v>
      </c>
      <c r="C46" s="1123" t="str">
        <f>NTA!C83</f>
        <v>Long term borrowings - Related Party</v>
      </c>
      <c r="K46" s="22" t="s">
        <v>969</v>
      </c>
      <c r="L46" s="22" t="s">
        <v>1168</v>
      </c>
    </row>
    <row r="47" spans="2:14">
      <c r="C47" s="904" t="s">
        <v>1591</v>
      </c>
    </row>
    <row r="48" spans="2:14">
      <c r="C48" s="15"/>
    </row>
    <row r="49" spans="2:10" ht="15" customHeight="1">
      <c r="B49" s="101"/>
      <c r="C49" s="43"/>
      <c r="D49" s="43"/>
      <c r="E49" s="361"/>
      <c r="F49" s="361"/>
      <c r="G49" s="43"/>
      <c r="H49" s="43"/>
      <c r="I49" s="1586"/>
      <c r="J49" s="1587"/>
    </row>
    <row r="50" spans="2:10" ht="15" customHeight="1">
      <c r="B50" s="101"/>
      <c r="C50" s="43"/>
      <c r="D50" s="43"/>
      <c r="E50" s="361"/>
      <c r="F50" s="361"/>
      <c r="G50" s="43"/>
      <c r="H50" s="43"/>
      <c r="I50" s="1586"/>
      <c r="J50" s="1587"/>
    </row>
    <row r="51" spans="2:10" ht="15" customHeight="1">
      <c r="B51" s="101"/>
      <c r="C51" s="43"/>
      <c r="D51" s="43"/>
      <c r="E51" s="361"/>
      <c r="F51" s="361"/>
      <c r="G51" s="43"/>
      <c r="H51" s="43"/>
      <c r="I51" s="1586"/>
      <c r="J51" s="1587"/>
    </row>
    <row r="52" spans="2:10" ht="15" customHeight="1"/>
    <row r="53" spans="2:10" ht="15" customHeight="1"/>
    <row r="54" spans="2:10" ht="15" customHeight="1"/>
    <row r="55" spans="2:10" ht="15" customHeight="1"/>
    <row r="56" spans="2:10" ht="15" customHeight="1"/>
    <row r="57" spans="2:10" ht="15" customHeight="1"/>
    <row r="58" spans="2:10" ht="15" customHeight="1"/>
    <row r="59" spans="2:10" ht="15" customHeight="1"/>
    <row r="60" spans="2:10" ht="15" customHeight="1"/>
    <row r="61" spans="2:10" ht="15" customHeight="1"/>
    <row r="62" spans="2:10" ht="15" customHeight="1"/>
    <row r="63" spans="2:10" ht="15" customHeight="1"/>
    <row r="64" spans="2:10" ht="15" customHeight="1"/>
    <row r="65" s="2" customFormat="1" ht="15" customHeight="1"/>
    <row r="66" s="2" customFormat="1" ht="15" customHeight="1"/>
    <row r="67" s="2" customFormat="1" ht="15" customHeight="1"/>
    <row r="68" s="2" customFormat="1" ht="15" customHeight="1"/>
    <row r="69" s="2" customFormat="1" ht="15" customHeight="1"/>
    <row r="70" s="2" customFormat="1" ht="15" customHeight="1"/>
    <row r="71" s="2" customFormat="1" ht="15" customHeight="1"/>
  </sheetData>
  <sheetProtection algorithmName="SHA-512" hashValue="B3WYR65Z07KZYdFHm5ztldLBtTTJvVGWc43UG6TSGZ+MMk5SWLFnGT7+ZdUg8DllZtenVLIvBhcY1AVqLvUO8Q==" saltValue="nv7l8H03J4MB0zJ4l3v9nA==" spinCount="100000" sheet="1" objects="1" scenarios="1"/>
  <mergeCells count="17">
    <mergeCell ref="G32:H32"/>
    <mergeCell ref="B9:F9"/>
    <mergeCell ref="C20:I20"/>
    <mergeCell ref="G28:H28"/>
    <mergeCell ref="G25:H25"/>
    <mergeCell ref="G26:H26"/>
    <mergeCell ref="G27:H27"/>
    <mergeCell ref="G31:H31"/>
    <mergeCell ref="G29:H29"/>
    <mergeCell ref="G30:H30"/>
    <mergeCell ref="J22:J23"/>
    <mergeCell ref="B22:B23"/>
    <mergeCell ref="C22:C23"/>
    <mergeCell ref="D22:D23"/>
    <mergeCell ref="E22:F22"/>
    <mergeCell ref="G22:H23"/>
    <mergeCell ref="I22:I23"/>
  </mergeCells>
  <pageMargins left="0.7" right="0.7" top="0.75" bottom="0.75" header="0.3" footer="0.3"/>
  <pageSetup scale="49" fitToHeight="0"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5711F6-426E-412B-BEC2-D0BC736B301D}">
          <x14:formula1>
            <xm:f>'Master Sheet'!$C$37:$C$41</xm:f>
          </x14:formula1>
          <xm:sqref>Q25:Q27 Q12:Q16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56408-81B8-4195-B97C-ADC54E4D1F4E}">
  <sheetPr codeName="Sheet27">
    <tabColor theme="5" tint="0.59999389629810485"/>
    <pageSetUpPr fitToPage="1"/>
  </sheetPr>
  <dimension ref="A1:V171"/>
  <sheetViews>
    <sheetView showGridLines="0" view="pageBreakPreview" zoomScaleNormal="100" zoomScaleSheetLayoutView="100" workbookViewId="0">
      <pane ySplit="3" topLeftCell="A4" activePane="bottomLeft" state="frozen"/>
      <selection pane="bottomLeft" activeCell="N1" sqref="N1"/>
    </sheetView>
  </sheetViews>
  <sheetFormatPr defaultColWidth="9.42578125" defaultRowHeight="13.15" outlineLevelRow="1" outlineLevelCol="1"/>
  <cols>
    <col min="1" max="1" customWidth="true" style="21" width="3.5703125"/>
    <col min="2" max="2" customWidth="true" style="187" width="6.5703125"/>
    <col min="3" max="3" customWidth="true" style="20" width="42.28515625"/>
    <col min="4" max="4" customWidth="true" style="20" width="6.7109375"/>
    <col min="5" max="7" customWidth="true" style="20" width="16.7109375"/>
    <col min="8" max="8" customWidth="true" style="123" width="19.140625"/>
    <col min="9" max="9" customWidth="true" style="123" width="16.7109375"/>
    <col min="10" max="10" customWidth="true" style="123" width="18.42578125"/>
    <col min="11" max="11" customWidth="true" style="123" width="2.5703125"/>
    <col min="12" max="12" bestFit="true" customWidth="true" style="20" width="12.7109375"/>
    <col min="13" max="14" customWidth="true" style="114" width="11.0"/>
    <col min="15" max="15" bestFit="true" customWidth="true" style="124" width="15.42578125"/>
    <col min="16" max="17" customWidth="true" hidden="true" style="24" width="14.5703125" outlineLevel="1"/>
    <col min="18" max="21" customWidth="true" hidden="true" style="271" width="14.5703125" outlineLevel="1"/>
    <col min="22" max="22" bestFit="true" customWidth="true" style="271" width="12.0" collapsed="true"/>
    <col min="23" max="23" style="20" width="9.42578125"/>
    <col min="24" max="24" bestFit="true" customWidth="true" style="20" width="12.5703125"/>
    <col min="25" max="26" style="20" width="9.42578125"/>
    <col min="27" max="27" customWidth="true" style="20" width="13.5703125"/>
    <col min="28" max="28" bestFit="true" customWidth="true" style="20" width="13.42578125"/>
    <col min="29" max="16384" style="20" width="9.42578125"/>
  </cols>
  <sheetData>
    <row r="1" spans="1:22" hidden="1" outlineLevel="1">
      <c r="B1" s="1264"/>
      <c r="H1" s="1148" t="str">
        <f>BS!C1</f>
        <v>7756|001|INR|Actual|Standalone</v>
      </c>
      <c r="J1" s="1148" t="str">
        <f>BS!D1</f>
        <v>7756|002|INR|Actual|Standalone</v>
      </c>
      <c r="K1" s="208"/>
      <c r="L1" s="208"/>
      <c r="M1" s="208"/>
      <c r="N1" s="208" t="s">
        <v>492</v>
      </c>
      <c r="O1" s="25"/>
      <c r="P1" s="29" t="s">
        <v>553</v>
      </c>
      <c r="Q1" s="29"/>
      <c r="R1" s="29"/>
      <c r="S1" s="29"/>
      <c r="T1" s="29"/>
      <c r="U1" s="29"/>
      <c r="V1" s="24"/>
    </row>
    <row r="2" spans="1:22" hidden="1" outlineLevel="1">
      <c r="B2" s="1264"/>
      <c r="H2" s="208"/>
      <c r="I2" s="208"/>
      <c r="J2" s="208"/>
      <c r="K2" s="208"/>
      <c r="L2" s="208"/>
      <c r="M2" s="208"/>
      <c r="N2" s="208"/>
      <c r="O2" s="25"/>
      <c r="P2" s="29"/>
      <c r="Q2" s="29"/>
      <c r="R2" s="29"/>
      <c r="S2" s="29"/>
      <c r="T2" s="29"/>
      <c r="U2" s="29"/>
      <c r="V2" s="24"/>
    </row>
    <row r="3" spans="1:22" hidden="1" outlineLevel="1">
      <c r="B3" s="1264"/>
      <c r="G3" s="208"/>
      <c r="H3" s="208"/>
      <c r="I3" s="208"/>
      <c r="J3" s="208"/>
      <c r="K3" s="208"/>
      <c r="L3" s="208"/>
      <c r="M3" s="208"/>
      <c r="N3" s="208"/>
      <c r="O3" s="25"/>
      <c r="P3" s="29"/>
      <c r="Q3" s="29"/>
      <c r="R3" s="29"/>
      <c r="S3" s="24"/>
      <c r="T3" s="588"/>
    </row>
    <row r="4" spans="1:22" ht="17.45" collapsed="1">
      <c r="A4" s="1085" t="e">
        <f ca="1">Company</f>
        <v>#NAME?</v>
      </c>
      <c r="B4" s="1264"/>
      <c r="C4" s="21"/>
      <c r="D4" s="21"/>
      <c r="E4" s="21"/>
      <c r="H4" s="115"/>
      <c r="I4" s="115"/>
      <c r="J4" s="115"/>
      <c r="K4" s="115"/>
      <c r="L4" s="115"/>
      <c r="M4" s="115"/>
      <c r="N4" s="115"/>
      <c r="O4" s="115"/>
      <c r="P4" s="271"/>
      <c r="R4" s="24"/>
      <c r="S4" s="24"/>
    </row>
    <row r="5" spans="1:22" ht="15.6">
      <c r="A5" s="1086" t="e">
        <f ca="1">Note_Head</f>
        <v>#NAME?</v>
      </c>
      <c r="B5" s="1264"/>
      <c r="C5" s="21"/>
      <c r="D5" s="21"/>
      <c r="E5" s="21"/>
      <c r="H5" s="145"/>
      <c r="I5" s="145"/>
      <c r="J5" s="145"/>
      <c r="K5" s="145"/>
      <c r="L5" s="145"/>
      <c r="M5" s="145"/>
      <c r="N5" s="145"/>
      <c r="O5" s="20"/>
      <c r="P5" s="271"/>
      <c r="R5" s="24"/>
      <c r="S5" s="24"/>
    </row>
    <row r="6" spans="1:22" ht="15.6">
      <c r="A6" s="116"/>
      <c r="B6" s="1264"/>
      <c r="C6" s="21"/>
      <c r="D6" s="21"/>
      <c r="E6" s="21"/>
      <c r="H6" s="145"/>
      <c r="I6" s="145"/>
      <c r="J6" s="145"/>
      <c r="K6" s="145"/>
      <c r="L6" s="145"/>
      <c r="M6" s="145"/>
      <c r="N6" s="145"/>
      <c r="O6" s="20"/>
      <c r="P6" s="271"/>
      <c r="R6" s="24"/>
      <c r="S6" s="24"/>
    </row>
    <row r="7" spans="1:22">
      <c r="A7" s="46"/>
      <c r="B7" s="821"/>
      <c r="C7" s="1242"/>
      <c r="D7" s="1242"/>
      <c r="E7" s="1242"/>
      <c r="F7" s="1242"/>
      <c r="G7" s="1242"/>
      <c r="H7" s="1242"/>
      <c r="I7" s="1242"/>
      <c r="J7" s="1242"/>
      <c r="K7" s="1242"/>
      <c r="M7" s="20"/>
      <c r="N7" s="20"/>
      <c r="O7" s="2"/>
      <c r="R7" s="24"/>
      <c r="S7" s="24"/>
    </row>
    <row r="8" spans="1:22" ht="15" customHeight="1">
      <c r="A8" s="1149">
        <f>NTA!F86</f>
        <v>29</v>
      </c>
      <c r="B8" s="1149" t="str">
        <f>NTA!C86&amp;" (Non-Current)"</f>
        <v>Lease Liabilities (Non-Current)</v>
      </c>
      <c r="H8" s="20"/>
      <c r="I8" s="20"/>
      <c r="J8" s="1172" t="str">
        <f>+'Master Sheet'!$C$65</f>
        <v>(Amount in INR)</v>
      </c>
      <c r="K8" s="20"/>
      <c r="M8" s="20"/>
      <c r="N8" s="20"/>
      <c r="O8" s="2"/>
      <c r="P8" s="271"/>
      <c r="R8" s="24"/>
    </row>
    <row r="9" spans="1:22" ht="15" customHeight="1">
      <c r="A9" s="569"/>
      <c r="B9" s="1323" t="s">
        <v>500</v>
      </c>
      <c r="C9" s="1323"/>
      <c r="D9" s="1323"/>
      <c r="E9" s="1323"/>
      <c r="F9" s="1323"/>
      <c r="G9" s="811"/>
      <c r="H9" s="1150" t="e">
        <f ca="1">BS_CY</f>
        <v>#NAME?</v>
      </c>
      <c r="I9" s="813"/>
      <c r="J9" s="1151" t="e">
        <f ca="1">BS_PY</f>
        <v>#NAME?</v>
      </c>
      <c r="K9" s="20"/>
      <c r="M9" s="20"/>
      <c r="N9" s="20"/>
      <c r="O9" s="2"/>
      <c r="P9" s="271"/>
      <c r="R9" s="24"/>
    </row>
    <row r="10" spans="1:22" ht="15" customHeight="1">
      <c r="A10" s="46"/>
      <c r="B10" s="68" t="s">
        <v>324</v>
      </c>
      <c r="C10" s="58"/>
      <c r="D10" s="58"/>
      <c r="E10" s="58"/>
      <c r="F10" s="58"/>
      <c r="G10" s="218"/>
      <c r="H10" s="327">
        <f ca="1">IFERROR(INDEX(INDIRECT(VLOOKUP($U10,Source_Master,2,0),),MATCH(TEXT($P10,0),INDIRECT(VLOOKUP($U10,Source_Master,4,0)),0),MATCH(H$1,INDIRECT(VLOOKUP($U10,Source_Master,3,0),),0)),0)</f>
        <v>0</v>
      </c>
      <c r="I10" s="906"/>
      <c r="J10" s="328">
        <f ca="1">IFERROR(INDEX(INDIRECT(VLOOKUP($U10,Source_Master,2,0),),MATCH(TEXT($P10,0),INDIRECT(VLOOKUP($U10,Source_Master,4,0)),0),MATCH(J$1,INDIRECT(VLOOKUP($U10,Source_Master,3,0),),0)),0)</f>
        <v>0</v>
      </c>
      <c r="K10" s="20"/>
      <c r="M10" s="20"/>
      <c r="N10" s="1054" t="str">
        <f ca="1">IF(AND(H10=0,J10=0),"##H","")</f>
        <v>##H</v>
      </c>
      <c r="O10" s="2"/>
      <c r="P10" s="271" t="s">
        <v>528</v>
      </c>
      <c r="R10" s="24"/>
      <c r="U10" s="24" t="s">
        <v>50</v>
      </c>
    </row>
    <row r="11" spans="1:22" ht="15" customHeight="1">
      <c r="A11" s="46"/>
      <c r="B11" s="232" t="s">
        <v>246</v>
      </c>
      <c r="C11" s="199"/>
      <c r="D11" s="199"/>
      <c r="E11" s="199"/>
      <c r="F11" s="199"/>
      <c r="G11" s="714"/>
      <c r="H11" s="69">
        <f ca="1">SUM(H10:H10)</f>
        <v>0</v>
      </c>
      <c r="I11" s="363"/>
      <c r="J11" s="175">
        <f ca="1">SUM(J10:J10)</f>
        <v>0</v>
      </c>
      <c r="K11" s="20"/>
      <c r="M11" s="269"/>
      <c r="N11" s="1054" t="str">
        <f ca="1">IF(AND(H11=0,J11=0),"##H","")</f>
        <v>##H</v>
      </c>
      <c r="O11" s="2"/>
      <c r="P11" s="271"/>
      <c r="R11" s="24"/>
      <c r="S11" s="596"/>
      <c r="T11" s="596"/>
      <c r="U11" s="596"/>
      <c r="V11" s="596"/>
    </row>
    <row r="12" spans="1:22" ht="15" customHeight="1">
      <c r="A12" s="46"/>
      <c r="B12" s="1264"/>
      <c r="C12" s="32"/>
      <c r="D12" s="32"/>
      <c r="E12" s="32"/>
      <c r="F12" s="32"/>
      <c r="G12" s="21"/>
      <c r="H12" s="21"/>
      <c r="I12" s="21"/>
      <c r="J12" s="20"/>
      <c r="K12" s="20"/>
      <c r="M12" s="20"/>
      <c r="N12" s="20"/>
      <c r="O12" s="2"/>
      <c r="P12" s="271"/>
      <c r="R12" s="24"/>
      <c r="S12" s="597"/>
      <c r="T12" s="597"/>
      <c r="U12" s="597"/>
      <c r="V12" s="597"/>
    </row>
    <row r="13" spans="1:22" ht="15" customHeight="1">
      <c r="A13" s="1149">
        <f>NTA!F87</f>
        <v>30</v>
      </c>
      <c r="B13" s="1149" t="str">
        <f>NTA!C87&amp;" (Non-Current)"</f>
        <v>Other Financial Liabilities (Non-Current)</v>
      </c>
      <c r="H13" s="20"/>
      <c r="I13" s="20"/>
      <c r="J13" s="1172" t="str">
        <f>+'Master Sheet'!$C$65</f>
        <v>(Amount in INR)</v>
      </c>
      <c r="K13" s="20"/>
      <c r="M13" s="20"/>
      <c r="N13" s="20"/>
      <c r="O13" s="2"/>
      <c r="P13" s="271"/>
      <c r="R13" s="24"/>
    </row>
    <row r="14" spans="1:22" ht="15" customHeight="1">
      <c r="A14" s="569"/>
      <c r="B14" s="1323" t="s">
        <v>500</v>
      </c>
      <c r="C14" s="1323"/>
      <c r="D14" s="1323"/>
      <c r="E14" s="1323"/>
      <c r="F14" s="1323"/>
      <c r="G14" s="811"/>
      <c r="H14" s="1150" t="e">
        <f ca="1">BS_CY</f>
        <v>#NAME?</v>
      </c>
      <c r="I14" s="813"/>
      <c r="J14" s="1151" t="e">
        <f ca="1">BS_PY</f>
        <v>#NAME?</v>
      </c>
      <c r="K14" s="20"/>
      <c r="M14" s="20"/>
      <c r="N14" s="20"/>
      <c r="O14" s="2"/>
      <c r="P14" s="271"/>
      <c r="R14" s="24"/>
    </row>
    <row r="15" spans="1:22" ht="15" customHeight="1">
      <c r="A15" s="46"/>
      <c r="B15" s="221" t="s">
        <v>1592</v>
      </c>
      <c r="C15" s="169"/>
      <c r="D15" s="169"/>
      <c r="E15" s="169"/>
      <c r="F15" s="169"/>
      <c r="G15" s="325"/>
      <c r="H15" s="1588">
        <f ca="1">IFERROR(INDEX(INDIRECT(VLOOKUP($U15,Source_Master,2,0),),MATCH(TEXT($P15,0),INDIRECT(VLOOKUP($U15,Source_Master,4,0)),0),MATCH(H$1,INDIRECT(VLOOKUP($U15,Source_Master,3,0),),0)),0)</f>
        <v>0</v>
      </c>
      <c r="I15" s="32"/>
      <c r="J15" s="1543">
        <f ca="1">IFERROR(INDEX(INDIRECT(VLOOKUP($U15,Source_Master,2,0),),MATCH(TEXT($P15,0),INDIRECT(VLOOKUP($U15,Source_Master,4,0)),0),MATCH(J$1,INDIRECT(VLOOKUP($U15,Source_Master,3,0),),0)),0)</f>
        <v>0</v>
      </c>
      <c r="K15" s="20"/>
      <c r="M15" s="20"/>
      <c r="N15" s="1054" t="str">
        <f t="shared" ref="N15:N17" ca="1" si="0">IF(AND(H15=0,J15=0),"##H","")</f>
        <v>##H</v>
      </c>
      <c r="O15" s="2"/>
      <c r="P15" s="271" t="s">
        <v>1593</v>
      </c>
      <c r="R15" s="24"/>
      <c r="U15" s="24" t="s">
        <v>50</v>
      </c>
    </row>
    <row r="16" spans="1:22" ht="15" hidden="1" customHeight="1">
      <c r="A16" s="46"/>
      <c r="B16" s="68" t="s">
        <v>1594</v>
      </c>
      <c r="C16" s="58"/>
      <c r="D16" s="58"/>
      <c r="E16" s="58"/>
      <c r="F16" s="58"/>
      <c r="G16" s="218"/>
      <c r="H16" s="230">
        <f ca="1">IFERROR(INDEX(INDIRECT(VLOOKUP($U16,Source_Master,2,0),),MATCH(TEXT($P16,0),INDIRECT(VLOOKUP($U16,Source_Master,4,0)),0),MATCH(H$1,INDIRECT(VLOOKUP($U16,Source_Master,3,0),),0)),0)</f>
        <v>0</v>
      </c>
      <c r="I16" s="270"/>
      <c r="J16" s="231">
        <f ca="1">IFERROR(INDEX(INDIRECT(VLOOKUP($U16,Source_Master,2,0),),MATCH(TEXT($P16,0),INDIRECT(VLOOKUP($U16,Source_Master,4,0)),0),MATCH(J$1,INDIRECT(VLOOKUP($U16,Source_Master,3,0),),0)),0)</f>
        <v>0</v>
      </c>
      <c r="K16" s="20"/>
      <c r="M16" s="20"/>
      <c r="N16" s="1054" t="str">
        <f t="shared" ca="1" si="0"/>
        <v>##H</v>
      </c>
      <c r="O16" s="2"/>
      <c r="P16" s="271" t="s">
        <v>1595</v>
      </c>
      <c r="R16" s="24"/>
      <c r="U16" s="24" t="s">
        <v>50</v>
      </c>
    </row>
    <row r="17" spans="1:22" ht="15" customHeight="1">
      <c r="A17" s="46"/>
      <c r="B17" s="232" t="s">
        <v>246</v>
      </c>
      <c r="C17" s="199"/>
      <c r="D17" s="199"/>
      <c r="E17" s="199"/>
      <c r="F17" s="199"/>
      <c r="G17" s="813"/>
      <c r="H17" s="69">
        <f ca="1">SUM(H15:H16)</f>
        <v>0</v>
      </c>
      <c r="I17" s="817"/>
      <c r="J17" s="350">
        <f ca="1">SUM(J15:J16)</f>
        <v>0</v>
      </c>
      <c r="K17" s="20"/>
      <c r="M17" s="269"/>
      <c r="N17" s="1054" t="str">
        <f t="shared" ca="1" si="0"/>
        <v>##H</v>
      </c>
      <c r="O17" s="2"/>
      <c r="P17" s="271"/>
      <c r="R17" s="24"/>
      <c r="S17" s="596"/>
      <c r="T17" s="596"/>
      <c r="U17" s="596"/>
      <c r="V17" s="596"/>
    </row>
    <row r="18" spans="1:22" ht="15" customHeight="1">
      <c r="A18" s="46"/>
      <c r="B18" s="210"/>
      <c r="C18" s="32"/>
      <c r="D18" s="32"/>
      <c r="E18" s="32"/>
      <c r="F18" s="32"/>
      <c r="G18" s="827"/>
      <c r="H18" s="827"/>
      <c r="I18" s="32"/>
      <c r="J18" s="32"/>
      <c r="K18" s="20"/>
      <c r="M18" s="269"/>
      <c r="N18" s="269"/>
      <c r="O18" s="2"/>
      <c r="P18" s="271"/>
      <c r="R18" s="24"/>
      <c r="S18" s="596"/>
      <c r="T18" s="596"/>
      <c r="U18" s="596"/>
      <c r="V18" s="596"/>
    </row>
    <row r="19" spans="1:22" ht="15" customHeight="1">
      <c r="A19" s="46"/>
      <c r="B19" s="1322" t="e">
        <f ca="1">"Note: Acquisition Liabilities represents the estimated fair value of the contingent consideration relating to the acquisition of various eye clinics which was acquired upto "&amp;Current_Date</f>
        <v>#NAME?</v>
      </c>
      <c r="C19" s="1322"/>
      <c r="D19" s="1322"/>
      <c r="E19" s="1322"/>
      <c r="F19" s="1322"/>
      <c r="G19" s="1322"/>
      <c r="H19" s="1322"/>
      <c r="I19" s="1322"/>
      <c r="J19" s="1322"/>
      <c r="K19" s="20"/>
      <c r="L19" s="246"/>
      <c r="M19" s="443"/>
      <c r="N19" s="443"/>
      <c r="O19" s="2"/>
      <c r="P19" s="271"/>
      <c r="R19" s="24"/>
      <c r="S19" s="596"/>
      <c r="T19" s="596"/>
      <c r="U19" s="596"/>
      <c r="V19" s="596"/>
    </row>
    <row r="20" spans="1:22" ht="15" customHeight="1">
      <c r="A20" s="46"/>
      <c r="B20" s="1264"/>
      <c r="C20" s="32"/>
      <c r="D20" s="32"/>
      <c r="E20" s="32"/>
      <c r="F20" s="32"/>
      <c r="G20" s="21"/>
      <c r="H20" s="21"/>
      <c r="I20" s="21"/>
      <c r="J20" s="20"/>
      <c r="K20" s="20"/>
      <c r="M20" s="20"/>
      <c r="N20" s="20"/>
      <c r="O20" s="2"/>
      <c r="P20" s="271"/>
      <c r="R20" s="24"/>
      <c r="S20" s="597"/>
      <c r="T20" s="597"/>
      <c r="U20" s="597"/>
      <c r="V20" s="597"/>
    </row>
    <row r="21" spans="1:22" ht="15" customHeight="1">
      <c r="A21" s="1149">
        <f>NTA!F88</f>
        <v>31</v>
      </c>
      <c r="B21" s="1149" t="str">
        <f>NTA!C88&amp;" (Non-Current)"</f>
        <v>Provisions (Non-Current)</v>
      </c>
      <c r="H21" s="20"/>
      <c r="I21" s="20"/>
      <c r="J21" s="1172" t="str">
        <f>+'Master Sheet'!$C$65</f>
        <v>(Amount in INR)</v>
      </c>
      <c r="K21" s="20"/>
      <c r="M21" s="20"/>
      <c r="N21" s="20"/>
      <c r="O21" s="2"/>
      <c r="P21" s="271"/>
      <c r="R21" s="24"/>
    </row>
    <row r="22" spans="1:22" ht="15" customHeight="1">
      <c r="A22" s="569"/>
      <c r="B22" s="1323" t="s">
        <v>500</v>
      </c>
      <c r="C22" s="1323"/>
      <c r="D22" s="1323"/>
      <c r="E22" s="1323"/>
      <c r="F22" s="1323"/>
      <c r="G22" s="811"/>
      <c r="H22" s="1150" t="e">
        <f ca="1">BS_CY</f>
        <v>#NAME?</v>
      </c>
      <c r="I22" s="813"/>
      <c r="J22" s="1151" t="e">
        <f ca="1">BS_PY</f>
        <v>#NAME?</v>
      </c>
      <c r="K22" s="20"/>
      <c r="M22" s="20"/>
      <c r="N22" s="20"/>
      <c r="P22" s="271"/>
      <c r="R22" s="24"/>
    </row>
    <row r="23" spans="1:22" ht="15" customHeight="1">
      <c r="A23" s="569"/>
      <c r="B23" s="68" t="s">
        <v>1596</v>
      </c>
      <c r="C23" s="58"/>
      <c r="D23" s="169"/>
      <c r="E23" s="169"/>
      <c r="F23" s="169"/>
      <c r="G23" s="274"/>
      <c r="H23" s="324"/>
      <c r="I23" s="171"/>
      <c r="J23" s="75"/>
      <c r="K23" s="20"/>
      <c r="M23" s="20"/>
      <c r="N23" s="20"/>
      <c r="P23" s="271"/>
      <c r="R23" s="24"/>
    </row>
    <row r="24" spans="1:22" ht="15" customHeight="1">
      <c r="A24" s="46"/>
      <c r="B24" s="67" t="s">
        <v>1597</v>
      </c>
      <c r="C24" s="58"/>
      <c r="D24" s="169"/>
      <c r="E24" s="169"/>
      <c r="F24" s="169"/>
      <c r="G24" s="274"/>
      <c r="H24" s="129">
        <f ca="1">IFERROR(INDEX(INDIRECT(VLOOKUP($U24,Source_Master,2,0),),MATCH(TEXT($P24,0),INDIRECT(VLOOKUP($U24,Source_Master,4,0)),0),MATCH(H$1,INDIRECT(VLOOKUP($U24,Source_Master,3,0),),0)),0)</f>
        <v>0</v>
      </c>
      <c r="I24" s="314"/>
      <c r="J24" s="62">
        <f ca="1">IFERROR(INDEX(INDIRECT(VLOOKUP($U24,Source_Master,2,0),),MATCH(TEXT($P24,0),INDIRECT(VLOOKUP($U24,Source_Master,4,0)),0),MATCH(J$1,INDIRECT(VLOOKUP($U24,Source_Master,3,0),),0)),0)</f>
        <v>0</v>
      </c>
      <c r="K24" s="20"/>
      <c r="M24" s="20"/>
      <c r="N24" s="1054" t="str">
        <f t="shared" ref="N24:N28" ca="1" si="1">IF(AND(H24=0,J24=0),"##H","")</f>
        <v>##H</v>
      </c>
      <c r="O24" s="2"/>
      <c r="P24" s="271" t="s">
        <v>1598</v>
      </c>
      <c r="R24" s="24"/>
      <c r="U24" s="24" t="s">
        <v>50</v>
      </c>
    </row>
    <row r="25" spans="1:22" ht="15" customHeight="1">
      <c r="A25" s="46"/>
      <c r="B25" s="67" t="s">
        <v>437</v>
      </c>
      <c r="C25" s="58"/>
      <c r="D25" s="169"/>
      <c r="E25" s="169"/>
      <c r="F25" s="169"/>
      <c r="G25" s="274"/>
      <c r="H25" s="129">
        <f ca="1">IFERROR(INDEX(INDIRECT(VLOOKUP($U25,Source_Master,2,0),),MATCH(TEXT($P25,0),INDIRECT(VLOOKUP($U25,Source_Master,4,0)),0),MATCH(H$1,INDIRECT(VLOOKUP($U25,Source_Master,3,0),),0)),0)</f>
        <v>0</v>
      </c>
      <c r="I25" s="314"/>
      <c r="J25" s="62">
        <f ca="1">IFERROR(INDEX(INDIRECT(VLOOKUP($U25,Source_Master,2,0),),MATCH(TEXT($P25,0),INDIRECT(VLOOKUP($U25,Source_Master,4,0)),0),MATCH(J$1,INDIRECT(VLOOKUP($U25,Source_Master,3,0),),0)),0)</f>
        <v>0</v>
      </c>
      <c r="K25" s="20"/>
      <c r="M25" s="20"/>
      <c r="N25" s="1054" t="str">
        <f t="shared" ca="1" si="1"/>
        <v>##H</v>
      </c>
      <c r="O25" s="2"/>
      <c r="P25" s="271" t="s">
        <v>1599</v>
      </c>
      <c r="R25" s="24"/>
      <c r="U25" s="24" t="s">
        <v>50</v>
      </c>
    </row>
    <row r="26" spans="1:22" ht="15" customHeight="1">
      <c r="A26" s="46"/>
      <c r="B26" s="68" t="s">
        <v>1600</v>
      </c>
      <c r="C26" s="58"/>
      <c r="D26" s="169"/>
      <c r="E26" s="169"/>
      <c r="F26" s="169"/>
      <c r="G26" s="274"/>
      <c r="H26" s="129">
        <f ca="1">IFERROR(INDEX(INDIRECT(VLOOKUP($U26,Source_Master,2,0),),MATCH(TEXT($P26,0),INDIRECT(VLOOKUP($U26,Source_Master,4,0)),0),MATCH(H$1,INDIRECT(VLOOKUP($U26,Source_Master,3,0),),0)),0)</f>
        <v>0</v>
      </c>
      <c r="I26" s="314"/>
      <c r="J26" s="62">
        <f ca="1">IFERROR(INDEX(INDIRECT(VLOOKUP($U26,Source_Master,2,0),),MATCH(TEXT($P26,0),INDIRECT(VLOOKUP($U26,Source_Master,4,0)),0),MATCH(J$1,INDIRECT(VLOOKUP($U26,Source_Master,3,0),),0)),0)</f>
        <v>0</v>
      </c>
      <c r="K26" s="20"/>
      <c r="M26" s="20"/>
      <c r="N26" s="1054" t="str">
        <f t="shared" ca="1" si="1"/>
        <v>##H</v>
      </c>
      <c r="O26" s="2"/>
      <c r="P26" s="271" t="s">
        <v>1601</v>
      </c>
      <c r="R26" s="24"/>
      <c r="U26" s="24" t="s">
        <v>50</v>
      </c>
    </row>
    <row r="27" spans="1:22" ht="15" customHeight="1">
      <c r="A27" s="46"/>
      <c r="B27" s="326" t="s">
        <v>1602</v>
      </c>
      <c r="C27" s="58"/>
      <c r="D27" s="58"/>
      <c r="E27" s="58"/>
      <c r="F27" s="58"/>
      <c r="G27" s="86"/>
      <c r="H27" s="129">
        <f ca="1">IFERROR(INDEX(INDIRECT(VLOOKUP($U27,Source_Master,2,0),),MATCH(TEXT($P27,0),INDIRECT(VLOOKUP($U27,Source_Master,4,0)),0),MATCH(H$1,INDIRECT(VLOOKUP($U27,Source_Master,3,0),),0)),0)</f>
        <v>0</v>
      </c>
      <c r="I27" s="79"/>
      <c r="J27" s="62">
        <f ca="1">IFERROR(INDEX(INDIRECT(VLOOKUP($U27,Source_Master,2,0),),MATCH(TEXT($P27,0),INDIRECT(VLOOKUP($U27,Source_Master,4,0)),0),MATCH(J$1,INDIRECT(VLOOKUP($U27,Source_Master,3,0),),0)),0)</f>
        <v>0</v>
      </c>
      <c r="K27" s="20"/>
      <c r="M27" s="20"/>
      <c r="N27" s="1054" t="str">
        <f t="shared" ca="1" si="1"/>
        <v>##H</v>
      </c>
      <c r="O27" s="2"/>
      <c r="P27" s="271" t="s">
        <v>1603</v>
      </c>
      <c r="R27" s="24"/>
      <c r="U27" s="24" t="s">
        <v>50</v>
      </c>
    </row>
    <row r="28" spans="1:22" ht="15" customHeight="1">
      <c r="A28" s="46"/>
      <c r="B28" s="232" t="s">
        <v>246</v>
      </c>
      <c r="C28" s="232"/>
      <c r="D28" s="232"/>
      <c r="E28" s="232"/>
      <c r="F28" s="232"/>
      <c r="G28" s="813"/>
      <c r="H28" s="69">
        <f ca="1">SUM(H24:H27)</f>
        <v>0</v>
      </c>
      <c r="I28" s="817"/>
      <c r="J28" s="350">
        <f ca="1">SUM(J24:J27)</f>
        <v>0</v>
      </c>
      <c r="K28" s="20"/>
      <c r="M28" s="269"/>
      <c r="N28" s="1054" t="str">
        <f t="shared" ca="1" si="1"/>
        <v>##H</v>
      </c>
      <c r="O28" s="2"/>
      <c r="P28" s="271" t="s">
        <v>530</v>
      </c>
      <c r="R28" s="24"/>
      <c r="U28" s="24" t="s">
        <v>50</v>
      </c>
    </row>
    <row r="29" spans="1:22" ht="15" customHeight="1">
      <c r="A29" s="46"/>
      <c r="B29" s="1264"/>
      <c r="C29" s="32"/>
      <c r="D29" s="32"/>
      <c r="E29" s="32"/>
      <c r="F29" s="32"/>
      <c r="G29" s="21"/>
      <c r="H29" s="21"/>
      <c r="I29" s="21"/>
      <c r="J29" s="20"/>
      <c r="K29" s="20"/>
      <c r="M29" s="126"/>
      <c r="N29" s="126"/>
      <c r="O29" s="2"/>
      <c r="P29" s="271"/>
      <c r="R29" s="24"/>
    </row>
    <row r="30" spans="1:22" ht="25.5" customHeight="1">
      <c r="A30" s="46"/>
      <c r="B30" s="1149">
        <f>NTA!F89</f>
        <v>31.1</v>
      </c>
      <c r="C30" s="1322" t="str">
        <f>"The Group carries a 'provision for contingencies' towards various claims against the Company not acknowledged as debts (Refer Note "&amp;'NT PL2'!A76&amp;"), based on Management's best estimate. The details are as follows:"</f>
        <v>The Group carries a 'provision for contingencies' towards various claims against the Company not acknowledged as debts (Refer Note 54), based on Management's best estimate. The details are as follows:</v>
      </c>
      <c r="D30" s="1322"/>
      <c r="E30" s="1322"/>
      <c r="F30" s="1322"/>
      <c r="G30" s="1322"/>
      <c r="H30" s="1322"/>
      <c r="I30" s="1322"/>
      <c r="J30" s="1322"/>
      <c r="K30" s="20"/>
      <c r="L30" s="246"/>
      <c r="M30" s="443"/>
      <c r="N30" s="443"/>
      <c r="O30" s="2"/>
      <c r="P30" s="271"/>
      <c r="R30" s="24"/>
    </row>
    <row r="31" spans="1:22">
      <c r="A31" s="46"/>
      <c r="B31" s="1264"/>
      <c r="C31" s="32"/>
      <c r="D31" s="32"/>
      <c r="E31" s="32"/>
      <c r="F31" s="32"/>
      <c r="G31" s="21"/>
      <c r="H31" s="21"/>
      <c r="I31" s="21"/>
      <c r="J31" s="1087" t="str">
        <f>+'Master Sheet'!$C$65</f>
        <v>(Amount in INR)</v>
      </c>
      <c r="K31" s="20"/>
      <c r="M31" s="126"/>
      <c r="N31" s="126"/>
      <c r="O31" s="2"/>
      <c r="P31" s="271"/>
      <c r="R31" s="24"/>
    </row>
    <row r="32" spans="1:22">
      <c r="A32" s="46"/>
      <c r="B32" s="1264"/>
      <c r="C32" s="1323" t="s">
        <v>500</v>
      </c>
      <c r="D32" s="1323"/>
      <c r="E32" s="1323"/>
      <c r="F32" s="1323"/>
      <c r="G32" s="811"/>
      <c r="H32" s="1150" t="e">
        <f ca="1">BS_CY</f>
        <v>#NAME?</v>
      </c>
      <c r="I32" s="813"/>
      <c r="J32" s="1151" t="e">
        <f ca="1">BS_PY</f>
        <v>#NAME?</v>
      </c>
      <c r="K32" s="20"/>
      <c r="M32" s="126"/>
      <c r="N32" s="126"/>
      <c r="O32" s="2"/>
      <c r="P32" s="271"/>
      <c r="R32" s="24"/>
    </row>
    <row r="33" spans="1:21" ht="15" customHeight="1">
      <c r="A33" s="46"/>
      <c r="B33" s="1264"/>
      <c r="C33" s="58" t="s">
        <v>1604</v>
      </c>
      <c r="D33" s="169"/>
      <c r="E33" s="169"/>
      <c r="F33" s="169"/>
      <c r="G33" s="274"/>
      <c r="H33" s="642">
        <f ca="1">J37</f>
        <v>0</v>
      </c>
      <c r="I33" s="643"/>
      <c r="J33" s="644">
        <f ca="1">J26</f>
        <v>0</v>
      </c>
      <c r="K33" s="20"/>
      <c r="M33" s="126"/>
      <c r="N33" s="1054" t="str">
        <f ca="1">IF(AND(H33=0,J33=0),"##H","")</f>
        <v>##H</v>
      </c>
      <c r="O33" s="2"/>
      <c r="P33" s="271"/>
      <c r="R33" s="24"/>
    </row>
    <row r="34" spans="1:21" ht="15" customHeight="1">
      <c r="A34" s="46"/>
      <c r="B34" s="1264"/>
      <c r="C34" s="58" t="s">
        <v>1605</v>
      </c>
      <c r="D34" s="169"/>
      <c r="E34" s="169"/>
      <c r="F34" s="169"/>
      <c r="G34" s="274"/>
      <c r="H34" s="907"/>
      <c r="I34" s="438"/>
      <c r="J34" s="908"/>
      <c r="K34" s="20"/>
      <c r="M34" s="126"/>
      <c r="N34" s="126"/>
      <c r="O34" s="2"/>
      <c r="P34" s="271"/>
      <c r="R34" s="24"/>
    </row>
    <row r="35" spans="1:21" ht="15" customHeight="1">
      <c r="A35" s="46"/>
      <c r="B35" s="1264"/>
      <c r="C35" s="58" t="s">
        <v>1606</v>
      </c>
      <c r="D35" s="169"/>
      <c r="E35" s="169"/>
      <c r="F35" s="169"/>
      <c r="G35" s="274"/>
      <c r="H35" s="907"/>
      <c r="I35" s="438"/>
      <c r="J35" s="908"/>
      <c r="K35" s="20"/>
      <c r="M35" s="126"/>
      <c r="N35" s="126"/>
      <c r="O35" s="2"/>
      <c r="P35" s="271"/>
      <c r="R35" s="24"/>
    </row>
    <row r="36" spans="1:21" ht="15" customHeight="1">
      <c r="A36" s="46"/>
      <c r="B36" s="1264"/>
      <c r="C36" s="58" t="s">
        <v>1607</v>
      </c>
      <c r="D36" s="169"/>
      <c r="E36" s="169"/>
      <c r="F36" s="169"/>
      <c r="G36" s="274"/>
      <c r="H36" s="907"/>
      <c r="I36" s="438"/>
      <c r="J36" s="908"/>
      <c r="K36" s="20"/>
      <c r="M36" s="126"/>
      <c r="N36" s="126"/>
      <c r="O36" s="2"/>
      <c r="P36" s="271"/>
      <c r="R36" s="24"/>
    </row>
    <row r="37" spans="1:21" ht="15" customHeight="1">
      <c r="A37" s="46"/>
      <c r="B37" s="1264"/>
      <c r="C37" s="232" t="s">
        <v>1608</v>
      </c>
      <c r="D37" s="232"/>
      <c r="E37" s="232"/>
      <c r="F37" s="232"/>
      <c r="G37" s="813"/>
      <c r="H37" s="915">
        <f ca="1">H33+H34-H35-H36</f>
        <v>0</v>
      </c>
      <c r="I37" s="909"/>
      <c r="J37" s="916">
        <f ca="1">J33+J34-J35-J36</f>
        <v>0</v>
      </c>
      <c r="K37" s="20"/>
      <c r="M37" s="126"/>
      <c r="N37" s="1054" t="str">
        <f ca="1">IF(AND(H37=0,J37=0),"##H","")</f>
        <v>##H</v>
      </c>
      <c r="O37" s="2"/>
      <c r="P37" s="271"/>
      <c r="R37" s="24"/>
    </row>
    <row r="38" spans="1:21" ht="15" customHeight="1">
      <c r="A38" s="46"/>
      <c r="B38" s="1264"/>
      <c r="C38" s="210"/>
      <c r="D38" s="210"/>
      <c r="E38" s="210"/>
      <c r="F38" s="210"/>
      <c r="G38" s="827"/>
      <c r="H38" s="827"/>
      <c r="I38" s="32"/>
      <c r="J38" s="32"/>
      <c r="K38" s="20"/>
      <c r="M38" s="126"/>
      <c r="N38" s="126"/>
      <c r="O38" s="2"/>
      <c r="P38" s="271"/>
      <c r="R38" s="24"/>
    </row>
    <row r="39" spans="1:21" ht="15" customHeight="1">
      <c r="A39" s="1149">
        <f>NTA!F91</f>
        <v>32</v>
      </c>
      <c r="B39" s="1149" t="str">
        <f>NTA!C91</f>
        <v>Non Current Tax Liabilities (Net)</v>
      </c>
      <c r="C39" s="32"/>
      <c r="D39" s="32"/>
      <c r="E39" s="100"/>
      <c r="F39" s="100"/>
      <c r="H39" s="20"/>
      <c r="I39" s="126"/>
      <c r="J39" s="1172" t="str">
        <f>+'Master Sheet'!$C$65</f>
        <v>(Amount in INR)</v>
      </c>
      <c r="K39" s="20"/>
      <c r="M39" s="126"/>
      <c r="N39" s="126"/>
      <c r="O39" s="2"/>
      <c r="P39" s="271"/>
      <c r="R39" s="24"/>
    </row>
    <row r="40" spans="1:21" ht="15" customHeight="1">
      <c r="A40" s="569"/>
      <c r="B40" s="1323" t="s">
        <v>500</v>
      </c>
      <c r="C40" s="1323"/>
      <c r="D40" s="1323"/>
      <c r="E40" s="1323"/>
      <c r="F40" s="1323"/>
      <c r="G40" s="811"/>
      <c r="H40" s="1150" t="e">
        <f ca="1">BS_CY</f>
        <v>#NAME?</v>
      </c>
      <c r="I40" s="813"/>
      <c r="J40" s="1151" t="e">
        <f ca="1">BS_PY</f>
        <v>#NAME?</v>
      </c>
      <c r="K40" s="20"/>
      <c r="M40" s="126"/>
      <c r="N40" s="126"/>
      <c r="O40" s="2"/>
      <c r="P40" s="271"/>
      <c r="R40" s="24"/>
    </row>
    <row r="41" spans="1:21" ht="15" customHeight="1">
      <c r="A41" s="46"/>
      <c r="B41" s="910" t="s">
        <v>1609</v>
      </c>
      <c r="C41" s="58"/>
      <c r="D41" s="58"/>
      <c r="E41" s="58"/>
      <c r="F41" s="58"/>
      <c r="G41" s="218"/>
      <c r="H41" s="327">
        <f ca="1">IFERROR(INDEX(INDIRECT(VLOOKUP($U41,Source_Master,2,0),),MATCH(TEXT($P41,0),INDIRECT(VLOOKUP($U41,Source_Master,4,0)),0),MATCH(H$1,INDIRECT(VLOOKUP($U41,Source_Master,3,0),),0)),0)</f>
        <v>0</v>
      </c>
      <c r="I41" s="906"/>
      <c r="J41" s="328">
        <f ca="1">IFERROR(INDEX(INDIRECT(VLOOKUP($U41,Source_Master,2,0),),MATCH(TEXT($P41,0),INDIRECT(VLOOKUP($U41,Source_Master,4,0)),0),MATCH(J$1,INDIRECT(VLOOKUP($U41,Source_Master,3,0),),0)),0)</f>
        <v>0</v>
      </c>
      <c r="K41" s="20"/>
      <c r="M41" s="126"/>
      <c r="N41" s="1054" t="str">
        <f t="shared" ref="N41:N42" ca="1" si="2">IF(AND(H41=0,J41=0),"##H","")</f>
        <v>##H</v>
      </c>
      <c r="O41" s="2"/>
      <c r="P41" s="271" t="s">
        <v>1610</v>
      </c>
      <c r="R41" s="24"/>
      <c r="U41" s="24" t="s">
        <v>50</v>
      </c>
    </row>
    <row r="42" spans="1:21" ht="15" customHeight="1">
      <c r="A42" s="46"/>
      <c r="B42" s="911"/>
      <c r="C42" s="177"/>
      <c r="D42" s="177"/>
      <c r="E42" s="177"/>
      <c r="F42" s="177"/>
      <c r="G42" s="905"/>
      <c r="H42" s="327">
        <f ca="1">SUM(H41)</f>
        <v>0</v>
      </c>
      <c r="I42" s="906"/>
      <c r="J42" s="328">
        <f ca="1">SUM(J41)</f>
        <v>0</v>
      </c>
      <c r="K42" s="20"/>
      <c r="M42" s="126"/>
      <c r="N42" s="1054" t="str">
        <f t="shared" ca="1" si="2"/>
        <v>##H</v>
      </c>
      <c r="O42" s="2"/>
      <c r="P42" s="271" t="s">
        <v>532</v>
      </c>
      <c r="R42" s="24"/>
      <c r="U42" s="24" t="s">
        <v>50</v>
      </c>
    </row>
    <row r="43" spans="1:21" ht="15" customHeight="1">
      <c r="A43" s="46"/>
      <c r="B43" s="1264"/>
      <c r="C43" s="210"/>
      <c r="D43" s="210"/>
      <c r="E43" s="210"/>
      <c r="F43" s="210"/>
      <c r="G43" s="827"/>
      <c r="H43" s="827"/>
      <c r="I43" s="32"/>
      <c r="J43" s="32"/>
      <c r="K43" s="20"/>
      <c r="M43" s="126"/>
      <c r="N43" s="126"/>
      <c r="O43" s="2"/>
      <c r="P43" s="271"/>
      <c r="R43" s="24"/>
    </row>
    <row r="44" spans="1:21" ht="15" customHeight="1">
      <c r="A44" s="1149">
        <f>NTA!F92</f>
        <v>33</v>
      </c>
      <c r="B44" s="1149" t="str">
        <f>NTA!C92</f>
        <v>Other non-current liabilities</v>
      </c>
      <c r="C44" s="32"/>
      <c r="D44" s="32"/>
      <c r="E44" s="100"/>
      <c r="F44" s="100"/>
      <c r="H44" s="20"/>
      <c r="I44" s="126"/>
      <c r="J44" s="1172" t="str">
        <f>+'Master Sheet'!$C$65</f>
        <v>(Amount in INR)</v>
      </c>
      <c r="K44" s="20"/>
      <c r="L44" s="2"/>
      <c r="M44" s="2"/>
      <c r="N44" s="2"/>
      <c r="O44" s="20"/>
      <c r="P44" s="271"/>
      <c r="Q44" s="271"/>
    </row>
    <row r="45" spans="1:21" ht="15" customHeight="1">
      <c r="A45" s="569"/>
      <c r="B45" s="1323" t="s">
        <v>500</v>
      </c>
      <c r="C45" s="1323"/>
      <c r="D45" s="1323"/>
      <c r="E45" s="1323"/>
      <c r="F45" s="1323"/>
      <c r="G45" s="811"/>
      <c r="H45" s="1150" t="e">
        <f ca="1">BS_CY</f>
        <v>#NAME?</v>
      </c>
      <c r="I45" s="813"/>
      <c r="J45" s="1151" t="e">
        <f ca="1">BS_PY</f>
        <v>#NAME?</v>
      </c>
      <c r="K45" s="20"/>
      <c r="L45" s="2"/>
      <c r="M45" s="2"/>
      <c r="N45" s="2"/>
      <c r="O45" s="20"/>
      <c r="P45" s="271"/>
      <c r="Q45" s="271"/>
    </row>
    <row r="46" spans="1:21" ht="15" hidden="1" customHeight="1">
      <c r="A46" s="46"/>
      <c r="B46" s="910" t="s">
        <v>334</v>
      </c>
      <c r="C46" s="58"/>
      <c r="D46" s="58"/>
      <c r="E46" s="58"/>
      <c r="F46" s="58"/>
      <c r="G46" s="218"/>
      <c r="H46" s="327">
        <f ca="1">IFERROR(INDEX(INDIRECT(VLOOKUP($U46,Source_Master,2,0),),MATCH(TEXT($P46,0),INDIRECT(VLOOKUP($U46,Source_Master,4,0)),0),MATCH(H$1,INDIRECT(VLOOKUP($U46,Source_Master,3,0),),0)),0)</f>
        <v>0</v>
      </c>
      <c r="I46" s="906"/>
      <c r="J46" s="328">
        <f ca="1">IFERROR(INDEX(INDIRECT(VLOOKUP($U46,Source_Master,2,0),),MATCH(TEXT($P46,0),INDIRECT(VLOOKUP($U46,Source_Master,4,0)),0),MATCH(J$1,INDIRECT(VLOOKUP($U46,Source_Master,3,0),),0)),0)</f>
        <v>0</v>
      </c>
      <c r="K46" s="20"/>
      <c r="L46" s="2"/>
      <c r="M46" s="2"/>
      <c r="N46" s="1054" t="str">
        <f t="shared" ref="N46:N47" ca="1" si="3">IF(AND(H46=0,J46=0),"##H","")</f>
        <v>##H</v>
      </c>
      <c r="O46" s="20"/>
      <c r="P46" s="271"/>
      <c r="Q46" s="271"/>
      <c r="U46" s="24" t="s">
        <v>50</v>
      </c>
    </row>
    <row r="47" spans="1:21" ht="15" hidden="1" customHeight="1">
      <c r="A47" s="46"/>
      <c r="B47" s="911" t="s">
        <v>246</v>
      </c>
      <c r="C47" s="177"/>
      <c r="D47" s="177"/>
      <c r="E47" s="177"/>
      <c r="F47" s="177"/>
      <c r="G47" s="905"/>
      <c r="H47" s="327">
        <f ca="1">SUM(H46:H46)</f>
        <v>0</v>
      </c>
      <c r="I47" s="906"/>
      <c r="J47" s="328">
        <f ca="1">IFERROR(INDEX(INDIRECT(VLOOKUP($Q47,Source_Master,2,0),),MATCH(TEXT($P47,0),INDIRECT(VLOOKUP($Q47,Source_Master,4,0)),0),MATCH($J$1,INDIRECT(VLOOKUP($Q47,Source_Master,3,0),),0)),0)</f>
        <v>0</v>
      </c>
      <c r="K47" s="20"/>
      <c r="L47" s="2"/>
      <c r="M47" s="2"/>
      <c r="N47" s="1054" t="str">
        <f t="shared" ca="1" si="3"/>
        <v>##H</v>
      </c>
      <c r="O47" s="20"/>
      <c r="P47" s="271"/>
      <c r="Q47" s="271"/>
    </row>
    <row r="48" spans="1:21" ht="15" customHeight="1">
      <c r="A48" s="46"/>
      <c r="B48" s="1264"/>
      <c r="C48" s="32"/>
      <c r="D48" s="32"/>
      <c r="E48" s="100"/>
      <c r="F48" s="100"/>
      <c r="H48" s="20"/>
      <c r="I48" s="126"/>
      <c r="J48" s="15"/>
      <c r="K48" s="20"/>
      <c r="L48" s="2"/>
      <c r="M48" s="2"/>
      <c r="N48" s="2"/>
      <c r="O48" s="20"/>
      <c r="P48" s="271"/>
      <c r="Q48" s="271"/>
    </row>
    <row r="49" spans="1:21" ht="15" customHeight="1">
      <c r="A49" s="1149">
        <f>NTA!F96</f>
        <v>34</v>
      </c>
      <c r="B49" s="1149" t="str">
        <f>NTA!C96&amp;" (Current)"</f>
        <v>Borrowings (Current)</v>
      </c>
      <c r="H49" s="20"/>
      <c r="I49" s="20"/>
      <c r="J49" s="1172" t="str">
        <f>+'Master Sheet'!$C$65</f>
        <v>(Amount in INR)</v>
      </c>
      <c r="K49" s="20"/>
      <c r="M49" s="20"/>
      <c r="N49" s="20"/>
      <c r="O49" s="2"/>
      <c r="P49" s="271"/>
    </row>
    <row r="50" spans="1:21" ht="15" customHeight="1">
      <c r="A50" s="569"/>
      <c r="B50" s="1323" t="s">
        <v>500</v>
      </c>
      <c r="C50" s="1323"/>
      <c r="D50" s="1323"/>
      <c r="E50" s="1323"/>
      <c r="F50" s="1323"/>
      <c r="G50" s="811"/>
      <c r="H50" s="1150" t="e">
        <f ca="1">BS_CY</f>
        <v>#NAME?</v>
      </c>
      <c r="I50" s="813"/>
      <c r="J50" s="1151" t="e">
        <f ca="1">BS_PY</f>
        <v>#NAME?</v>
      </c>
      <c r="K50" s="20"/>
      <c r="M50" s="20"/>
      <c r="N50" s="20"/>
      <c r="O50" s="2"/>
      <c r="P50" s="271"/>
    </row>
    <row r="51" spans="1:21" ht="15" customHeight="1">
      <c r="A51" s="46"/>
      <c r="B51" s="266" t="s">
        <v>1611</v>
      </c>
      <c r="C51" s="58"/>
      <c r="D51" s="58"/>
      <c r="E51" s="58"/>
      <c r="F51" s="58"/>
      <c r="G51" s="86"/>
      <c r="H51" s="324"/>
      <c r="I51" s="75"/>
      <c r="J51" s="75"/>
      <c r="K51" s="20"/>
      <c r="M51" s="20"/>
      <c r="N51" s="20"/>
      <c r="O51" s="2"/>
      <c r="P51" s="271"/>
      <c r="R51" s="24"/>
    </row>
    <row r="52" spans="1:21" ht="15" customHeight="1">
      <c r="A52" s="46"/>
      <c r="B52" s="912" t="s">
        <v>1612</v>
      </c>
      <c r="C52" s="58"/>
      <c r="D52" s="58"/>
      <c r="E52" s="58"/>
      <c r="F52" s="58"/>
      <c r="G52" s="214"/>
      <c r="H52" s="214"/>
      <c r="I52" s="215"/>
      <c r="J52" s="215"/>
      <c r="K52" s="20"/>
      <c r="M52" s="20"/>
      <c r="N52" s="20"/>
      <c r="O52" s="2"/>
      <c r="P52" s="271"/>
      <c r="R52" s="24"/>
    </row>
    <row r="53" spans="1:21" ht="15" customHeight="1">
      <c r="A53" s="46"/>
      <c r="B53" s="913"/>
      <c r="C53" s="68" t="s">
        <v>1613</v>
      </c>
      <c r="D53" s="58"/>
      <c r="E53" s="58"/>
      <c r="F53" s="58"/>
      <c r="G53" s="214"/>
      <c r="H53" s="129">
        <f t="shared" ref="H53:H58" ca="1" si="4">IFERROR(INDEX(INDIRECT(VLOOKUP($U53,Source_Master,2,0),),MATCH(TEXT($P53,0),INDIRECT(VLOOKUP($U53,Source_Master,4,0)),0),MATCH(H$1,INDIRECT(VLOOKUP($U53,Source_Master,3,0),),0)),0)</f>
        <v>0</v>
      </c>
      <c r="I53" s="215"/>
      <c r="J53" s="185">
        <f t="shared" ref="J53:J58" ca="1" si="5">IFERROR(INDEX(INDIRECT(VLOOKUP($U53,Source_Master,2,0),),MATCH(TEXT($P53,0),INDIRECT(VLOOKUP($U53,Source_Master,4,0)),0),MATCH(J$1,INDIRECT(VLOOKUP($U53,Source_Master,3,0),),0)),0)</f>
        <v>0</v>
      </c>
      <c r="K53" s="20"/>
      <c r="M53" s="20"/>
      <c r="N53" s="1054" t="str">
        <f t="shared" ref="N53:N59" ca="1" si="6">IF(AND(H53=0,J53=0),"##H","")</f>
        <v>##H</v>
      </c>
      <c r="O53" s="2"/>
      <c r="P53" s="271" t="s">
        <v>1614</v>
      </c>
      <c r="R53" s="24"/>
      <c r="U53" s="24" t="s">
        <v>50</v>
      </c>
    </row>
    <row r="54" spans="1:21" ht="15" customHeight="1">
      <c r="A54" s="46"/>
      <c r="B54" s="913"/>
      <c r="C54" s="58" t="s">
        <v>1615</v>
      </c>
      <c r="D54" s="58"/>
      <c r="E54" s="58"/>
      <c r="F54" s="58"/>
      <c r="G54" s="214"/>
      <c r="H54" s="129">
        <f t="shared" ca="1" si="4"/>
        <v>0</v>
      </c>
      <c r="I54" s="215"/>
      <c r="J54" s="185">
        <f t="shared" ca="1" si="5"/>
        <v>0</v>
      </c>
      <c r="K54" s="20"/>
      <c r="M54" s="20"/>
      <c r="N54" s="1054" t="str">
        <f t="shared" ca="1" si="6"/>
        <v>##H</v>
      </c>
      <c r="O54" s="2"/>
      <c r="P54" s="271" t="s">
        <v>1616</v>
      </c>
      <c r="R54" s="24"/>
      <c r="U54" s="24" t="s">
        <v>50</v>
      </c>
    </row>
    <row r="55" spans="1:21" ht="15" hidden="1" customHeight="1">
      <c r="A55" s="46"/>
      <c r="B55" s="912" t="s">
        <v>1617</v>
      </c>
      <c r="C55" s="58"/>
      <c r="D55" s="58"/>
      <c r="E55" s="58"/>
      <c r="F55" s="58"/>
      <c r="G55" s="214"/>
      <c r="H55" s="129">
        <f t="shared" ca="1" si="4"/>
        <v>0</v>
      </c>
      <c r="I55" s="215"/>
      <c r="J55" s="185">
        <f t="shared" ca="1" si="5"/>
        <v>0</v>
      </c>
      <c r="K55" s="20"/>
      <c r="M55" s="20"/>
      <c r="N55" s="1054" t="str">
        <f t="shared" ca="1" si="6"/>
        <v>##H</v>
      </c>
      <c r="O55" s="2"/>
      <c r="P55" s="271" t="s">
        <v>1618</v>
      </c>
      <c r="R55" s="24"/>
      <c r="U55" s="24" t="s">
        <v>50</v>
      </c>
    </row>
    <row r="56" spans="1:21" ht="15" hidden="1" customHeight="1">
      <c r="A56" s="46"/>
      <c r="B56" s="912" t="s">
        <v>1619</v>
      </c>
      <c r="C56" s="58"/>
      <c r="D56" s="58"/>
      <c r="E56" s="58"/>
      <c r="F56" s="58"/>
      <c r="G56" s="214"/>
      <c r="H56" s="129">
        <f t="shared" ca="1" si="4"/>
        <v>0</v>
      </c>
      <c r="I56" s="215"/>
      <c r="J56" s="185">
        <f t="shared" ca="1" si="5"/>
        <v>0</v>
      </c>
      <c r="K56" s="20"/>
      <c r="M56" s="20"/>
      <c r="N56" s="1054" t="str">
        <f t="shared" ca="1" si="6"/>
        <v>##H</v>
      </c>
      <c r="O56" s="2"/>
      <c r="P56" s="271" t="s">
        <v>1620</v>
      </c>
      <c r="R56" s="24"/>
      <c r="U56" s="24" t="s">
        <v>50</v>
      </c>
    </row>
    <row r="57" spans="1:21" ht="15" customHeight="1">
      <c r="A57" s="46"/>
      <c r="B57" s="266" t="s">
        <v>1621</v>
      </c>
      <c r="C57" s="58"/>
      <c r="D57" s="58"/>
      <c r="E57" s="58"/>
      <c r="F57" s="58"/>
      <c r="G57" s="214"/>
      <c r="H57" s="129">
        <f t="shared" ca="1" si="4"/>
        <v>0</v>
      </c>
      <c r="I57" s="215"/>
      <c r="J57" s="185">
        <f t="shared" ca="1" si="5"/>
        <v>0</v>
      </c>
      <c r="K57" s="20"/>
      <c r="M57" s="20"/>
      <c r="N57" s="1054" t="str">
        <f t="shared" ca="1" si="6"/>
        <v>##H</v>
      </c>
      <c r="O57" s="2"/>
      <c r="P57" s="271" t="s">
        <v>1622</v>
      </c>
      <c r="R57" s="24"/>
      <c r="U57" s="24" t="s">
        <v>50</v>
      </c>
    </row>
    <row r="58" spans="1:21" ht="15" hidden="1" customHeight="1">
      <c r="A58" s="46"/>
      <c r="B58" s="266" t="s">
        <v>1623</v>
      </c>
      <c r="C58" s="58"/>
      <c r="D58" s="58"/>
      <c r="E58" s="58"/>
      <c r="F58" s="58"/>
      <c r="G58" s="214"/>
      <c r="H58" s="129">
        <f t="shared" ca="1" si="4"/>
        <v>0</v>
      </c>
      <c r="I58" s="215"/>
      <c r="J58" s="185">
        <f t="shared" ca="1" si="5"/>
        <v>0</v>
      </c>
      <c r="K58" s="20"/>
      <c r="M58" s="20"/>
      <c r="N58" s="1054" t="str">
        <f t="shared" ca="1" si="6"/>
        <v>##H</v>
      </c>
      <c r="O58" s="2"/>
      <c r="P58" s="271" t="s">
        <v>1624</v>
      </c>
      <c r="R58" s="24"/>
      <c r="U58" s="24" t="s">
        <v>50</v>
      </c>
    </row>
    <row r="59" spans="1:21" ht="15" customHeight="1">
      <c r="A59" s="46"/>
      <c r="B59" s="1250" t="s">
        <v>246</v>
      </c>
      <c r="C59" s="224"/>
      <c r="D59" s="199"/>
      <c r="E59" s="199"/>
      <c r="F59" s="199"/>
      <c r="G59" s="714"/>
      <c r="H59" s="69">
        <f ca="1">SUM(H51:H58)</f>
        <v>0</v>
      </c>
      <c r="I59" s="363"/>
      <c r="J59" s="175">
        <f ca="1">SUM(J51:J58)</f>
        <v>0</v>
      </c>
      <c r="K59" s="20"/>
      <c r="L59" s="269"/>
      <c r="M59" s="269"/>
      <c r="N59" s="1054" t="str">
        <f t="shared" ca="1" si="6"/>
        <v>##H</v>
      </c>
      <c r="O59" s="2"/>
      <c r="P59" s="271" t="s">
        <v>534</v>
      </c>
      <c r="U59" s="24" t="s">
        <v>50</v>
      </c>
    </row>
    <row r="60" spans="1:21" ht="7.35" customHeight="1">
      <c r="A60" s="46"/>
      <c r="B60" s="1264"/>
      <c r="C60" s="32"/>
      <c r="D60" s="32"/>
      <c r="E60" s="21"/>
      <c r="F60" s="21"/>
      <c r="H60" s="20"/>
      <c r="I60" s="126"/>
      <c r="J60" s="15"/>
      <c r="K60" s="20"/>
      <c r="L60" s="2"/>
      <c r="M60" s="20"/>
      <c r="N60" s="20"/>
      <c r="O60" s="20"/>
      <c r="P60" s="271"/>
      <c r="Q60" s="271"/>
    </row>
    <row r="61" spans="1:21" ht="15" customHeight="1">
      <c r="A61" s="46"/>
      <c r="B61" s="1264"/>
      <c r="C61" s="1264"/>
      <c r="D61" s="1264"/>
      <c r="E61" s="21"/>
      <c r="F61" s="21"/>
      <c r="H61" s="20"/>
      <c r="I61" s="126"/>
      <c r="J61" s="15"/>
      <c r="K61" s="20"/>
      <c r="L61" s="2"/>
      <c r="M61" s="20"/>
      <c r="N61" s="20"/>
      <c r="O61" s="20"/>
      <c r="P61" s="271"/>
      <c r="Q61" s="271"/>
    </row>
    <row r="62" spans="1:21" ht="15" customHeight="1">
      <c r="A62" s="46"/>
      <c r="B62" s="1149">
        <f>NTA!F97</f>
        <v>34.1</v>
      </c>
      <c r="C62" s="1064" t="str">
        <f>NTA!C97</f>
        <v>Maturity profile of Unsecured Term Loans</v>
      </c>
      <c r="H62" s="20"/>
      <c r="I62" s="20"/>
      <c r="J62" s="1188" t="str">
        <f>+'Master Sheet'!$C$65</f>
        <v>(Amount in INR)</v>
      </c>
      <c r="K62" s="329"/>
      <c r="M62" s="20"/>
      <c r="N62" s="20"/>
      <c r="O62" s="2"/>
      <c r="P62" s="271"/>
    </row>
    <row r="63" spans="1:21" ht="15" customHeight="1">
      <c r="B63" s="1264"/>
      <c r="C63" s="1323" t="s">
        <v>500</v>
      </c>
      <c r="D63" s="1323"/>
      <c r="E63" s="1323"/>
      <c r="F63" s="1323"/>
      <c r="G63" s="811"/>
      <c r="H63" s="1150" t="e">
        <f ca="1">BS_CY</f>
        <v>#NAME?</v>
      </c>
      <c r="I63" s="813"/>
      <c r="J63" s="1151" t="e">
        <f ca="1">BS_PY</f>
        <v>#NAME?</v>
      </c>
      <c r="K63" s="43"/>
      <c r="M63" s="20"/>
      <c r="N63" s="20"/>
      <c r="O63" s="2"/>
      <c r="P63" s="271"/>
    </row>
    <row r="64" spans="1:21" ht="15" customHeight="1">
      <c r="A64" s="330"/>
      <c r="B64" s="336"/>
      <c r="C64" s="331" t="s">
        <v>1625</v>
      </c>
      <c r="D64" s="331"/>
      <c r="E64" s="331"/>
      <c r="F64" s="331"/>
      <c r="G64" s="137"/>
      <c r="H64" s="237"/>
      <c r="I64" s="121"/>
      <c r="J64" s="121"/>
      <c r="K64" s="1278"/>
      <c r="M64" s="20"/>
      <c r="N64" s="20"/>
      <c r="O64" s="2"/>
      <c r="P64" s="271"/>
    </row>
    <row r="65" spans="1:18" ht="15" hidden="1" customHeight="1">
      <c r="A65" s="330"/>
      <c r="B65" s="336"/>
      <c r="C65" s="332" t="s">
        <v>1626</v>
      </c>
      <c r="D65" s="332"/>
      <c r="E65" s="332"/>
      <c r="F65" s="332"/>
      <c r="G65" s="86"/>
      <c r="H65" s="129">
        <f t="shared" ref="H65:H70" ca="1" si="7">IFERROR(INDEX(INDIRECT(VLOOKUP($U65,Source_Master,2,0),),MATCH(TEXT($P65,0),INDIRECT(VLOOKUP($U65,Source_Master,4,0)),0),MATCH(H$1,INDIRECT(VLOOKUP($U65,Source_Master,3,0),),0)),0)</f>
        <v>0</v>
      </c>
      <c r="I65" s="79"/>
      <c r="J65" s="62">
        <f t="shared" ref="J65:J70" ca="1" si="8">IFERROR(INDEX(INDIRECT(VLOOKUP($U65,Source_Master,2,0),),MATCH(TEXT($P65,0),INDIRECT(VLOOKUP($U65,Source_Master,4,0)),0),MATCH(J$1,INDIRECT(VLOOKUP($U65,Source_Master,3,0),),0)),0)</f>
        <v>0</v>
      </c>
      <c r="K65" s="1575"/>
      <c r="M65" s="20"/>
      <c r="N65" s="1054" t="str">
        <f t="shared" ref="N65:N71" ca="1" si="9">IF(AND(H65=0,J65=0),"##H","")</f>
        <v>##H</v>
      </c>
      <c r="O65" s="2"/>
      <c r="P65" s="432" t="s">
        <v>1627</v>
      </c>
      <c r="Q65" s="24" t="s">
        <v>1628</v>
      </c>
      <c r="R65" s="24" t="s">
        <v>1628</v>
      </c>
    </row>
    <row r="66" spans="1:18" ht="15" hidden="1" customHeight="1">
      <c r="A66" s="330"/>
      <c r="B66" s="336"/>
      <c r="C66" s="332" t="s">
        <v>1629</v>
      </c>
      <c r="D66" s="332"/>
      <c r="E66" s="332"/>
      <c r="F66" s="332"/>
      <c r="G66" s="86"/>
      <c r="H66" s="129">
        <f t="shared" ca="1" si="7"/>
        <v>0</v>
      </c>
      <c r="I66" s="79"/>
      <c r="J66" s="62">
        <f t="shared" ca="1" si="8"/>
        <v>0</v>
      </c>
      <c r="K66" s="1575"/>
      <c r="M66" s="20"/>
      <c r="N66" s="1054" t="str">
        <f t="shared" ca="1" si="9"/>
        <v>##H</v>
      </c>
      <c r="O66" s="2"/>
      <c r="P66" s="432" t="s">
        <v>1630</v>
      </c>
      <c r="Q66" s="24" t="s">
        <v>1628</v>
      </c>
      <c r="R66" s="24" t="s">
        <v>1628</v>
      </c>
    </row>
    <row r="67" spans="1:18" ht="15" hidden="1" customHeight="1">
      <c r="A67" s="330"/>
      <c r="B67" s="336"/>
      <c r="C67" s="333" t="s">
        <v>1631</v>
      </c>
      <c r="D67" s="333"/>
      <c r="E67" s="333"/>
      <c r="F67" s="333"/>
      <c r="G67" s="86"/>
      <c r="H67" s="129">
        <f t="shared" ca="1" si="7"/>
        <v>0</v>
      </c>
      <c r="I67" s="79"/>
      <c r="J67" s="62">
        <f t="shared" ca="1" si="8"/>
        <v>0</v>
      </c>
      <c r="K67" s="1575"/>
      <c r="M67" s="20"/>
      <c r="N67" s="1054" t="str">
        <f t="shared" ca="1" si="9"/>
        <v>##H</v>
      </c>
      <c r="O67" s="2"/>
      <c r="P67" s="432" t="s">
        <v>1632</v>
      </c>
      <c r="Q67" s="24" t="s">
        <v>1628</v>
      </c>
      <c r="R67" s="24" t="s">
        <v>1628</v>
      </c>
    </row>
    <row r="68" spans="1:18" ht="15" hidden="1" customHeight="1">
      <c r="A68" s="330"/>
      <c r="B68" s="336"/>
      <c r="C68" s="333" t="s">
        <v>1633</v>
      </c>
      <c r="D68" s="333"/>
      <c r="E68" s="333"/>
      <c r="F68" s="333"/>
      <c r="G68" s="86"/>
      <c r="H68" s="129">
        <f t="shared" ca="1" si="7"/>
        <v>0</v>
      </c>
      <c r="I68" s="79"/>
      <c r="J68" s="62">
        <f t="shared" ca="1" si="8"/>
        <v>0</v>
      </c>
      <c r="K68" s="1575"/>
      <c r="M68" s="20"/>
      <c r="N68" s="1054" t="str">
        <f t="shared" ca="1" si="9"/>
        <v>##H</v>
      </c>
      <c r="O68" s="2"/>
      <c r="P68" s="432" t="s">
        <v>1634</v>
      </c>
      <c r="Q68" s="24" t="s">
        <v>1628</v>
      </c>
      <c r="R68" s="24" t="s">
        <v>1628</v>
      </c>
    </row>
    <row r="69" spans="1:18" ht="15" hidden="1" customHeight="1">
      <c r="A69" s="330"/>
      <c r="B69" s="336"/>
      <c r="C69" s="333" t="s">
        <v>1635</v>
      </c>
      <c r="D69" s="333"/>
      <c r="E69" s="333"/>
      <c r="F69" s="333"/>
      <c r="G69" s="86"/>
      <c r="H69" s="129">
        <f t="shared" ca="1" si="7"/>
        <v>0</v>
      </c>
      <c r="I69" s="79"/>
      <c r="J69" s="62">
        <f t="shared" ca="1" si="8"/>
        <v>0</v>
      </c>
      <c r="K69" s="1575"/>
      <c r="M69" s="20"/>
      <c r="N69" s="1054" t="str">
        <f t="shared" ca="1" si="9"/>
        <v>##H</v>
      </c>
      <c r="O69" s="2"/>
      <c r="P69" s="432" t="s">
        <v>1636</v>
      </c>
      <c r="Q69" s="24" t="s">
        <v>1628</v>
      </c>
      <c r="R69" s="24" t="s">
        <v>1628</v>
      </c>
    </row>
    <row r="70" spans="1:18" ht="15" hidden="1" customHeight="1">
      <c r="A70" s="330"/>
      <c r="B70" s="336"/>
      <c r="C70" s="332" t="s">
        <v>1637</v>
      </c>
      <c r="D70" s="332"/>
      <c r="E70" s="332"/>
      <c r="F70" s="332"/>
      <c r="G70" s="218"/>
      <c r="H70" s="230">
        <f t="shared" ca="1" si="7"/>
        <v>0</v>
      </c>
      <c r="I70" s="270"/>
      <c r="J70" s="231">
        <f t="shared" ca="1" si="8"/>
        <v>0</v>
      </c>
      <c r="K70" s="1575"/>
      <c r="M70" s="20"/>
      <c r="N70" s="1054" t="str">
        <f t="shared" ca="1" si="9"/>
        <v>##H</v>
      </c>
      <c r="O70" s="2"/>
      <c r="P70" s="432" t="s">
        <v>1638</v>
      </c>
      <c r="Q70" s="24" t="s">
        <v>1628</v>
      </c>
      <c r="R70" s="24" t="s">
        <v>1628</v>
      </c>
    </row>
    <row r="71" spans="1:18" ht="15" hidden="1" customHeight="1">
      <c r="A71" s="330"/>
      <c r="B71" s="336"/>
      <c r="C71" s="334" t="s">
        <v>246</v>
      </c>
      <c r="D71" s="334"/>
      <c r="E71" s="334"/>
      <c r="F71" s="334"/>
      <c r="G71" s="362"/>
      <c r="H71" s="178">
        <f ca="1">SUM(H65:H70)</f>
        <v>0</v>
      </c>
      <c r="I71" s="363"/>
      <c r="J71" s="175">
        <f ca="1">SUM(J65:J70)</f>
        <v>0</v>
      </c>
      <c r="K71" s="1576"/>
      <c r="M71" s="335"/>
      <c r="N71" s="1054" t="str">
        <f t="shared" ca="1" si="9"/>
        <v>##H</v>
      </c>
      <c r="O71" s="335"/>
      <c r="P71" s="271"/>
    </row>
    <row r="72" spans="1:18" ht="7.35" customHeight="1">
      <c r="A72" s="330"/>
      <c r="B72" s="336"/>
      <c r="C72" s="337"/>
      <c r="D72" s="337"/>
      <c r="E72" s="338"/>
      <c r="F72" s="338"/>
      <c r="H72" s="20"/>
      <c r="I72" s="335"/>
      <c r="J72" s="335"/>
      <c r="K72" s="20"/>
      <c r="L72" s="2"/>
      <c r="M72" s="20"/>
      <c r="N72" s="20"/>
      <c r="O72" s="20"/>
      <c r="P72" s="271"/>
      <c r="Q72" s="271"/>
    </row>
    <row r="73" spans="1:18" ht="15" customHeight="1">
      <c r="A73" s="330"/>
      <c r="B73" s="336"/>
      <c r="C73" s="20" t="s">
        <v>1639</v>
      </c>
      <c r="H73" s="20"/>
      <c r="I73" s="20"/>
      <c r="J73" s="20"/>
      <c r="K73" s="20"/>
      <c r="L73" s="2"/>
      <c r="M73" s="20"/>
      <c r="N73" s="20"/>
      <c r="O73" s="20"/>
      <c r="P73" s="271"/>
      <c r="Q73" s="271"/>
    </row>
    <row r="74" spans="1:18" ht="15" customHeight="1">
      <c r="A74" s="330"/>
      <c r="B74" s="336"/>
      <c r="C74" s="337"/>
      <c r="D74" s="337"/>
      <c r="E74" s="338"/>
      <c r="F74" s="338"/>
      <c r="H74" s="20"/>
      <c r="I74" s="335"/>
      <c r="J74" s="335"/>
      <c r="K74" s="20"/>
      <c r="L74" s="2"/>
      <c r="M74" s="20"/>
      <c r="N74" s="20"/>
      <c r="O74" s="20"/>
      <c r="P74" s="271"/>
      <c r="Q74" s="271"/>
    </row>
    <row r="75" spans="1:18" ht="13.35" customHeight="1">
      <c r="B75" s="821"/>
      <c r="C75" s="47" t="s">
        <v>1640</v>
      </c>
      <c r="D75" s="47"/>
      <c r="E75" s="47"/>
      <c r="F75" s="47"/>
      <c r="G75" s="47"/>
      <c r="H75" s="47"/>
      <c r="I75" s="47"/>
      <c r="J75" s="47"/>
      <c r="K75" s="20"/>
      <c r="L75" s="2"/>
      <c r="M75" s="20"/>
      <c r="N75" s="20"/>
      <c r="O75" s="20"/>
      <c r="P75" s="271"/>
      <c r="Q75" s="271"/>
    </row>
    <row r="76" spans="1:18" ht="13.35" customHeight="1">
      <c r="B76" s="821"/>
      <c r="C76" s="339"/>
      <c r="D76" s="339"/>
      <c r="E76" s="339"/>
      <c r="F76" s="339"/>
      <c r="G76" s="339"/>
      <c r="H76" s="339"/>
      <c r="I76" s="339"/>
      <c r="J76" s="339"/>
      <c r="K76" s="20"/>
      <c r="L76" s="2"/>
      <c r="M76" s="20"/>
      <c r="N76" s="20"/>
      <c r="O76" s="20"/>
      <c r="P76" s="271"/>
      <c r="Q76" s="271"/>
    </row>
    <row r="77" spans="1:18" ht="15" customHeight="1">
      <c r="B77" s="821"/>
      <c r="C77" s="47" t="s">
        <v>1641</v>
      </c>
      <c r="D77" s="47"/>
      <c r="E77" s="47"/>
      <c r="F77" s="47"/>
      <c r="G77" s="47"/>
      <c r="H77" s="47"/>
      <c r="I77" s="47"/>
      <c r="J77" s="47"/>
      <c r="K77" s="20"/>
      <c r="L77" s="2"/>
      <c r="M77" s="20"/>
      <c r="N77" s="20"/>
      <c r="O77" s="20"/>
      <c r="P77" s="271"/>
      <c r="Q77" s="271"/>
    </row>
    <row r="78" spans="1:18">
      <c r="B78" s="1264"/>
      <c r="C78" s="42"/>
      <c r="D78" s="42"/>
      <c r="E78" s="42"/>
      <c r="F78" s="42"/>
      <c r="H78" s="20"/>
      <c r="I78" s="20"/>
      <c r="J78" s="15"/>
      <c r="K78" s="20"/>
      <c r="L78" s="2"/>
      <c r="M78" s="20"/>
      <c r="N78" s="20"/>
      <c r="O78" s="20"/>
      <c r="P78" s="271"/>
      <c r="Q78" s="271"/>
    </row>
    <row r="79" spans="1:18">
      <c r="B79" s="210" t="s">
        <v>1642</v>
      </c>
      <c r="C79" s="42"/>
      <c r="D79" s="42"/>
      <c r="E79" s="42"/>
      <c r="F79" s="42"/>
      <c r="H79" s="20"/>
      <c r="I79" s="20"/>
      <c r="J79" s="15"/>
      <c r="K79" s="20"/>
      <c r="L79" s="2"/>
      <c r="M79" s="20"/>
      <c r="N79" s="20"/>
      <c r="O79" s="20"/>
      <c r="P79" s="271"/>
      <c r="Q79" s="271"/>
    </row>
    <row r="80" spans="1:18">
      <c r="B80" s="1264"/>
      <c r="C80" s="47" t="s">
        <v>1643</v>
      </c>
      <c r="D80" s="42"/>
      <c r="E80" s="42"/>
      <c r="F80" s="42"/>
      <c r="H80" s="20"/>
      <c r="I80" s="20"/>
      <c r="J80" s="15"/>
      <c r="K80" s="20"/>
      <c r="L80" s="2"/>
      <c r="M80" s="20"/>
      <c r="N80" s="20"/>
      <c r="O80" s="20"/>
      <c r="P80" s="271"/>
      <c r="Q80" s="271"/>
    </row>
    <row r="81" spans="1:21">
      <c r="B81" s="1264"/>
      <c r="C81" s="1408" t="s">
        <v>1644</v>
      </c>
      <c r="D81" s="1408"/>
      <c r="E81" s="1409" t="s">
        <v>1645</v>
      </c>
      <c r="F81" s="1410"/>
      <c r="G81" s="834"/>
      <c r="H81" s="1189" t="e">
        <f ca="1">BS_CY</f>
        <v>#NAME?</v>
      </c>
      <c r="I81" s="843"/>
      <c r="J81" s="1161" t="e">
        <f ca="1">BS_PY</f>
        <v>#NAME?</v>
      </c>
      <c r="K81" s="20"/>
      <c r="L81" s="2"/>
      <c r="M81" s="20"/>
      <c r="N81" s="20"/>
      <c r="O81" s="20"/>
      <c r="P81" s="271"/>
      <c r="Q81" s="271"/>
    </row>
    <row r="82" spans="1:21">
      <c r="B82" s="1264"/>
      <c r="C82" s="667" t="s">
        <v>1646</v>
      </c>
      <c r="D82" s="666"/>
      <c r="E82" s="1411" t="s">
        <v>1647</v>
      </c>
      <c r="F82" s="1412"/>
      <c r="G82" s="214"/>
      <c r="H82" s="662">
        <f ca="1">IFERROR(INDEX(INDIRECT(VLOOKUP($U82,Source_Master,2,0),),MATCH(TEXT($P82,0),INDIRECT(VLOOKUP($U82,Source_Master,4,0)),0),MATCH(H$1,INDIRECT(VLOOKUP($U82,Source_Master,3,0),),0)),0)</f>
        <v>0</v>
      </c>
      <c r="I82" s="1574"/>
      <c r="J82" s="1543">
        <f ca="1">IFERROR(INDEX(INDIRECT(VLOOKUP($U82,Source_Master,2,0),),MATCH(TEXT($P82,0),INDIRECT(VLOOKUP($U82,Source_Master,4,0)),0),MATCH(J$1,INDIRECT(VLOOKUP($U82,Source_Master,3,0),),0)),0)</f>
        <v>0</v>
      </c>
      <c r="K82" s="20"/>
      <c r="L82" s="2"/>
      <c r="M82" s="20"/>
      <c r="N82" s="20"/>
      <c r="O82" s="20"/>
      <c r="P82" s="271" t="s">
        <v>1648</v>
      </c>
      <c r="Q82" s="271"/>
      <c r="U82" s="24" t="s">
        <v>51</v>
      </c>
    </row>
    <row r="83" spans="1:21">
      <c r="B83" s="1264"/>
      <c r="C83" s="660"/>
      <c r="D83" s="660"/>
      <c r="E83" s="663"/>
      <c r="F83" s="665"/>
      <c r="G83" s="661"/>
      <c r="H83" s="664"/>
      <c r="I83" s="177"/>
      <c r="J83" s="202"/>
      <c r="K83" s="20"/>
      <c r="L83" s="2"/>
      <c r="M83" s="20"/>
      <c r="N83" s="20"/>
      <c r="O83" s="20"/>
      <c r="P83" s="271"/>
      <c r="Q83" s="271"/>
    </row>
    <row r="84" spans="1:21">
      <c r="B84" s="1264"/>
      <c r="C84" s="668"/>
      <c r="D84" s="668"/>
      <c r="E84" s="668"/>
      <c r="F84" s="668"/>
      <c r="G84" s="668"/>
      <c r="H84" s="668"/>
      <c r="I84" s="668"/>
      <c r="J84" s="668"/>
      <c r="K84" s="20"/>
      <c r="L84" s="2"/>
      <c r="M84" s="20"/>
      <c r="N84" s="20"/>
      <c r="O84" s="20"/>
      <c r="P84" s="271"/>
      <c r="Q84" s="271"/>
    </row>
    <row r="85" spans="1:21">
      <c r="B85" s="1264"/>
      <c r="C85" s="1589" t="s">
        <v>1649</v>
      </c>
      <c r="D85" s="1590"/>
      <c r="E85" s="1590"/>
      <c r="F85" s="1590"/>
      <c r="G85" s="1590"/>
      <c r="H85" s="1590"/>
      <c r="I85" s="1590"/>
      <c r="J85" s="1590"/>
      <c r="K85" s="20"/>
      <c r="L85" s="2"/>
      <c r="M85" s="20"/>
      <c r="N85" s="20"/>
      <c r="O85" s="20"/>
      <c r="P85" s="271"/>
      <c r="Q85" s="271"/>
    </row>
    <row r="86" spans="1:21">
      <c r="B86" s="1264"/>
      <c r="C86" s="1590" t="s">
        <v>1650</v>
      </c>
      <c r="D86" s="1590"/>
      <c r="E86" s="1590"/>
      <c r="F86" s="1590"/>
      <c r="G86" s="1590"/>
      <c r="H86" s="1590"/>
      <c r="I86" s="1590"/>
      <c r="J86" s="1590"/>
      <c r="K86" s="20"/>
      <c r="L86" s="2"/>
      <c r="M86" s="20"/>
      <c r="N86" s="20"/>
      <c r="O86" s="20"/>
      <c r="P86" s="271"/>
      <c r="Q86" s="271"/>
    </row>
    <row r="87" spans="1:21">
      <c r="B87" s="1264"/>
      <c r="C87" s="1590" t="s">
        <v>1651</v>
      </c>
      <c r="D87" s="1590"/>
      <c r="E87" s="1590"/>
      <c r="F87" s="1590"/>
      <c r="G87" s="1590"/>
      <c r="H87" s="1590"/>
      <c r="I87" s="1590"/>
      <c r="J87" s="1590"/>
      <c r="K87" s="20"/>
      <c r="L87" s="2"/>
      <c r="M87" s="20"/>
      <c r="N87" s="20"/>
      <c r="O87" s="20"/>
      <c r="P87" s="271"/>
      <c r="Q87" s="271"/>
    </row>
    <row r="88" spans="1:21">
      <c r="B88" s="1264"/>
      <c r="C88" s="1590" t="s">
        <v>1652</v>
      </c>
      <c r="D88" s="1590"/>
      <c r="E88" s="1590"/>
      <c r="F88" s="1590"/>
      <c r="G88" s="1590"/>
      <c r="H88" s="1590"/>
      <c r="I88" s="1590"/>
      <c r="J88" s="1590"/>
      <c r="K88" s="20"/>
      <c r="L88" s="2"/>
      <c r="M88" s="20"/>
      <c r="N88" s="20"/>
      <c r="O88" s="20"/>
      <c r="P88" s="271"/>
      <c r="Q88" s="271"/>
    </row>
    <row r="89" spans="1:21">
      <c r="B89" s="1264"/>
      <c r="C89" s="1590" t="s">
        <v>1653</v>
      </c>
      <c r="D89" s="1590"/>
      <c r="E89" s="1590"/>
      <c r="F89" s="1590"/>
      <c r="G89" s="1590"/>
      <c r="H89" s="1590"/>
      <c r="I89" s="1590"/>
      <c r="J89" s="1590"/>
      <c r="K89" s="20"/>
      <c r="L89" s="2"/>
      <c r="M89" s="20"/>
      <c r="N89" s="20"/>
      <c r="O89" s="20"/>
      <c r="P89" s="271"/>
      <c r="Q89" s="271"/>
    </row>
    <row r="90" spans="1:21">
      <c r="B90" s="1264"/>
      <c r="C90" s="1590"/>
      <c r="D90" s="1590"/>
      <c r="E90" s="1590"/>
      <c r="F90" s="1590"/>
      <c r="G90" s="1590"/>
      <c r="H90" s="1590"/>
      <c r="I90" s="1590"/>
      <c r="J90" s="1590"/>
      <c r="K90" s="20"/>
      <c r="L90" s="2"/>
      <c r="M90" s="20"/>
      <c r="N90" s="20"/>
      <c r="O90" s="20"/>
      <c r="P90" s="271"/>
      <c r="Q90" s="271"/>
    </row>
    <row r="91" spans="1:21" ht="15" customHeight="1">
      <c r="A91" s="1094">
        <f>NTA!F98</f>
        <v>35</v>
      </c>
      <c r="B91" s="1149" t="str">
        <f>NTA!C98&amp;" (Current)"</f>
        <v>Lease Liabilities (Current)</v>
      </c>
      <c r="C91" s="21"/>
      <c r="D91" s="21"/>
      <c r="E91" s="21"/>
      <c r="F91" s="21"/>
      <c r="H91" s="20"/>
      <c r="I91" s="20"/>
      <c r="J91" s="1172" t="str">
        <f>+'Master Sheet'!$C$65</f>
        <v>(Amount in INR)</v>
      </c>
      <c r="K91" s="321"/>
      <c r="M91" s="20"/>
      <c r="N91" s="20"/>
      <c r="O91" s="2"/>
      <c r="P91" s="271"/>
    </row>
    <row r="92" spans="1:21" ht="15" customHeight="1">
      <c r="A92" s="569"/>
      <c r="B92" s="1323" t="s">
        <v>500</v>
      </c>
      <c r="C92" s="1323"/>
      <c r="D92" s="1323"/>
      <c r="E92" s="1323"/>
      <c r="F92" s="1323"/>
      <c r="G92" s="811"/>
      <c r="H92" s="1150" t="e">
        <f ca="1">BS_CY</f>
        <v>#NAME?</v>
      </c>
      <c r="I92" s="813"/>
      <c r="J92" s="1151" t="e">
        <f ca="1">BS_PY</f>
        <v>#NAME?</v>
      </c>
      <c r="K92" s="43"/>
      <c r="M92" s="20"/>
      <c r="N92" s="20"/>
      <c r="O92" s="2"/>
      <c r="P92" s="271"/>
    </row>
    <row r="93" spans="1:21" ht="15" customHeight="1">
      <c r="A93" s="46"/>
      <c r="B93" s="266" t="s">
        <v>324</v>
      </c>
      <c r="C93" s="58"/>
      <c r="D93" s="58"/>
      <c r="E93" s="58"/>
      <c r="F93" s="58"/>
      <c r="G93" s="218"/>
      <c r="H93" s="327">
        <f ca="1">IFERROR(INDEX(INDIRECT(VLOOKUP($U93,Source_Master,2,0),),MATCH(TEXT($P93,0),INDIRECT(VLOOKUP($U93,Source_Master,4,0)),0),MATCH(H$1,INDIRECT(VLOOKUP($U93,Source_Master,3,0),),0)),0)</f>
        <v>0</v>
      </c>
      <c r="I93" s="906"/>
      <c r="J93" s="328">
        <f ca="1">IFERROR(INDEX(INDIRECT(VLOOKUP($U93,Source_Master,2,0),),MATCH(TEXT($P93,0),INDIRECT(VLOOKUP($U93,Source_Master,4,0)),0),MATCH(J$1,INDIRECT(VLOOKUP($U93,Source_Master,3,0),),0)),0)</f>
        <v>0</v>
      </c>
      <c r="K93" s="1575"/>
      <c r="M93" s="20"/>
      <c r="N93" s="1054" t="str">
        <f t="shared" ref="N93:N94" ca="1" si="10">IF(AND(H93=0,J93=0),"##H","")</f>
        <v>##H</v>
      </c>
      <c r="O93" s="2"/>
      <c r="P93" s="271" t="s">
        <v>535</v>
      </c>
      <c r="R93" s="24"/>
      <c r="U93" s="24" t="s">
        <v>50</v>
      </c>
    </row>
    <row r="94" spans="1:21" ht="15" customHeight="1">
      <c r="A94" s="46"/>
      <c r="B94" s="1250" t="s">
        <v>246</v>
      </c>
      <c r="C94" s="224"/>
      <c r="D94" s="199"/>
      <c r="E94" s="199"/>
      <c r="F94" s="199"/>
      <c r="G94" s="714"/>
      <c r="H94" s="69">
        <f ca="1">SUM(H93)</f>
        <v>0</v>
      </c>
      <c r="I94" s="363"/>
      <c r="J94" s="175">
        <f ca="1">SUM(J93)</f>
        <v>0</v>
      </c>
      <c r="K94" s="1572"/>
      <c r="M94" s="269"/>
      <c r="N94" s="1054" t="str">
        <f t="shared" ca="1" si="10"/>
        <v>##H</v>
      </c>
      <c r="O94" s="2"/>
      <c r="P94" s="271"/>
    </row>
    <row r="95" spans="1:21" ht="15" customHeight="1">
      <c r="A95" s="46"/>
      <c r="B95" s="1264"/>
      <c r="C95" s="32"/>
      <c r="D95" s="32"/>
      <c r="E95" s="100"/>
      <c r="F95" s="100"/>
      <c r="H95" s="20"/>
      <c r="I95" s="126"/>
      <c r="J95" s="15"/>
      <c r="K95" s="20"/>
      <c r="L95" s="2"/>
      <c r="M95" s="2"/>
      <c r="N95" s="2"/>
      <c r="O95" s="20"/>
      <c r="P95" s="271"/>
      <c r="Q95" s="271"/>
    </row>
    <row r="96" spans="1:21" ht="15" customHeight="1">
      <c r="A96" s="1149">
        <f>NTA!F99</f>
        <v>36</v>
      </c>
      <c r="B96" s="1149" t="str">
        <f>NTA!C99</f>
        <v>Trade Payables due to</v>
      </c>
      <c r="C96" s="21"/>
      <c r="D96" s="21"/>
      <c r="E96" s="21"/>
      <c r="F96" s="21"/>
      <c r="G96" s="21"/>
      <c r="H96" s="20"/>
      <c r="I96" s="20"/>
      <c r="J96" s="889"/>
      <c r="K96" s="321"/>
      <c r="L96" s="321"/>
      <c r="M96" s="321"/>
      <c r="N96" s="321"/>
      <c r="O96" s="20"/>
      <c r="P96" s="271"/>
      <c r="R96" s="24"/>
      <c r="S96" s="24"/>
      <c r="T96" s="24"/>
    </row>
    <row r="97" spans="1:21" ht="15" customHeight="1">
      <c r="A97" s="569"/>
      <c r="B97" s="1323" t="s">
        <v>500</v>
      </c>
      <c r="C97" s="1323"/>
      <c r="D97" s="1323"/>
      <c r="E97" s="1323"/>
      <c r="F97" s="1323"/>
      <c r="G97" s="811"/>
      <c r="H97" s="1150" t="e">
        <f ca="1">BS_CY</f>
        <v>#NAME?</v>
      </c>
      <c r="I97" s="723"/>
      <c r="J97" s="1093" t="e">
        <f ca="1">BS_PY</f>
        <v>#NAME?</v>
      </c>
      <c r="K97" s="100"/>
      <c r="L97" s="100"/>
      <c r="M97" s="100"/>
      <c r="N97" s="100"/>
      <c r="O97" s="20"/>
      <c r="P97" s="271"/>
      <c r="R97" s="24"/>
      <c r="S97" s="24"/>
      <c r="T97" s="24"/>
    </row>
    <row r="98" spans="1:21" ht="15" customHeight="1">
      <c r="A98" s="46"/>
      <c r="B98" s="58" t="s">
        <v>1654</v>
      </c>
      <c r="C98" s="58"/>
      <c r="D98" s="58"/>
      <c r="E98" s="58"/>
      <c r="F98" s="58"/>
      <c r="G98" s="86"/>
      <c r="H98" s="129">
        <f ca="1">IFERROR(INDEX(INDIRECT(VLOOKUP($U98,Source_Master,2,0),),MATCH(TEXT($P98,0),INDIRECT(VLOOKUP($U98,Source_Master,4,0)),0),MATCH($H$1,INDIRECT(VLOOKUP($U98,Source_Master,3,0),),0)),0)</f>
        <v>0</v>
      </c>
      <c r="I98" s="79"/>
      <c r="J98" s="62">
        <f ca="1">IFERROR(INDEX(INDIRECT(VLOOKUP($U98,Source_Master,2,0),),MATCH(TEXT($P98,0),INDIRECT(VLOOKUP($U98,Source_Master,4,0)),0),MATCH($J$1,INDIRECT(VLOOKUP($U98,Source_Master,3,0),),0)),0)</f>
        <v>0</v>
      </c>
      <c r="K98" s="1574"/>
      <c r="L98" s="1574"/>
      <c r="M98" s="1574"/>
      <c r="N98" s="1054" t="str">
        <f t="shared" ref="N98:N100" ca="1" si="11">IF(AND(H98=0,J98=0),"##H","")</f>
        <v>##H</v>
      </c>
      <c r="O98" s="20"/>
      <c r="P98" s="271" t="s">
        <v>536</v>
      </c>
      <c r="R98" s="24"/>
      <c r="S98" s="24"/>
      <c r="T98" s="24"/>
      <c r="U98" s="24" t="s">
        <v>50</v>
      </c>
    </row>
    <row r="99" spans="1:21" ht="15" customHeight="1">
      <c r="A99" s="46"/>
      <c r="B99" s="58" t="s">
        <v>1655</v>
      </c>
      <c r="C99" s="58"/>
      <c r="D99" s="58"/>
      <c r="E99" s="58"/>
      <c r="F99" s="58"/>
      <c r="G99" s="214"/>
      <c r="H99" s="176">
        <f ca="1">IFERROR(INDEX(INDIRECT(VLOOKUP($U99,Source_Master,2,0),),MATCH(TEXT($P99,0),INDIRECT(VLOOKUP($U99,Source_Master,4,0)),0),MATCH($H$1,INDIRECT(VLOOKUP($U99,Source_Master,3,0),),0)),0)</f>
        <v>0</v>
      </c>
      <c r="I99" s="215"/>
      <c r="J99" s="185">
        <f ca="1">IFERROR(INDEX(INDIRECT(VLOOKUP($U99,Source_Master,2,0),),MATCH(TEXT($P99,0),INDIRECT(VLOOKUP($U99,Source_Master,4,0)),0),MATCH($J$1,INDIRECT(VLOOKUP($U99,Source_Master,3,0),),0)),0)</f>
        <v>0</v>
      </c>
      <c r="K99" s="1574"/>
      <c r="L99" s="1574"/>
      <c r="M99" s="1574"/>
      <c r="N99" s="1054" t="str">
        <f t="shared" ca="1" si="11"/>
        <v>##H</v>
      </c>
      <c r="O99" s="20"/>
      <c r="P99" s="271" t="s">
        <v>537</v>
      </c>
      <c r="R99" s="24"/>
      <c r="S99" s="24"/>
      <c r="T99" s="24"/>
      <c r="U99" s="24" t="s">
        <v>50</v>
      </c>
    </row>
    <row r="100" spans="1:21" ht="15" customHeight="1">
      <c r="A100" s="46"/>
      <c r="B100" s="1250" t="s">
        <v>246</v>
      </c>
      <c r="C100" s="224"/>
      <c r="D100" s="199"/>
      <c r="E100" s="199"/>
      <c r="F100" s="199"/>
      <c r="G100" s="714"/>
      <c r="H100" s="69">
        <f ca="1">SUM(H98:H99)</f>
        <v>0</v>
      </c>
      <c r="I100" s="363"/>
      <c r="J100" s="175">
        <f ca="1">SUM(J98:J99)</f>
        <v>0</v>
      </c>
      <c r="K100" s="1573"/>
      <c r="L100" s="1573"/>
      <c r="M100" s="1573"/>
      <c r="N100" s="1054" t="str">
        <f t="shared" ca="1" si="11"/>
        <v>##H</v>
      </c>
      <c r="O100" s="269"/>
      <c r="P100" s="271" t="s">
        <v>1656</v>
      </c>
      <c r="R100" s="24"/>
      <c r="S100" s="24"/>
      <c r="T100" s="24"/>
      <c r="U100" s="24" t="s">
        <v>50</v>
      </c>
    </row>
    <row r="101" spans="1:21" ht="7.35" customHeight="1">
      <c r="A101" s="46"/>
      <c r="B101" s="1264"/>
      <c r="C101" s="32"/>
      <c r="D101" s="32"/>
      <c r="E101" s="32"/>
      <c r="F101" s="32"/>
      <c r="G101" s="32"/>
      <c r="H101" s="21"/>
      <c r="I101" s="21"/>
      <c r="J101" s="21"/>
      <c r="K101" s="21"/>
      <c r="L101" s="21"/>
      <c r="M101" s="21"/>
      <c r="N101" s="21"/>
      <c r="O101" s="126"/>
      <c r="P101" s="271"/>
      <c r="R101" s="24"/>
      <c r="S101" s="24"/>
      <c r="T101" s="24"/>
    </row>
    <row r="102" spans="1:21" ht="15" customHeight="1">
      <c r="B102" s="1149">
        <f>NTA!F102</f>
        <v>36.1</v>
      </c>
      <c r="C102" s="1064" t="str">
        <f>NTA!C102</f>
        <v>Trade Payables ageing schedule-Current Period</v>
      </c>
      <c r="H102" s="20"/>
      <c r="I102" s="889"/>
      <c r="J102" s="1190" t="str">
        <f>+'Master Sheet'!$C$65</f>
        <v>(Amount in INR)</v>
      </c>
      <c r="K102" s="321"/>
      <c r="L102" s="321"/>
      <c r="M102" s="20"/>
      <c r="N102" s="20"/>
      <c r="O102" s="20"/>
      <c r="R102" s="24"/>
      <c r="S102" s="24"/>
    </row>
    <row r="103" spans="1:21" ht="15" customHeight="1">
      <c r="B103" s="1264"/>
      <c r="C103" s="1314" t="s">
        <v>500</v>
      </c>
      <c r="D103" s="1404"/>
      <c r="E103" s="1401" t="e">
        <f ca="1">BS_CY</f>
        <v>#NAME?</v>
      </c>
      <c r="F103" s="1339"/>
      <c r="G103" s="1339"/>
      <c r="H103" s="1339"/>
      <c r="I103" s="1402"/>
      <c r="J103" s="1397" t="s">
        <v>246</v>
      </c>
      <c r="K103" s="46"/>
      <c r="L103" s="442"/>
      <c r="M103" s="46"/>
      <c r="N103" s="46"/>
      <c r="O103" s="20"/>
      <c r="P103" s="271"/>
      <c r="R103" s="24"/>
      <c r="S103" s="24"/>
      <c r="T103" s="24"/>
    </row>
    <row r="104" spans="1:21" ht="18" customHeight="1">
      <c r="B104" s="28"/>
      <c r="C104" s="1365"/>
      <c r="D104" s="1405"/>
      <c r="E104" s="1391" t="s">
        <v>1657</v>
      </c>
      <c r="F104" s="1392"/>
      <c r="G104" s="1392"/>
      <c r="H104" s="1392"/>
      <c r="I104" s="1393"/>
      <c r="J104" s="1391"/>
      <c r="K104" s="21"/>
      <c r="L104" s="21"/>
      <c r="M104" s="21"/>
      <c r="N104" s="21"/>
      <c r="O104" s="20"/>
      <c r="P104" s="271"/>
      <c r="R104" s="24"/>
      <c r="S104" s="24"/>
      <c r="T104" s="24"/>
    </row>
    <row r="105" spans="1:21" ht="29.25" customHeight="1">
      <c r="B105" s="28"/>
      <c r="C105" s="1406"/>
      <c r="D105" s="1407"/>
      <c r="E105" s="570" t="s">
        <v>1658</v>
      </c>
      <c r="F105" s="617" t="s">
        <v>1020</v>
      </c>
      <c r="G105" s="617" t="s">
        <v>1022</v>
      </c>
      <c r="H105" s="617" t="s">
        <v>1024</v>
      </c>
      <c r="I105" s="617" t="s">
        <v>1026</v>
      </c>
      <c r="J105" s="1398"/>
      <c r="K105" s="32"/>
      <c r="L105" s="32"/>
      <c r="M105" s="32"/>
      <c r="N105" s="32"/>
      <c r="O105" s="20"/>
      <c r="P105" s="570" t="s">
        <v>1658</v>
      </c>
      <c r="Q105" s="617" t="s">
        <v>1020</v>
      </c>
      <c r="R105" s="617" t="s">
        <v>1022</v>
      </c>
      <c r="S105" s="617" t="s">
        <v>1024</v>
      </c>
      <c r="T105" s="617" t="s">
        <v>1026</v>
      </c>
    </row>
    <row r="106" spans="1:21" ht="15" hidden="1" customHeight="1">
      <c r="B106" s="1264"/>
      <c r="C106" s="440" t="s">
        <v>1659</v>
      </c>
      <c r="D106" s="169"/>
      <c r="E106" s="602">
        <f t="shared" ref="E106" ca="1" si="12">IFERROR(INDEX(INDIRECT(VLOOKUP($U106,Source_Master,2,0),),MATCH(TEXT(P106,0),INDIRECT(VLOOKUP($U106,Source_Master,4,0)),0),MATCH($H$1,INDIRECT(VLOOKUP($U106,Source_Master,3,0),),0)),0)</f>
        <v>0</v>
      </c>
      <c r="F106" s="602">
        <f t="shared" ref="F106:F109" ca="1" si="13">IFERROR(INDEX(INDIRECT(VLOOKUP($U106,Source_Master,2,0),),MATCH(TEXT(Q106,0),INDIRECT(VLOOKUP($U106,Source_Master,4,0)),0),MATCH($H$1,INDIRECT(VLOOKUP($U106,Source_Master,3,0),),0)),0)</f>
        <v>0</v>
      </c>
      <c r="G106" s="602">
        <f ca="1">IFERROR(INDEX(INDIRECT(VLOOKUP($U106,Source_Master,2,0),),MATCH(TEXT(R106,0),INDIRECT(VLOOKUP($U106,Source_Master,4,0)),0),MATCH($H$1,INDIRECT(VLOOKUP($U106,Source_Master,3,0),),0)),0)</f>
        <v>0</v>
      </c>
      <c r="H106" s="602">
        <f t="shared" ref="H106:H109" ca="1" si="14">IFERROR(INDEX(INDIRECT(VLOOKUP($U106,Source_Master,2,0),),MATCH(TEXT(S106,0),INDIRECT(VLOOKUP($U106,Source_Master,4,0)),0),MATCH($H$1,INDIRECT(VLOOKUP($U106,Source_Master,3,0),),0)),0)</f>
        <v>0</v>
      </c>
      <c r="I106" s="602">
        <f t="shared" ref="I106:I109" ca="1" si="15">IFERROR(INDEX(INDIRECT(VLOOKUP($U106,Source_Master,2,0),),MATCH(TEXT(T106,0),INDIRECT(VLOOKUP($U106,Source_Master,4,0)),0),MATCH($H$1,INDIRECT(VLOOKUP($U106,Source_Master,3,0),),0)),0)</f>
        <v>0</v>
      </c>
      <c r="J106" s="404">
        <f ca="1">SUM(E106:I106)</f>
        <v>0</v>
      </c>
      <c r="K106" s="1528"/>
      <c r="L106" s="1528"/>
      <c r="M106" s="1528"/>
      <c r="N106" s="1054" t="str">
        <f ca="1">IF(AND(E106=0,F106=0,G106=0,H106=0,I106=0),"##H","")</f>
        <v>##H</v>
      </c>
      <c r="O106" s="20"/>
      <c r="P106" s="271" t="s">
        <v>1660</v>
      </c>
      <c r="Q106" s="271" t="s">
        <v>1661</v>
      </c>
      <c r="R106" s="271" t="s">
        <v>1662</v>
      </c>
      <c r="S106" s="271" t="s">
        <v>1663</v>
      </c>
      <c r="T106" s="271" t="s">
        <v>1664</v>
      </c>
      <c r="U106" s="24" t="s">
        <v>51</v>
      </c>
    </row>
    <row r="107" spans="1:21" ht="15" hidden="1" customHeight="1">
      <c r="B107" s="1264"/>
      <c r="C107" s="223" t="s">
        <v>1665</v>
      </c>
      <c r="D107" s="58"/>
      <c r="E107" s="603">
        <f t="shared" ref="E107:E109" ca="1" si="16">IFERROR(INDEX(INDIRECT(VLOOKUP($U107,Source_Master,2,0),),MATCH(TEXT(P107,0),INDIRECT(VLOOKUP($U107,Source_Master,4,0)),0),MATCH($H$1,INDIRECT(VLOOKUP($U107,Source_Master,3,0),),0)),0)</f>
        <v>0</v>
      </c>
      <c r="F107" s="603">
        <f t="shared" ca="1" si="13"/>
        <v>0</v>
      </c>
      <c r="G107" s="603">
        <f ca="1">IFERROR(INDEX(INDIRECT(VLOOKUP($U107,Source_Master,2,0),),MATCH(TEXT(R107,0),INDIRECT(VLOOKUP($U107,Source_Master,4,0)),0),MATCH($H$1,INDIRECT(VLOOKUP($U107,Source_Master,3,0),),0)),0)</f>
        <v>0</v>
      </c>
      <c r="H107" s="603">
        <f t="shared" ca="1" si="14"/>
        <v>0</v>
      </c>
      <c r="I107" s="603">
        <f t="shared" ca="1" si="15"/>
        <v>0</v>
      </c>
      <c r="J107" s="342">
        <f ca="1">SUM(E107:I107)</f>
        <v>0</v>
      </c>
      <c r="K107" s="1528"/>
      <c r="L107" s="1528"/>
      <c r="M107" s="1528"/>
      <c r="N107" s="1054" t="str">
        <f t="shared" ref="N107:N110" ca="1" si="17">IF(AND(E107=0,F107=0,G107=0,H107=0,I107=0),"##H","")</f>
        <v>##H</v>
      </c>
      <c r="O107" s="20"/>
      <c r="P107" s="271" t="s">
        <v>1666</v>
      </c>
      <c r="Q107" s="271" t="s">
        <v>1667</v>
      </c>
      <c r="R107" s="271" t="s">
        <v>1668</v>
      </c>
      <c r="S107" s="271" t="s">
        <v>1669</v>
      </c>
      <c r="T107" s="271" t="s">
        <v>1670</v>
      </c>
      <c r="U107" s="24" t="s">
        <v>51</v>
      </c>
    </row>
    <row r="108" spans="1:21" ht="15" hidden="1" customHeight="1">
      <c r="B108" s="1264"/>
      <c r="C108" s="223" t="s">
        <v>1671</v>
      </c>
      <c r="D108" s="58"/>
      <c r="E108" s="603">
        <f t="shared" ca="1" si="16"/>
        <v>0</v>
      </c>
      <c r="F108" s="603">
        <f t="shared" ca="1" si="13"/>
        <v>0</v>
      </c>
      <c r="G108" s="603">
        <f ca="1">IFERROR(INDEX(INDIRECT(VLOOKUP($U108,Source_Master,2,0),),MATCH(TEXT(R108,0),INDIRECT(VLOOKUP($U108,Source_Master,4,0)),0),MATCH($H$1,INDIRECT(VLOOKUP($U108,Source_Master,3,0),),0)),0)</f>
        <v>0</v>
      </c>
      <c r="H108" s="603">
        <f ca="1">IFERROR(INDEX(INDIRECT(VLOOKUP($U108,Source_Master,2,0),),MATCH(TEXT(S108,0),INDIRECT(VLOOKUP($U108,Source_Master,4,0)),0),MATCH($H$1,INDIRECT(VLOOKUP($U108,Source_Master,3,0),),0)),0)</f>
        <v>0</v>
      </c>
      <c r="I108" s="603">
        <f t="shared" ca="1" si="15"/>
        <v>0</v>
      </c>
      <c r="J108" s="342">
        <f ca="1">SUM(E108:I108)</f>
        <v>0</v>
      </c>
      <c r="K108" s="1528"/>
      <c r="L108" s="1528"/>
      <c r="M108" s="1528"/>
      <c r="N108" s="1054" t="str">
        <f t="shared" ca="1" si="17"/>
        <v>##H</v>
      </c>
      <c r="O108" s="20"/>
      <c r="P108" s="271" t="s">
        <v>1672</v>
      </c>
      <c r="Q108" s="271" t="s">
        <v>1673</v>
      </c>
      <c r="R108" s="271" t="s">
        <v>1674</v>
      </c>
      <c r="S108" s="271" t="s">
        <v>1675</v>
      </c>
      <c r="T108" s="271" t="s">
        <v>1676</v>
      </c>
      <c r="U108" s="24" t="s">
        <v>51</v>
      </c>
    </row>
    <row r="109" spans="1:21" ht="15" hidden="1" customHeight="1">
      <c r="B109" s="1264"/>
      <c r="C109" s="343" t="s">
        <v>1677</v>
      </c>
      <c r="D109" s="177"/>
      <c r="E109" s="618">
        <f t="shared" ca="1" si="16"/>
        <v>0</v>
      </c>
      <c r="F109" s="618">
        <f t="shared" ca="1" si="13"/>
        <v>0</v>
      </c>
      <c r="G109" s="618">
        <f ca="1">IFERROR(INDEX(INDIRECT(VLOOKUP($U109,Source_Master,2,0),),MATCH(TEXT(R109,0),INDIRECT(VLOOKUP($U109,Source_Master,4,0)),0),MATCH($H$1,INDIRECT(VLOOKUP($U109,Source_Master,3,0),),0)),0)</f>
        <v>0</v>
      </c>
      <c r="H109" s="618">
        <f t="shared" ca="1" si="14"/>
        <v>0</v>
      </c>
      <c r="I109" s="618">
        <f t="shared" ca="1" si="15"/>
        <v>0</v>
      </c>
      <c r="J109" s="345">
        <f ca="1">SUM(E109:I109)</f>
        <v>0</v>
      </c>
      <c r="K109" s="1528"/>
      <c r="L109" s="1528"/>
      <c r="M109" s="1528"/>
      <c r="N109" s="1054" t="str">
        <f t="shared" ca="1" si="17"/>
        <v>##H</v>
      </c>
      <c r="O109" s="20"/>
      <c r="P109" s="271" t="s">
        <v>1678</v>
      </c>
      <c r="Q109" s="271" t="s">
        <v>1679</v>
      </c>
      <c r="R109" s="271" t="s">
        <v>1680</v>
      </c>
      <c r="S109" s="271" t="s">
        <v>1681</v>
      </c>
      <c r="T109" s="271" t="s">
        <v>1682</v>
      </c>
      <c r="U109" s="24" t="s">
        <v>51</v>
      </c>
    </row>
    <row r="110" spans="1:21" ht="15" hidden="1" customHeight="1">
      <c r="B110" s="1264"/>
      <c r="C110" s="257" t="s">
        <v>246</v>
      </c>
      <c r="D110" s="257"/>
      <c r="E110" s="619">
        <f ca="1">SUM(E106:E109)</f>
        <v>0</v>
      </c>
      <c r="F110" s="619">
        <f t="shared" ref="F110:J110" ca="1" si="18">SUM(F106:F109)</f>
        <v>0</v>
      </c>
      <c r="G110" s="619">
        <f t="shared" ca="1" si="18"/>
        <v>0</v>
      </c>
      <c r="H110" s="619">
        <f t="shared" ca="1" si="18"/>
        <v>0</v>
      </c>
      <c r="I110" s="619">
        <f t="shared" ca="1" si="18"/>
        <v>0</v>
      </c>
      <c r="J110" s="347">
        <f t="shared" ca="1" si="18"/>
        <v>0</v>
      </c>
      <c r="K110" s="1528"/>
      <c r="L110" s="1528"/>
      <c r="M110" s="1528"/>
      <c r="N110" s="1054" t="str">
        <f t="shared" ca="1" si="17"/>
        <v>##H</v>
      </c>
      <c r="O110" s="20"/>
      <c r="P110" s="271"/>
      <c r="R110" s="24"/>
      <c r="S110" s="24"/>
      <c r="T110" s="24"/>
    </row>
    <row r="111" spans="1:21" ht="15" customHeight="1">
      <c r="B111" s="1264"/>
      <c r="H111" s="20"/>
      <c r="I111" s="20"/>
      <c r="J111" s="20"/>
      <c r="K111" s="20"/>
      <c r="M111" s="20"/>
      <c r="N111" s="20"/>
      <c r="O111" s="20"/>
      <c r="R111" s="24"/>
      <c r="S111" s="24"/>
    </row>
    <row r="112" spans="1:21" ht="15" customHeight="1">
      <c r="B112" s="1149">
        <f>NTA!F103</f>
        <v>36.200000000000003</v>
      </c>
      <c r="C112" s="1064" t="str">
        <f>NTA!C103</f>
        <v>Trade Payables ageing schedule-Previous Period</v>
      </c>
      <c r="H112" s="20"/>
      <c r="J112" s="1172" t="str">
        <f>+'Master Sheet'!$C$65</f>
        <v>(Amount in INR)</v>
      </c>
      <c r="K112" s="321"/>
      <c r="L112" s="321"/>
      <c r="M112" s="20"/>
      <c r="N112" s="20"/>
      <c r="O112" s="20"/>
      <c r="R112" s="24"/>
      <c r="S112" s="24"/>
    </row>
    <row r="113" spans="1:21" ht="15" customHeight="1">
      <c r="B113" s="1264"/>
      <c r="C113" s="1314" t="s">
        <v>500</v>
      </c>
      <c r="D113" s="1404"/>
      <c r="E113" s="1350" t="e">
        <f ca="1">BS_PY</f>
        <v>#NAME?</v>
      </c>
      <c r="F113" s="1351"/>
      <c r="G113" s="1351"/>
      <c r="H113" s="1351"/>
      <c r="I113" s="1403"/>
      <c r="J113" s="1399" t="s">
        <v>246</v>
      </c>
      <c r="K113" s="46"/>
      <c r="L113" s="46"/>
      <c r="M113" s="46"/>
      <c r="N113" s="46"/>
      <c r="O113" s="20"/>
      <c r="P113" s="271"/>
      <c r="R113" s="24"/>
      <c r="S113" s="24"/>
      <c r="T113" s="24"/>
    </row>
    <row r="114" spans="1:21" ht="18.75" customHeight="1">
      <c r="B114" s="28"/>
      <c r="C114" s="1365"/>
      <c r="D114" s="1405"/>
      <c r="E114" s="1394" t="s">
        <v>1683</v>
      </c>
      <c r="F114" s="1395"/>
      <c r="G114" s="1395"/>
      <c r="H114" s="1395"/>
      <c r="I114" s="1396"/>
      <c r="J114" s="1394"/>
      <c r="K114" s="21"/>
      <c r="L114" s="21"/>
      <c r="M114" s="21"/>
      <c r="N114" s="21"/>
      <c r="O114" s="20"/>
      <c r="P114" s="271"/>
      <c r="R114" s="24"/>
      <c r="S114" s="24"/>
      <c r="T114" s="24"/>
    </row>
    <row r="115" spans="1:21" ht="27.75" customHeight="1">
      <c r="B115" s="28"/>
      <c r="C115" s="1406"/>
      <c r="D115" s="1407"/>
      <c r="E115" s="1273" t="s">
        <v>1658</v>
      </c>
      <c r="F115" s="250" t="s">
        <v>1020</v>
      </c>
      <c r="G115" s="250" t="s">
        <v>1022</v>
      </c>
      <c r="H115" s="250" t="s">
        <v>1024</v>
      </c>
      <c r="I115" s="250" t="s">
        <v>1026</v>
      </c>
      <c r="J115" s="1400"/>
      <c r="K115" s="32"/>
      <c r="L115" s="32"/>
      <c r="M115" s="32"/>
      <c r="N115" s="32"/>
      <c r="O115" s="20"/>
      <c r="P115" s="1273" t="s">
        <v>1658</v>
      </c>
      <c r="Q115" s="250" t="s">
        <v>1020</v>
      </c>
      <c r="R115" s="250" t="s">
        <v>1022</v>
      </c>
      <c r="S115" s="250" t="s">
        <v>1024</v>
      </c>
      <c r="T115" s="250" t="s">
        <v>1026</v>
      </c>
    </row>
    <row r="116" spans="1:21" ht="15" hidden="1" customHeight="1">
      <c r="B116" s="1264"/>
      <c r="C116" s="440" t="s">
        <v>1659</v>
      </c>
      <c r="D116" s="169"/>
      <c r="E116" s="602">
        <f t="shared" ref="E116:I119" ca="1" si="19">IFERROR(INDEX(INDIRECT(VLOOKUP($U116,Source_Master,2,0),),MATCH(TEXT(P116,0),INDIRECT(VLOOKUP($U116,Source_Master,4,0)),0),MATCH($J$1,INDIRECT(VLOOKUP($U116,Source_Master,3,0),),0)),0)</f>
        <v>0</v>
      </c>
      <c r="F116" s="602">
        <f t="shared" ca="1" si="19"/>
        <v>0</v>
      </c>
      <c r="G116" s="602">
        <f t="shared" ca="1" si="19"/>
        <v>0</v>
      </c>
      <c r="H116" s="602">
        <f t="shared" ca="1" si="19"/>
        <v>0</v>
      </c>
      <c r="I116" s="602">
        <f t="shared" ca="1" si="19"/>
        <v>0</v>
      </c>
      <c r="J116" s="441">
        <f ca="1">SUM(E116:I116)</f>
        <v>0</v>
      </c>
      <c r="K116" s="1528"/>
      <c r="L116" s="1528"/>
      <c r="M116" s="1528"/>
      <c r="N116" s="1054" t="str">
        <f t="shared" ref="N116:N120" ca="1" si="20">IF(AND(E116=0,F116=0,G116=0,H116=0,I116=0),"##H","")</f>
        <v>##H</v>
      </c>
      <c r="O116" s="20"/>
      <c r="P116" s="271" t="s">
        <v>1660</v>
      </c>
      <c r="Q116" s="271" t="s">
        <v>1661</v>
      </c>
      <c r="R116" s="271" t="s">
        <v>1662</v>
      </c>
      <c r="S116" s="271" t="s">
        <v>1663</v>
      </c>
      <c r="T116" s="271" t="s">
        <v>1664</v>
      </c>
      <c r="U116" s="24" t="s">
        <v>51</v>
      </c>
    </row>
    <row r="117" spans="1:21" ht="15" hidden="1" customHeight="1">
      <c r="B117" s="1264"/>
      <c r="C117" s="223" t="s">
        <v>1665</v>
      </c>
      <c r="D117" s="58"/>
      <c r="E117" s="603">
        <f t="shared" ca="1" si="19"/>
        <v>0</v>
      </c>
      <c r="F117" s="603">
        <f t="shared" ca="1" si="19"/>
        <v>0</v>
      </c>
      <c r="G117" s="603">
        <f t="shared" ca="1" si="19"/>
        <v>0</v>
      </c>
      <c r="H117" s="603">
        <f t="shared" ca="1" si="19"/>
        <v>0</v>
      </c>
      <c r="I117" s="603">
        <f t="shared" ca="1" si="19"/>
        <v>0</v>
      </c>
      <c r="J117" s="341">
        <f ca="1">SUM(E117:I117)</f>
        <v>0</v>
      </c>
      <c r="K117" s="1528"/>
      <c r="L117" s="1528"/>
      <c r="M117" s="1528"/>
      <c r="N117" s="1054" t="str">
        <f t="shared" ca="1" si="20"/>
        <v>##H</v>
      </c>
      <c r="O117" s="20"/>
      <c r="P117" s="271" t="s">
        <v>1666</v>
      </c>
      <c r="Q117" s="271" t="s">
        <v>1667</v>
      </c>
      <c r="R117" s="271" t="s">
        <v>1668</v>
      </c>
      <c r="S117" s="271" t="s">
        <v>1669</v>
      </c>
      <c r="T117" s="271" t="s">
        <v>1670</v>
      </c>
      <c r="U117" s="24" t="s">
        <v>51</v>
      </c>
    </row>
    <row r="118" spans="1:21" ht="15" hidden="1" customHeight="1">
      <c r="B118" s="1264"/>
      <c r="C118" s="223" t="s">
        <v>1671</v>
      </c>
      <c r="D118" s="58"/>
      <c r="E118" s="603">
        <f t="shared" ca="1" si="19"/>
        <v>0</v>
      </c>
      <c r="F118" s="603">
        <f t="shared" ca="1" si="19"/>
        <v>0</v>
      </c>
      <c r="G118" s="603">
        <f t="shared" ca="1" si="19"/>
        <v>0</v>
      </c>
      <c r="H118" s="603">
        <f t="shared" ca="1" si="19"/>
        <v>0</v>
      </c>
      <c r="I118" s="603">
        <f t="shared" ca="1" si="19"/>
        <v>0</v>
      </c>
      <c r="J118" s="341">
        <f ca="1">SUM(E118:I118)</f>
        <v>0</v>
      </c>
      <c r="K118" s="1528"/>
      <c r="L118" s="1528"/>
      <c r="M118" s="1528"/>
      <c r="N118" s="1054" t="str">
        <f t="shared" ca="1" si="20"/>
        <v>##H</v>
      </c>
      <c r="O118" s="20"/>
      <c r="P118" s="271" t="s">
        <v>1672</v>
      </c>
      <c r="Q118" s="271" t="s">
        <v>1673</v>
      </c>
      <c r="R118" s="271" t="s">
        <v>1674</v>
      </c>
      <c r="S118" s="271" t="s">
        <v>1675</v>
      </c>
      <c r="T118" s="271" t="s">
        <v>1676</v>
      </c>
      <c r="U118" s="24" t="s">
        <v>51</v>
      </c>
    </row>
    <row r="119" spans="1:21" ht="15" hidden="1" customHeight="1">
      <c r="B119" s="1264"/>
      <c r="C119" s="343" t="s">
        <v>1677</v>
      </c>
      <c r="D119" s="177"/>
      <c r="E119" s="618">
        <f t="shared" ca="1" si="19"/>
        <v>0</v>
      </c>
      <c r="F119" s="618">
        <f t="shared" ca="1" si="19"/>
        <v>0</v>
      </c>
      <c r="G119" s="618">
        <f t="shared" ca="1" si="19"/>
        <v>0</v>
      </c>
      <c r="H119" s="618">
        <f t="shared" ca="1" si="19"/>
        <v>0</v>
      </c>
      <c r="I119" s="618">
        <f t="shared" ca="1" si="19"/>
        <v>0</v>
      </c>
      <c r="J119" s="344">
        <f ca="1">SUM(E119:I119)</f>
        <v>0</v>
      </c>
      <c r="K119" s="1528"/>
      <c r="L119" s="1528"/>
      <c r="M119" s="1528"/>
      <c r="N119" s="1054" t="str">
        <f t="shared" ca="1" si="20"/>
        <v>##H</v>
      </c>
      <c r="O119" s="20"/>
      <c r="P119" s="271" t="s">
        <v>1678</v>
      </c>
      <c r="Q119" s="271" t="s">
        <v>1679</v>
      </c>
      <c r="R119" s="271" t="s">
        <v>1680</v>
      </c>
      <c r="S119" s="271" t="s">
        <v>1681</v>
      </c>
      <c r="T119" s="271" t="s">
        <v>1682</v>
      </c>
      <c r="U119" s="24" t="s">
        <v>51</v>
      </c>
    </row>
    <row r="120" spans="1:21" ht="15" hidden="1" customHeight="1">
      <c r="B120" s="1264"/>
      <c r="C120" s="257" t="s">
        <v>246</v>
      </c>
      <c r="D120" s="257"/>
      <c r="E120" s="619">
        <f ca="1">SUM(E116:E119)</f>
        <v>0</v>
      </c>
      <c r="F120" s="619">
        <f t="shared" ref="F120:J120" ca="1" si="21">SUM(F116:F119)</f>
        <v>0</v>
      </c>
      <c r="G120" s="619">
        <f t="shared" ca="1" si="21"/>
        <v>0</v>
      </c>
      <c r="H120" s="619">
        <f t="shared" ca="1" si="21"/>
        <v>0</v>
      </c>
      <c r="I120" s="619">
        <f t="shared" ca="1" si="21"/>
        <v>0</v>
      </c>
      <c r="J120" s="346">
        <f t="shared" ca="1" si="21"/>
        <v>0</v>
      </c>
      <c r="K120" s="1528"/>
      <c r="L120" s="1528"/>
      <c r="M120" s="1528"/>
      <c r="N120" s="1054" t="str">
        <f t="shared" ca="1" si="20"/>
        <v>##H</v>
      </c>
      <c r="O120" s="20"/>
      <c r="P120" s="271"/>
      <c r="R120" s="24"/>
      <c r="S120" s="24"/>
      <c r="T120" s="24"/>
    </row>
    <row r="121" spans="1:21">
      <c r="B121" s="1264"/>
      <c r="C121" s="21"/>
      <c r="D121" s="21"/>
      <c r="H121" s="20"/>
      <c r="I121" s="20"/>
      <c r="J121" s="15"/>
      <c r="K121" s="20"/>
      <c r="L121" s="2"/>
      <c r="M121" s="20"/>
      <c r="N121" s="20"/>
      <c r="O121" s="20"/>
      <c r="P121" s="271"/>
      <c r="Q121" s="271"/>
    </row>
    <row r="122" spans="1:21" ht="15" customHeight="1">
      <c r="A122" s="1149">
        <f>NTA!F104</f>
        <v>37</v>
      </c>
      <c r="B122" s="1149" t="str">
        <f>NTA!C104&amp;" (Current)"</f>
        <v>Other Financial Liabilities (Current)</v>
      </c>
      <c r="H122" s="20"/>
      <c r="I122" s="20"/>
      <c r="J122" s="1172" t="str">
        <f>+'Master Sheet'!$C$65</f>
        <v>(Amount in INR)</v>
      </c>
      <c r="K122" s="20"/>
      <c r="M122" s="20"/>
      <c r="N122" s="20"/>
      <c r="O122" s="2"/>
      <c r="P122" s="271"/>
    </row>
    <row r="123" spans="1:21" ht="15" customHeight="1">
      <c r="A123" s="569"/>
      <c r="B123" s="1323" t="s">
        <v>500</v>
      </c>
      <c r="C123" s="1323"/>
      <c r="D123" s="1323"/>
      <c r="E123" s="1323"/>
      <c r="F123" s="1323"/>
      <c r="G123" s="811"/>
      <c r="H123" s="1150" t="e">
        <f ca="1">BS_CY</f>
        <v>#NAME?</v>
      </c>
      <c r="I123" s="723"/>
      <c r="J123" s="1093" t="e">
        <f ca="1">BS_PY</f>
        <v>#NAME?</v>
      </c>
      <c r="K123" s="20"/>
      <c r="M123" s="20"/>
      <c r="N123" s="20"/>
      <c r="O123" s="2"/>
      <c r="P123" s="271"/>
    </row>
    <row r="124" spans="1:21" ht="15" customHeight="1">
      <c r="A124" s="569"/>
      <c r="B124" s="68" t="s">
        <v>1684</v>
      </c>
      <c r="C124" s="58"/>
      <c r="D124" s="58"/>
      <c r="E124" s="58"/>
      <c r="F124" s="58"/>
      <c r="G124" s="86"/>
      <c r="H124" s="86"/>
      <c r="I124" s="351"/>
      <c r="J124" s="351"/>
      <c r="K124" s="20"/>
      <c r="M124" s="20"/>
      <c r="N124" s="20"/>
      <c r="O124" s="2"/>
      <c r="P124" s="271"/>
    </row>
    <row r="125" spans="1:21" ht="15" customHeight="1">
      <c r="A125" s="46"/>
      <c r="B125" s="68" t="s">
        <v>1685</v>
      </c>
      <c r="C125" s="58"/>
      <c r="D125" s="58"/>
      <c r="E125" s="58"/>
      <c r="F125" s="58"/>
      <c r="G125" s="86"/>
      <c r="H125" s="129">
        <f ca="1">IFERROR(INDEX(INDIRECT(VLOOKUP($U125,Source_Master,2,0),),MATCH(TEXT($P125,0),INDIRECT(VLOOKUP($U125,Source_Master,4,0)),0),MATCH(H$1,INDIRECT(VLOOKUP($U125,Source_Master,3,0),),0)),0)</f>
        <v>0</v>
      </c>
      <c r="I125" s="351"/>
      <c r="J125" s="348">
        <f ca="1">IFERROR(INDEX(INDIRECT(VLOOKUP($U125,Source_Master,2,0),),MATCH(TEXT($P125,0),INDIRECT(VLOOKUP($U125,Source_Master,4,0)),0),MATCH(J$1,INDIRECT(VLOOKUP($U125,Source_Master,3,0),),0)),0)</f>
        <v>0</v>
      </c>
      <c r="K125" s="20"/>
      <c r="M125" s="20"/>
      <c r="N125" s="1054" t="str">
        <f ca="1">IF(AND(H125=0,J125=0),"##H","")</f>
        <v>##H</v>
      </c>
      <c r="O125" s="2"/>
      <c r="P125" s="271" t="s">
        <v>1686</v>
      </c>
      <c r="R125" s="24"/>
      <c r="U125" s="24" t="s">
        <v>50</v>
      </c>
    </row>
    <row r="126" spans="1:21" ht="15" customHeight="1">
      <c r="A126" s="46"/>
      <c r="B126" s="68" t="s">
        <v>1687</v>
      </c>
      <c r="C126" s="58"/>
      <c r="D126" s="58"/>
      <c r="E126" s="58"/>
      <c r="F126" s="58"/>
      <c r="G126" s="86"/>
      <c r="H126" s="86"/>
      <c r="I126" s="351"/>
      <c r="J126" s="351"/>
      <c r="K126" s="20"/>
      <c r="M126" s="20"/>
      <c r="N126" s="20"/>
      <c r="O126" s="2"/>
      <c r="P126" s="271" t="s">
        <v>1688</v>
      </c>
      <c r="R126" s="24"/>
      <c r="U126" s="24" t="s">
        <v>50</v>
      </c>
    </row>
    <row r="127" spans="1:21" ht="15" customHeight="1">
      <c r="A127" s="46"/>
      <c r="B127" s="223" t="s">
        <v>1689</v>
      </c>
      <c r="C127" s="58"/>
      <c r="D127" s="58"/>
      <c r="E127" s="58"/>
      <c r="F127" s="58"/>
      <c r="G127" s="86"/>
      <c r="H127" s="129">
        <f ca="1">IFERROR(INDEX(INDIRECT(VLOOKUP($U127,Source_Master,2,0),),MATCH(TEXT($P127,0),INDIRECT(VLOOKUP($U127,Source_Master,4,0)),0),MATCH(H$1,INDIRECT(VLOOKUP($U127,Source_Master,3,0),),0)),0)</f>
        <v>0</v>
      </c>
      <c r="I127" s="351"/>
      <c r="J127" s="348">
        <f ca="1">IFERROR(INDEX(INDIRECT(VLOOKUP($U127,Source_Master,2,0),),MATCH(TEXT($P127,0),INDIRECT(VLOOKUP($U127,Source_Master,4,0)),0),MATCH(J$1,INDIRECT(VLOOKUP($U127,Source_Master,3,0),),0)),0)</f>
        <v>0</v>
      </c>
      <c r="K127" s="20"/>
      <c r="M127" s="20"/>
      <c r="N127" s="1054" t="str">
        <f t="shared" ref="N127:N131" ca="1" si="22">IF(AND(H127=0,J127=0),"##H","")</f>
        <v>##H</v>
      </c>
      <c r="O127" s="2"/>
      <c r="P127" s="271" t="s">
        <v>1690</v>
      </c>
      <c r="R127" s="24"/>
      <c r="U127" s="24" t="s">
        <v>50</v>
      </c>
    </row>
    <row r="128" spans="1:21" ht="15" customHeight="1">
      <c r="A128" s="46"/>
      <c r="B128" s="223" t="s">
        <v>1691</v>
      </c>
      <c r="C128" s="58"/>
      <c r="D128" s="58"/>
      <c r="E128" s="58"/>
      <c r="F128" s="58"/>
      <c r="G128" s="86"/>
      <c r="H128" s="129">
        <f ca="1">IFERROR(INDEX(INDIRECT(VLOOKUP($U128,Source_Master,2,0),),MATCH(TEXT($P128,0),INDIRECT(VLOOKUP($U128,Source_Master,4,0)),0),MATCH(H$1,INDIRECT(VLOOKUP($U128,Source_Master,3,0),),0)),0)</f>
        <v>0</v>
      </c>
      <c r="I128" s="351"/>
      <c r="J128" s="348">
        <f ca="1">IFERROR(INDEX(INDIRECT(VLOOKUP($U128,Source_Master,2,0),),MATCH(TEXT($P128,0),INDIRECT(VLOOKUP($U128,Source_Master,4,0)),0),MATCH(J$1,INDIRECT(VLOOKUP($U128,Source_Master,3,0),),0)),0)</f>
        <v>0</v>
      </c>
      <c r="K128" s="20"/>
      <c r="M128" s="20"/>
      <c r="N128" s="1054" t="str">
        <f t="shared" ca="1" si="22"/>
        <v>##H</v>
      </c>
      <c r="O128" s="2"/>
      <c r="P128" s="271" t="s">
        <v>1692</v>
      </c>
      <c r="R128" s="24"/>
      <c r="U128" s="24" t="s">
        <v>50</v>
      </c>
    </row>
    <row r="129" spans="1:21" ht="15" customHeight="1">
      <c r="A129" s="46"/>
      <c r="B129" s="68" t="s">
        <v>1693</v>
      </c>
      <c r="C129" s="58"/>
      <c r="D129" s="58"/>
      <c r="E129" s="58"/>
      <c r="F129" s="58"/>
      <c r="G129" s="86"/>
      <c r="H129" s="129">
        <f ca="1">IFERROR(INDEX(INDIRECT(VLOOKUP($U129,Source_Master,2,0),),MATCH(TEXT($P129,0),INDIRECT(VLOOKUP($U129,Source_Master,4,0)),0),MATCH(H$1,INDIRECT(VLOOKUP($U129,Source_Master,3,0),),0)),0)</f>
        <v>0</v>
      </c>
      <c r="I129" s="351"/>
      <c r="J129" s="348">
        <f ca="1">IFERROR(INDEX(INDIRECT(VLOOKUP($U129,Source_Master,2,0),),MATCH(TEXT($P129,0),INDIRECT(VLOOKUP($U129,Source_Master,4,0)),0),MATCH(J$1,INDIRECT(VLOOKUP($U129,Source_Master,3,0),),0)),0)</f>
        <v>0</v>
      </c>
      <c r="K129" s="20"/>
      <c r="M129" s="20"/>
      <c r="N129" s="1054" t="str">
        <f t="shared" ca="1" si="22"/>
        <v>##H</v>
      </c>
      <c r="O129" s="2"/>
      <c r="P129" s="271" t="s">
        <v>1694</v>
      </c>
      <c r="R129" s="24"/>
      <c r="U129" s="24" t="s">
        <v>50</v>
      </c>
    </row>
    <row r="130" spans="1:21" ht="15" hidden="1" customHeight="1">
      <c r="A130" s="46"/>
      <c r="B130" s="68" t="s">
        <v>1695</v>
      </c>
      <c r="C130" s="58"/>
      <c r="D130" s="58"/>
      <c r="E130" s="58"/>
      <c r="F130" s="58"/>
      <c r="G130" s="86"/>
      <c r="H130" s="129">
        <f ca="1">IFERROR(INDEX(INDIRECT(VLOOKUP($U130,Source_Master,2,0),),MATCH(TEXT($P130,0),INDIRECT(VLOOKUP($U130,Source_Master,4,0)),0),MATCH(H$1,INDIRECT(VLOOKUP($U130,Source_Master,3,0),),0)),0)</f>
        <v>0</v>
      </c>
      <c r="I130" s="351"/>
      <c r="J130" s="348">
        <f ca="1">IFERROR(INDEX(INDIRECT(VLOOKUP($U130,Source_Master,2,0),),MATCH(TEXT($P130,0),INDIRECT(VLOOKUP($U130,Source_Master,4,0)),0),MATCH(J$1,INDIRECT(VLOOKUP($U130,Source_Master,3,0),),0)),0)</f>
        <v>0</v>
      </c>
      <c r="K130" s="20"/>
      <c r="M130" s="20"/>
      <c r="N130" s="1054" t="str">
        <f t="shared" ca="1" si="22"/>
        <v>##H</v>
      </c>
      <c r="O130" s="2"/>
      <c r="P130" s="271" t="s">
        <v>1696</v>
      </c>
      <c r="R130" s="24"/>
      <c r="U130" s="24" t="s">
        <v>50</v>
      </c>
    </row>
    <row r="131" spans="1:21" ht="15" customHeight="1">
      <c r="A131" s="46"/>
      <c r="B131" s="1250" t="s">
        <v>246</v>
      </c>
      <c r="C131" s="224"/>
      <c r="D131" s="199"/>
      <c r="E131" s="199"/>
      <c r="F131" s="199"/>
      <c r="G131" s="362"/>
      <c r="H131" s="178">
        <f ca="1">H125+SUM(H127:H130)</f>
        <v>0</v>
      </c>
      <c r="I131" s="363"/>
      <c r="J131" s="175">
        <f ca="1">J125+SUM(J127:J130)</f>
        <v>0</v>
      </c>
      <c r="K131" s="20"/>
      <c r="M131" s="20"/>
      <c r="N131" s="1054" t="str">
        <f t="shared" ca="1" si="22"/>
        <v>##H</v>
      </c>
      <c r="O131" s="2"/>
      <c r="P131" s="271" t="s">
        <v>538</v>
      </c>
      <c r="U131" s="24" t="s">
        <v>50</v>
      </c>
    </row>
    <row r="132" spans="1:21" ht="7.35" customHeight="1">
      <c r="A132" s="46"/>
      <c r="B132" s="1264"/>
      <c r="C132" s="32"/>
      <c r="D132" s="32"/>
      <c r="E132" s="21"/>
      <c r="F132" s="21"/>
      <c r="H132" s="20"/>
      <c r="I132" s="20"/>
      <c r="J132" s="15"/>
      <c r="K132" s="20"/>
      <c r="L132" s="39"/>
      <c r="M132" s="20"/>
      <c r="N132" s="20"/>
      <c r="O132" s="20"/>
      <c r="P132" s="271"/>
      <c r="Q132" s="271"/>
    </row>
    <row r="133" spans="1:21" ht="15" customHeight="1">
      <c r="A133" s="46"/>
      <c r="B133" s="210" t="s">
        <v>1507</v>
      </c>
      <c r="H133" s="20"/>
      <c r="I133" s="20"/>
      <c r="J133" s="20"/>
      <c r="K133" s="20"/>
      <c r="L133" s="39"/>
      <c r="M133" s="20"/>
      <c r="N133" s="20"/>
      <c r="O133" s="20"/>
      <c r="P133" s="271"/>
      <c r="Q133" s="271"/>
    </row>
    <row r="134" spans="1:21" ht="15" customHeight="1">
      <c r="A134" s="46"/>
      <c r="B134" s="1322" t="e">
        <f ca="1">"Acquisition Liabilities represents the estimated fair value of the contingent consideration relating to the acquisition of various eye clinics which was acquired upto "&amp;Current_Date</f>
        <v>#NAME?</v>
      </c>
      <c r="C134" s="1322"/>
      <c r="D134" s="1322"/>
      <c r="E134" s="1322"/>
      <c r="F134" s="1322"/>
      <c r="G134" s="1322"/>
      <c r="H134" s="1322"/>
      <c r="I134" s="1322"/>
      <c r="J134" s="1322"/>
      <c r="K134" s="20"/>
      <c r="L134" s="39"/>
      <c r="M134" s="20"/>
      <c r="N134" s="20"/>
      <c r="O134" s="20"/>
      <c r="P134" s="271"/>
      <c r="Q134" s="271"/>
    </row>
    <row r="135" spans="1:21" ht="15" customHeight="1">
      <c r="A135" s="46"/>
      <c r="B135" s="1264"/>
      <c r="C135" s="1242"/>
      <c r="D135" s="1242"/>
      <c r="E135" s="1242"/>
      <c r="F135" s="1242"/>
      <c r="H135" s="20"/>
      <c r="I135" s="20"/>
      <c r="J135" s="15"/>
      <c r="K135" s="20"/>
      <c r="L135" s="39"/>
      <c r="M135" s="20"/>
      <c r="N135" s="20"/>
      <c r="O135" s="20"/>
      <c r="P135" s="271"/>
      <c r="Q135" s="271"/>
    </row>
    <row r="136" spans="1:21" ht="15" customHeight="1">
      <c r="A136" s="1094">
        <f>NTA!F105</f>
        <v>38</v>
      </c>
      <c r="B136" s="1149" t="str">
        <f>NTA!C105</f>
        <v>Other Current Liabilities</v>
      </c>
      <c r="H136" s="20"/>
      <c r="I136" s="20"/>
      <c r="J136" s="1172" t="str">
        <f>+'Master Sheet'!$C$65</f>
        <v>(Amount in INR)</v>
      </c>
      <c r="K136" s="20"/>
      <c r="M136" s="2"/>
      <c r="N136" s="2"/>
      <c r="O136" s="20"/>
      <c r="Q136" s="271"/>
    </row>
    <row r="137" spans="1:21" ht="15" customHeight="1">
      <c r="A137" s="569"/>
      <c r="B137" s="1323" t="s">
        <v>500</v>
      </c>
      <c r="C137" s="1323"/>
      <c r="D137" s="1323"/>
      <c r="E137" s="1323"/>
      <c r="F137" s="1323"/>
      <c r="G137" s="811"/>
      <c r="H137" s="1150" t="e">
        <f ca="1">BS_CY</f>
        <v>#NAME?</v>
      </c>
      <c r="I137" s="723"/>
      <c r="J137" s="1093" t="e">
        <f ca="1">BS_PY</f>
        <v>#NAME?</v>
      </c>
      <c r="K137" s="20"/>
      <c r="M137" s="20"/>
      <c r="N137" s="20"/>
      <c r="O137" s="2"/>
      <c r="P137" s="271"/>
    </row>
    <row r="138" spans="1:21" ht="15" customHeight="1">
      <c r="A138" s="46"/>
      <c r="B138" s="68" t="s">
        <v>1697</v>
      </c>
      <c r="C138" s="58"/>
      <c r="D138" s="58"/>
      <c r="E138" s="58"/>
      <c r="F138" s="58"/>
      <c r="G138" s="86"/>
      <c r="H138" s="129">
        <f ca="1">IFERROR(INDEX(INDIRECT(VLOOKUP($U138,Source_Master,2,0),),MATCH(TEXT($P138,0),INDIRECT(VLOOKUP($U138,Source_Master,4,0)),0),MATCH(H$1,INDIRECT(VLOOKUP($U138,Source_Master,3,0),),0)),0)</f>
        <v>0</v>
      </c>
      <c r="I138" s="351"/>
      <c r="J138" s="348">
        <f ca="1">IFERROR(INDEX(INDIRECT(VLOOKUP($U138,Source_Master,2,0),),MATCH(TEXT($P138,0),INDIRECT(VLOOKUP($U138,Source_Master,4,0)),0),MATCH(J$1,INDIRECT(VLOOKUP($U138,Source_Master,3,0),),0)),0)</f>
        <v>0</v>
      </c>
      <c r="K138" s="20"/>
      <c r="M138" s="20"/>
      <c r="N138" s="1054" t="str">
        <f t="shared" ref="N138:N142" ca="1" si="23">IF(AND(H138=0,J138=0),"##H","")</f>
        <v>##H</v>
      </c>
      <c r="O138" s="2"/>
      <c r="P138" s="271" t="s">
        <v>1698</v>
      </c>
      <c r="R138" s="24"/>
      <c r="U138" s="24" t="s">
        <v>50</v>
      </c>
    </row>
    <row r="139" spans="1:21" ht="15" customHeight="1">
      <c r="A139" s="46"/>
      <c r="B139" s="68" t="s">
        <v>1699</v>
      </c>
      <c r="C139" s="58"/>
      <c r="D139" s="58"/>
      <c r="E139" s="58"/>
      <c r="F139" s="58"/>
      <c r="G139" s="86"/>
      <c r="H139" s="129">
        <f ca="1">IFERROR(INDEX(INDIRECT(VLOOKUP($U139,Source_Master,2,0),),MATCH(TEXT($P139,0),INDIRECT(VLOOKUP($U139,Source_Master,4,0)),0),MATCH(H$1,INDIRECT(VLOOKUP($U139,Source_Master,3,0),),0)),0)</f>
        <v>0</v>
      </c>
      <c r="I139" s="351"/>
      <c r="J139" s="348">
        <f ca="1">IFERROR(INDEX(INDIRECT(VLOOKUP($U139,Source_Master,2,0),),MATCH(TEXT($P139,0),INDIRECT(VLOOKUP($U139,Source_Master,4,0)),0),MATCH(J$1,INDIRECT(VLOOKUP($U139,Source_Master,3,0),),0)),0)</f>
        <v>0</v>
      </c>
      <c r="K139" s="20"/>
      <c r="M139" s="20"/>
      <c r="N139" s="1054" t="str">
        <f t="shared" ca="1" si="23"/>
        <v>##H</v>
      </c>
      <c r="O139" s="2"/>
      <c r="P139" s="271" t="s">
        <v>1700</v>
      </c>
      <c r="R139" s="24"/>
      <c r="U139" s="24" t="s">
        <v>50</v>
      </c>
    </row>
    <row r="140" spans="1:21" ht="15" hidden="1" customHeight="1">
      <c r="A140" s="46"/>
      <c r="B140" s="68" t="s">
        <v>1701</v>
      </c>
      <c r="C140" s="58"/>
      <c r="D140" s="58"/>
      <c r="E140" s="58"/>
      <c r="F140" s="58"/>
      <c r="G140" s="86"/>
      <c r="H140" s="129">
        <f ca="1">IFERROR(INDEX(INDIRECT(VLOOKUP($U140,Source_Master,2,0),),MATCH(TEXT($P140,0),INDIRECT(VLOOKUP($U140,Source_Master,4,0)),0),MATCH(H$1,INDIRECT(VLOOKUP($U140,Source_Master,3,0),),0)),0)</f>
        <v>0</v>
      </c>
      <c r="I140" s="351"/>
      <c r="J140" s="348">
        <f ca="1">IFERROR(INDEX(INDIRECT(VLOOKUP($U140,Source_Master,2,0),),MATCH(TEXT($P140,0),INDIRECT(VLOOKUP($U140,Source_Master,4,0)),0),MATCH(J$1,INDIRECT(VLOOKUP($U140,Source_Master,3,0),),0)),0)</f>
        <v>0</v>
      </c>
      <c r="K140" s="20"/>
      <c r="M140" s="20"/>
      <c r="N140" s="1054" t="str">
        <f t="shared" ca="1" si="23"/>
        <v>##H</v>
      </c>
      <c r="O140" s="2"/>
      <c r="P140" s="271" t="s">
        <v>1702</v>
      </c>
      <c r="R140" s="24"/>
      <c r="U140" s="24" t="s">
        <v>50</v>
      </c>
    </row>
    <row r="141" spans="1:21" ht="15" hidden="1" customHeight="1">
      <c r="A141" s="46"/>
      <c r="B141" s="68" t="s">
        <v>1703</v>
      </c>
      <c r="C141" s="58"/>
      <c r="D141" s="58"/>
      <c r="E141" s="58"/>
      <c r="F141" s="58"/>
      <c r="G141" s="218"/>
      <c r="H141" s="230">
        <f ca="1">IFERROR(INDEX(INDIRECT(VLOOKUP($U141,Source_Master,2,0),),MATCH(TEXT($P141,0),INDIRECT(VLOOKUP($U141,Source_Master,4,0)),0),MATCH(H$1,INDIRECT(VLOOKUP($U141,Source_Master,3,0),),0)),0)</f>
        <v>0</v>
      </c>
      <c r="I141" s="835"/>
      <c r="J141" s="349">
        <f ca="1">IFERROR(INDEX(INDIRECT(VLOOKUP($U141,Source_Master,2,0),),MATCH(TEXT($P141,0),INDIRECT(VLOOKUP($U141,Source_Master,4,0)),0),MATCH(J$1,INDIRECT(VLOOKUP($U141,Source_Master,3,0),),0)),0)</f>
        <v>0</v>
      </c>
      <c r="K141" s="20"/>
      <c r="M141" s="20"/>
      <c r="N141" s="1054" t="str">
        <f t="shared" ca="1" si="23"/>
        <v>##H</v>
      </c>
      <c r="O141" s="2"/>
      <c r="P141" s="271" t="s">
        <v>1704</v>
      </c>
      <c r="R141" s="24"/>
      <c r="U141" s="24" t="s">
        <v>50</v>
      </c>
    </row>
    <row r="142" spans="1:21" ht="15" customHeight="1">
      <c r="A142" s="46"/>
      <c r="B142" s="232" t="s">
        <v>246</v>
      </c>
      <c r="C142" s="199"/>
      <c r="D142" s="199"/>
      <c r="E142" s="199"/>
      <c r="F142" s="199"/>
      <c r="G142" s="362"/>
      <c r="H142" s="178">
        <f ca="1">SUM(H138:H141)</f>
        <v>0</v>
      </c>
      <c r="I142" s="817"/>
      <c r="J142" s="350">
        <f ca="1">SUM(J138:J141)</f>
        <v>0</v>
      </c>
      <c r="K142" s="20"/>
      <c r="M142" s="20"/>
      <c r="N142" s="1054" t="str">
        <f t="shared" ca="1" si="23"/>
        <v>##H</v>
      </c>
      <c r="O142" s="2"/>
      <c r="P142" s="271" t="s">
        <v>539</v>
      </c>
      <c r="U142" s="24" t="s">
        <v>50</v>
      </c>
    </row>
    <row r="143" spans="1:21" ht="15" customHeight="1">
      <c r="A143" s="46"/>
      <c r="B143" s="1264"/>
      <c r="C143" s="1264"/>
      <c r="D143" s="1264"/>
      <c r="E143" s="145"/>
      <c r="F143" s="123"/>
      <c r="H143" s="20"/>
      <c r="I143" s="20"/>
      <c r="J143" s="15"/>
      <c r="K143" s="20"/>
      <c r="L143" s="39"/>
      <c r="M143" s="20"/>
      <c r="N143" s="20"/>
      <c r="O143" s="20"/>
      <c r="P143" s="271"/>
      <c r="Q143" s="271"/>
    </row>
    <row r="144" spans="1:21" ht="15" customHeight="1">
      <c r="A144" s="1094">
        <f>NTA!F106</f>
        <v>39</v>
      </c>
      <c r="B144" s="1149" t="str">
        <f>NTA!C106</f>
        <v>Current Tax Liabilities (Net)</v>
      </c>
      <c r="C144" s="21"/>
      <c r="D144" s="21"/>
      <c r="E144" s="21"/>
      <c r="F144" s="21"/>
      <c r="H144" s="20"/>
      <c r="I144" s="20"/>
      <c r="J144" s="1172" t="str">
        <f>+'Master Sheet'!$C$65</f>
        <v>(Amount in INR)</v>
      </c>
      <c r="K144" s="321"/>
      <c r="L144" s="39"/>
      <c r="M144" s="20"/>
      <c r="N144" s="20"/>
      <c r="O144" s="20"/>
      <c r="P144" s="271"/>
      <c r="Q144" s="271"/>
    </row>
    <row r="145" spans="1:21" ht="15" customHeight="1">
      <c r="A145" s="569"/>
      <c r="B145" s="1323" t="s">
        <v>500</v>
      </c>
      <c r="C145" s="1323"/>
      <c r="D145" s="1323"/>
      <c r="E145" s="1323"/>
      <c r="F145" s="1323"/>
      <c r="G145" s="811"/>
      <c r="H145" s="1150" t="e">
        <f ca="1">BS_CY</f>
        <v>#NAME?</v>
      </c>
      <c r="I145" s="723"/>
      <c r="J145" s="1093" t="e">
        <f ca="1">BS_PY</f>
        <v>#NAME?</v>
      </c>
      <c r="K145" s="43"/>
      <c r="L145" s="39"/>
      <c r="M145" s="20"/>
      <c r="N145" s="20"/>
      <c r="O145" s="20"/>
      <c r="P145" s="271"/>
      <c r="Q145" s="271"/>
      <c r="U145" s="24" t="s">
        <v>50</v>
      </c>
    </row>
    <row r="146" spans="1:21" ht="15" hidden="1" customHeight="1">
      <c r="A146" s="46"/>
      <c r="B146" s="266" t="s">
        <v>1609</v>
      </c>
      <c r="C146" s="58"/>
      <c r="D146" s="58"/>
      <c r="E146" s="58"/>
      <c r="F146" s="58"/>
      <c r="G146" s="218"/>
      <c r="H146" s="230">
        <f ca="1">IFERROR(INDEX(INDIRECT(VLOOKUP($U146,Source_Master,2,0),),MATCH(TEXT($P146,0),INDIRECT(VLOOKUP($U146,Source_Master,4,0)),0),MATCH(H$1,INDIRECT(VLOOKUP($U146,Source_Master,3,0),),0)),0)</f>
        <v>0</v>
      </c>
      <c r="I146" s="270"/>
      <c r="J146" s="231">
        <f ca="1">IFERROR(INDEX(INDIRECT(VLOOKUP($U146,Source_Master,2,0),),MATCH(TEXT($P146,0),INDIRECT(VLOOKUP($U146,Source_Master,4,0)),0),MATCH(J$1,INDIRECT(VLOOKUP($U146,Source_Master,3,0),),0)),0)</f>
        <v>0</v>
      </c>
      <c r="K146" s="1575"/>
      <c r="L146" s="39"/>
      <c r="M146" s="20"/>
      <c r="N146" s="1054" t="str">
        <f t="shared" ref="N146:N147" ca="1" si="24">IF(AND(H146=0,J146=0),"##H","")</f>
        <v>##H</v>
      </c>
      <c r="O146" s="20"/>
      <c r="P146" s="271" t="s">
        <v>1705</v>
      </c>
      <c r="Q146" s="271"/>
      <c r="U146" s="24" t="s">
        <v>50</v>
      </c>
    </row>
    <row r="147" spans="1:21" ht="15" hidden="1" customHeight="1">
      <c r="A147" s="46"/>
      <c r="B147" s="1250" t="s">
        <v>246</v>
      </c>
      <c r="C147" s="224"/>
      <c r="D147" s="199"/>
      <c r="E147" s="199"/>
      <c r="F147" s="199"/>
      <c r="G147" s="714"/>
      <c r="H147" s="69">
        <f ca="1">SUM(H146)</f>
        <v>0</v>
      </c>
      <c r="I147" s="363"/>
      <c r="J147" s="175">
        <f ca="1">SUM(J146)</f>
        <v>0</v>
      </c>
      <c r="K147" s="1572"/>
      <c r="L147" s="39"/>
      <c r="M147" s="20"/>
      <c r="N147" s="1054" t="str">
        <f t="shared" ca="1" si="24"/>
        <v>##H</v>
      </c>
      <c r="O147" s="20"/>
      <c r="P147" s="271" t="s">
        <v>540</v>
      </c>
      <c r="Q147" s="271"/>
    </row>
    <row r="148" spans="1:21" ht="15" customHeight="1">
      <c r="A148" s="46"/>
      <c r="B148" s="1264"/>
      <c r="C148" s="1264"/>
      <c r="D148" s="1264"/>
      <c r="E148" s="145"/>
      <c r="F148" s="123"/>
      <c r="H148" s="20"/>
      <c r="I148" s="20"/>
      <c r="J148" s="15"/>
      <c r="K148" s="20"/>
      <c r="L148" s="39"/>
      <c r="M148" s="20"/>
      <c r="N148" s="20"/>
      <c r="O148" s="20"/>
      <c r="P148" s="271"/>
      <c r="Q148" s="271"/>
    </row>
    <row r="149" spans="1:21" ht="15" customHeight="1">
      <c r="A149" s="1149">
        <f>NTA!F107</f>
        <v>40</v>
      </c>
      <c r="B149" s="1149" t="str">
        <f>NTA!C107&amp;" (Current)"</f>
        <v>Provisions (Current)</v>
      </c>
      <c r="H149" s="20"/>
      <c r="I149" s="20"/>
      <c r="J149" s="1172" t="str">
        <f>+'Master Sheet'!$C$65</f>
        <v>(Amount in INR)</v>
      </c>
      <c r="K149" s="20"/>
      <c r="M149" s="2"/>
      <c r="N149" s="2"/>
      <c r="O149" s="20"/>
      <c r="Q149" s="271"/>
    </row>
    <row r="150" spans="1:21" ht="15" customHeight="1">
      <c r="A150" s="569"/>
      <c r="B150" s="1323" t="s">
        <v>500</v>
      </c>
      <c r="C150" s="1323"/>
      <c r="D150" s="1323"/>
      <c r="E150" s="1323"/>
      <c r="F150" s="1323"/>
      <c r="G150" s="811"/>
      <c r="H150" s="1150" t="e">
        <f ca="1">BS_CY</f>
        <v>#NAME?</v>
      </c>
      <c r="I150" s="723"/>
      <c r="J150" s="1093" t="e">
        <f ca="1">BS_PY</f>
        <v>#NAME?</v>
      </c>
      <c r="K150" s="20"/>
      <c r="M150" s="20"/>
      <c r="N150" s="20"/>
      <c r="O150" s="2"/>
      <c r="P150" s="271"/>
    </row>
    <row r="151" spans="1:21" ht="15" customHeight="1">
      <c r="A151" s="46"/>
      <c r="B151" s="68" t="s">
        <v>1596</v>
      </c>
      <c r="C151" s="58"/>
      <c r="D151" s="169"/>
      <c r="E151" s="169"/>
      <c r="F151" s="169"/>
      <c r="G151" s="137"/>
      <c r="H151" s="86"/>
      <c r="I151" s="119"/>
      <c r="J151" s="351"/>
      <c r="K151" s="20"/>
      <c r="M151" s="20"/>
      <c r="N151" s="20"/>
      <c r="O151" s="2"/>
      <c r="P151" s="271"/>
    </row>
    <row r="152" spans="1:21" ht="15" customHeight="1">
      <c r="A152" s="46"/>
      <c r="B152" s="67" t="s">
        <v>1597</v>
      </c>
      <c r="C152" s="58"/>
      <c r="D152" s="169"/>
      <c r="E152" s="169"/>
      <c r="F152" s="169"/>
      <c r="G152" s="137"/>
      <c r="H152" s="129">
        <f ca="1">IFERROR(INDEX(INDIRECT(VLOOKUP($U152,Source_Master,2,0),),MATCH(TEXT($P152,0),INDIRECT(VLOOKUP($U152,Source_Master,4,0)),0),MATCH(H$1,INDIRECT(VLOOKUP($U152,Source_Master,3,0),),0)),0)</f>
        <v>0</v>
      </c>
      <c r="I152" s="119"/>
      <c r="J152" s="348">
        <f ca="1">IFERROR(INDEX(INDIRECT(VLOOKUP($U152,Source_Master,2,0),),MATCH(TEXT($P152,0),INDIRECT(VLOOKUP($U152,Source_Master,4,0)),0),MATCH(J$1,INDIRECT(VLOOKUP($U152,Source_Master,3,0),),0)),0)</f>
        <v>0</v>
      </c>
      <c r="K152" s="20"/>
      <c r="M152" s="20"/>
      <c r="N152" s="1054" t="str">
        <f t="shared" ref="N152:N157" ca="1" si="25">IF(AND(H152=0,J152=0),"##H","")</f>
        <v>##H</v>
      </c>
      <c r="O152" s="2"/>
      <c r="P152" s="271" t="s">
        <v>1706</v>
      </c>
      <c r="U152" s="24" t="s">
        <v>50</v>
      </c>
    </row>
    <row r="153" spans="1:21" ht="15" customHeight="1">
      <c r="A153" s="46"/>
      <c r="B153" s="67" t="s">
        <v>437</v>
      </c>
      <c r="C153" s="58"/>
      <c r="D153" s="169"/>
      <c r="E153" s="169"/>
      <c r="F153" s="169"/>
      <c r="G153" s="137"/>
      <c r="H153" s="129">
        <f ca="1">IFERROR(INDEX(INDIRECT(VLOOKUP($U153,Source_Master,2,0),),MATCH(TEXT($P153,0),INDIRECT(VLOOKUP($U153,Source_Master,4,0)),0),MATCH(H$1,INDIRECT(VLOOKUP($U153,Source_Master,3,0),),0)),0)</f>
        <v>0</v>
      </c>
      <c r="I153" s="119"/>
      <c r="J153" s="348">
        <f ca="1">IFERROR(INDEX(INDIRECT(VLOOKUP($U153,Source_Master,2,0),),MATCH(TEXT($P153,0),INDIRECT(VLOOKUP($U153,Source_Master,4,0)),0),MATCH(J$1,INDIRECT(VLOOKUP($U153,Source_Master,3,0),),0)),0)</f>
        <v>0</v>
      </c>
      <c r="K153" s="20"/>
      <c r="M153" s="20"/>
      <c r="N153" s="1054" t="str">
        <f t="shared" ca="1" si="25"/>
        <v>##H</v>
      </c>
      <c r="O153" s="2"/>
      <c r="P153" s="271" t="s">
        <v>1707</v>
      </c>
      <c r="U153" s="24" t="s">
        <v>50</v>
      </c>
    </row>
    <row r="154" spans="1:21" ht="15" hidden="1" customHeight="1">
      <c r="A154" s="46"/>
      <c r="B154" s="68" t="s">
        <v>1600</v>
      </c>
      <c r="C154" s="58"/>
      <c r="D154" s="58"/>
      <c r="E154" s="58"/>
      <c r="F154" s="58"/>
      <c r="G154" s="86"/>
      <c r="H154" s="129">
        <f ca="1">IFERROR(INDEX(INDIRECT(VLOOKUP($U154,Source_Master,2,0),),MATCH(TEXT($P154,0),INDIRECT(VLOOKUP($U154,Source_Master,4,0)),0),MATCH(H$1,INDIRECT(VLOOKUP($U154,Source_Master,3,0),),0)),0)</f>
        <v>0</v>
      </c>
      <c r="I154" s="351"/>
      <c r="J154" s="348">
        <f ca="1">IFERROR(INDEX(INDIRECT(VLOOKUP($U154,Source_Master,2,0),),MATCH(TEXT($P154,0),INDIRECT(VLOOKUP($U154,Source_Master,4,0)),0),MATCH(J$1,INDIRECT(VLOOKUP($U154,Source_Master,3,0),),0)),0)</f>
        <v>0</v>
      </c>
      <c r="K154" s="20"/>
      <c r="M154" s="20"/>
      <c r="N154" s="1054" t="str">
        <f t="shared" ca="1" si="25"/>
        <v>##H</v>
      </c>
      <c r="O154" s="2"/>
      <c r="P154" s="271" t="s">
        <v>1708</v>
      </c>
      <c r="R154" s="24"/>
      <c r="U154" s="24" t="s">
        <v>50</v>
      </c>
    </row>
    <row r="155" spans="1:21" ht="15" hidden="1" customHeight="1">
      <c r="A155" s="46"/>
      <c r="B155" s="266" t="s">
        <v>1602</v>
      </c>
      <c r="C155" s="58"/>
      <c r="D155" s="58"/>
      <c r="E155" s="58"/>
      <c r="F155" s="58"/>
      <c r="G155" s="86"/>
      <c r="H155" s="129">
        <f ca="1">IFERROR(INDEX(INDIRECT(VLOOKUP($U155,Source_Master,2,0),),MATCH(TEXT($P155,0),INDIRECT(VLOOKUP($U155,Source_Master,4,0)),0),MATCH(H$1,INDIRECT(VLOOKUP($U155,Source_Master,3,0),),0)),0)</f>
        <v>0</v>
      </c>
      <c r="I155" s="351"/>
      <c r="J155" s="348">
        <f ca="1">IFERROR(INDEX(INDIRECT(VLOOKUP($U155,Source_Master,2,0),),MATCH(TEXT($P155,0),INDIRECT(VLOOKUP($U155,Source_Master,4,0)),0),MATCH(J$1,INDIRECT(VLOOKUP($U155,Source_Master,3,0),),0)),0)</f>
        <v>0</v>
      </c>
      <c r="K155" s="20"/>
      <c r="M155" s="20"/>
      <c r="N155" s="1054" t="str">
        <f t="shared" ca="1" si="25"/>
        <v>##H</v>
      </c>
      <c r="O155" s="2"/>
      <c r="P155" s="271" t="s">
        <v>1709</v>
      </c>
      <c r="R155" s="24"/>
      <c r="U155" s="24" t="s">
        <v>50</v>
      </c>
    </row>
    <row r="156" spans="1:21" ht="15" hidden="1" customHeight="1">
      <c r="A156" s="46"/>
      <c r="B156" s="68" t="s">
        <v>1710</v>
      </c>
      <c r="C156" s="58"/>
      <c r="D156" s="58"/>
      <c r="E156" s="58"/>
      <c r="F156" s="58"/>
      <c r="G156" s="86"/>
      <c r="H156" s="129">
        <f ca="1">IFERROR(INDEX(INDIRECT(VLOOKUP($U156,Source_Master,2,0),),MATCH(TEXT($P156,0),INDIRECT(VLOOKUP($U156,Source_Master,4,0)),0),MATCH(H$1,INDIRECT(VLOOKUP($U156,Source_Master,3,0),),0)),0)</f>
        <v>0</v>
      </c>
      <c r="I156" s="351"/>
      <c r="J156" s="348">
        <f ca="1">IFERROR(INDEX(INDIRECT(VLOOKUP($U156,Source_Master,2,0),),MATCH(TEXT($P156,0),INDIRECT(VLOOKUP($U156,Source_Master,4,0)),0),MATCH(J$1,INDIRECT(VLOOKUP($U156,Source_Master,3,0),),0)),0)</f>
        <v>0</v>
      </c>
      <c r="K156" s="20"/>
      <c r="M156" s="20"/>
      <c r="N156" s="1054" t="str">
        <f t="shared" ca="1" si="25"/>
        <v>##H</v>
      </c>
      <c r="O156" s="2"/>
      <c r="P156" s="271" t="s">
        <v>1711</v>
      </c>
      <c r="U156" s="24" t="s">
        <v>50</v>
      </c>
    </row>
    <row r="157" spans="1:21" ht="15" customHeight="1">
      <c r="A157" s="46"/>
      <c r="B157" s="232" t="s">
        <v>246</v>
      </c>
      <c r="C157" s="199"/>
      <c r="D157" s="199"/>
      <c r="E157" s="199"/>
      <c r="F157" s="199"/>
      <c r="G157" s="714"/>
      <c r="H157" s="69">
        <f ca="1">SUM(H152:H156)</f>
        <v>0</v>
      </c>
      <c r="I157" s="715"/>
      <c r="J157" s="70">
        <f ca="1">SUM(J152:J156)</f>
        <v>0</v>
      </c>
      <c r="K157" s="20"/>
      <c r="M157" s="20"/>
      <c r="N157" s="1054" t="str">
        <f t="shared" ca="1" si="25"/>
        <v>##H</v>
      </c>
      <c r="O157" s="2"/>
      <c r="P157" s="271" t="s">
        <v>541</v>
      </c>
      <c r="U157" s="24" t="s">
        <v>50</v>
      </c>
    </row>
    <row r="158" spans="1:21" ht="9.75" customHeight="1">
      <c r="A158" s="46"/>
      <c r="B158" s="1264"/>
      <c r="C158" s="32"/>
      <c r="D158" s="32"/>
      <c r="E158" s="21"/>
      <c r="F158" s="21"/>
      <c r="H158" s="20"/>
      <c r="I158" s="20"/>
      <c r="J158" s="15"/>
      <c r="K158" s="20"/>
      <c r="L158" s="39"/>
      <c r="M158" s="20"/>
      <c r="N158" s="20"/>
      <c r="O158" s="20"/>
      <c r="P158" s="271"/>
      <c r="Q158" s="271"/>
    </row>
    <row r="159" spans="1:21" ht="26.25" customHeight="1">
      <c r="A159" s="46"/>
      <c r="B159" s="1149">
        <f>NTA!F108</f>
        <v>40.1</v>
      </c>
      <c r="C159" s="1322" t="str">
        <f>"The Group carries a 'provision for contingencies' towards various claims against the Company not acknowledged as debts (Refer Note "&amp;'NT PL2'!A76&amp;"), based on Management's best estimate. The details are as follows:"</f>
        <v>The Group carries a 'provision for contingencies' towards various claims against the Company not acknowledged as debts (Refer Note 54), based on Management's best estimate. The details are as follows:</v>
      </c>
      <c r="D159" s="1322"/>
      <c r="E159" s="1322"/>
      <c r="F159" s="1322"/>
      <c r="G159" s="1322"/>
      <c r="H159" s="1322"/>
      <c r="I159" s="1322"/>
      <c r="J159" s="1322"/>
      <c r="K159" s="20"/>
      <c r="L159" s="39"/>
      <c r="M159" s="20"/>
      <c r="N159" s="20"/>
      <c r="O159" s="20"/>
      <c r="P159" s="271"/>
      <c r="Q159" s="271"/>
    </row>
    <row r="160" spans="1:21" ht="14.25" customHeight="1">
      <c r="A160" s="46"/>
      <c r="B160" s="1264"/>
      <c r="C160" s="32"/>
      <c r="D160" s="32"/>
      <c r="E160" s="32"/>
      <c r="F160" s="32"/>
      <c r="G160" s="21"/>
      <c r="H160" s="21"/>
      <c r="I160" s="21"/>
      <c r="J160" s="1087" t="str">
        <f>+'Master Sheet'!$C$65</f>
        <v>(Amount in INR)</v>
      </c>
      <c r="K160" s="20"/>
      <c r="L160" s="39"/>
      <c r="M160" s="20"/>
      <c r="N160" s="20"/>
      <c r="O160" s="20"/>
      <c r="P160" s="271"/>
      <c r="Q160" s="271"/>
    </row>
    <row r="161" spans="1:17" ht="14.25" customHeight="1">
      <c r="A161" s="46"/>
      <c r="B161" s="1264"/>
      <c r="C161" s="1323" t="s">
        <v>500</v>
      </c>
      <c r="D161" s="1323"/>
      <c r="E161" s="1323"/>
      <c r="F161" s="1323"/>
      <c r="G161" s="811"/>
      <c r="H161" s="1150" t="e">
        <f ca="1">BS_CY</f>
        <v>#NAME?</v>
      </c>
      <c r="I161" s="723"/>
      <c r="J161" s="1093" t="e">
        <f ca="1">BS_PY</f>
        <v>#NAME?</v>
      </c>
      <c r="K161" s="20"/>
      <c r="L161" s="39"/>
      <c r="M161" s="20"/>
      <c r="N161" s="20"/>
      <c r="O161" s="20"/>
      <c r="P161" s="271"/>
      <c r="Q161" s="271"/>
    </row>
    <row r="162" spans="1:17" ht="14.25" hidden="1" customHeight="1">
      <c r="A162" s="46"/>
      <c r="B162" s="1264"/>
      <c r="C162" s="58" t="s">
        <v>1604</v>
      </c>
      <c r="D162" s="169"/>
      <c r="E162" s="169"/>
      <c r="F162" s="169"/>
      <c r="G162" s="274"/>
      <c r="H162" s="437">
        <f ca="1">J166</f>
        <v>0</v>
      </c>
      <c r="I162" s="438"/>
      <c r="J162" s="439">
        <f ca="1">J154</f>
        <v>0</v>
      </c>
      <c r="K162" s="20"/>
      <c r="L162" s="39"/>
      <c r="M162" s="20"/>
      <c r="N162" s="1054" t="str">
        <f ca="1">IF(AND(H162=0,J162=0),"##H","")</f>
        <v>##H</v>
      </c>
      <c r="O162" s="20"/>
      <c r="P162" s="271"/>
      <c r="Q162" s="271"/>
    </row>
    <row r="163" spans="1:17" ht="14.25" customHeight="1">
      <c r="A163" s="46"/>
      <c r="B163" s="1264"/>
      <c r="C163" s="58" t="s">
        <v>1605</v>
      </c>
      <c r="D163" s="169"/>
      <c r="E163" s="169"/>
      <c r="F163" s="169"/>
      <c r="G163" s="274"/>
      <c r="H163" s="907"/>
      <c r="I163" s="438"/>
      <c r="J163" s="908"/>
      <c r="K163" s="20"/>
      <c r="L163" s="39"/>
      <c r="M163" s="20"/>
      <c r="N163" s="20"/>
      <c r="O163" s="20"/>
      <c r="P163" s="271"/>
      <c r="Q163" s="271"/>
    </row>
    <row r="164" spans="1:17" ht="14.25" customHeight="1">
      <c r="A164" s="46"/>
      <c r="B164" s="1264"/>
      <c r="C164" s="58" t="s">
        <v>1606</v>
      </c>
      <c r="D164" s="169"/>
      <c r="E164" s="169"/>
      <c r="F164" s="169"/>
      <c r="G164" s="274"/>
      <c r="H164" s="907"/>
      <c r="I164" s="438"/>
      <c r="J164" s="908"/>
      <c r="K164" s="20"/>
      <c r="L164" s="39"/>
      <c r="M164" s="20"/>
      <c r="N164" s="20"/>
      <c r="O164" s="20"/>
      <c r="P164" s="271"/>
      <c r="Q164" s="271"/>
    </row>
    <row r="165" spans="1:17" ht="14.25" customHeight="1">
      <c r="A165" s="46"/>
      <c r="B165" s="1264"/>
      <c r="C165" s="58" t="s">
        <v>1607</v>
      </c>
      <c r="D165" s="169"/>
      <c r="E165" s="169"/>
      <c r="F165" s="169"/>
      <c r="G165" s="274"/>
      <c r="H165" s="907"/>
      <c r="I165" s="438"/>
      <c r="J165" s="908"/>
      <c r="K165" s="20"/>
      <c r="L165" s="39"/>
      <c r="M165" s="20"/>
      <c r="N165" s="20"/>
      <c r="O165" s="20"/>
      <c r="P165" s="271"/>
      <c r="Q165" s="271"/>
    </row>
    <row r="166" spans="1:17" ht="14.25" hidden="1" customHeight="1">
      <c r="A166" s="46"/>
      <c r="B166" s="1264"/>
      <c r="C166" s="232" t="s">
        <v>1608</v>
      </c>
      <c r="D166" s="232"/>
      <c r="E166" s="232"/>
      <c r="F166" s="232"/>
      <c r="G166" s="813"/>
      <c r="H166" s="915">
        <f ca="1">H162+H163-H164-H165</f>
        <v>0</v>
      </c>
      <c r="I166" s="909"/>
      <c r="J166" s="916">
        <f ca="1">J162+J163-J164-J165</f>
        <v>0</v>
      </c>
      <c r="K166" s="20"/>
      <c r="L166" s="39"/>
      <c r="M166" s="20"/>
      <c r="N166" s="1054" t="str">
        <f ca="1">IF(AND(H166=0,J166=0),"##H","")</f>
        <v>##H</v>
      </c>
      <c r="O166" s="20"/>
      <c r="P166" s="271"/>
      <c r="Q166" s="271"/>
    </row>
    <row r="167" spans="1:17" ht="9" customHeight="1">
      <c r="A167" s="46"/>
      <c r="B167" s="1264"/>
      <c r="C167" s="32"/>
      <c r="D167" s="32"/>
      <c r="E167" s="21"/>
      <c r="F167" s="21"/>
      <c r="H167" s="20"/>
      <c r="I167" s="20"/>
      <c r="J167" s="15"/>
      <c r="K167" s="20"/>
      <c r="L167" s="39"/>
      <c r="M167" s="20"/>
      <c r="N167" s="20"/>
      <c r="O167" s="20"/>
      <c r="P167" s="271"/>
      <c r="Q167" s="271"/>
    </row>
    <row r="168" spans="1:17" ht="14.25" customHeight="1">
      <c r="A168" s="46"/>
      <c r="B168" s="1264"/>
      <c r="C168" s="210" t="s">
        <v>1507</v>
      </c>
      <c r="D168" s="32"/>
      <c r="E168" s="21"/>
      <c r="F168" s="21"/>
      <c r="H168" s="20"/>
      <c r="I168" s="20"/>
      <c r="J168" s="15"/>
      <c r="K168" s="20"/>
      <c r="L168" s="39"/>
      <c r="M168" s="20"/>
      <c r="N168" s="20"/>
      <c r="O168" s="20"/>
      <c r="P168" s="271"/>
      <c r="Q168" s="271"/>
    </row>
    <row r="169" spans="1:17" ht="27.75" customHeight="1">
      <c r="A169" s="46"/>
      <c r="B169" s="1264"/>
      <c r="C169" s="1305" t="s">
        <v>1712</v>
      </c>
      <c r="D169" s="1305"/>
      <c r="E169" s="1305"/>
      <c r="F169" s="1305"/>
      <c r="G169" s="1305"/>
      <c r="H169" s="1305"/>
      <c r="I169" s="1305"/>
      <c r="J169" s="1305"/>
      <c r="K169" s="20"/>
      <c r="L169" s="39"/>
      <c r="M169" s="20"/>
      <c r="N169" s="20"/>
      <c r="O169" s="20"/>
      <c r="P169" s="271"/>
      <c r="Q169" s="271"/>
    </row>
    <row r="170" spans="1:17" ht="4.5" customHeight="1">
      <c r="A170" s="46"/>
      <c r="B170" s="1264"/>
      <c r="H170" s="20"/>
      <c r="I170" s="20"/>
      <c r="J170" s="15"/>
      <c r="K170" s="20"/>
      <c r="L170" s="39"/>
      <c r="M170" s="20"/>
      <c r="N170" s="20"/>
      <c r="O170" s="20"/>
      <c r="P170" s="271"/>
      <c r="Q170" s="271"/>
    </row>
    <row r="171" spans="1:17">
      <c r="A171" s="46"/>
      <c r="B171" s="1264"/>
      <c r="C171" s="1305"/>
      <c r="D171" s="1305"/>
      <c r="E171" s="1305"/>
      <c r="F171" s="1305"/>
      <c r="H171" s="20"/>
      <c r="I171" s="20"/>
      <c r="J171" s="15"/>
      <c r="K171" s="20"/>
      <c r="L171" s="39"/>
      <c r="M171" s="20"/>
      <c r="N171" s="20"/>
      <c r="O171" s="20"/>
      <c r="P171" s="271"/>
      <c r="Q171" s="271"/>
    </row>
  </sheetData>
  <sheetProtection algorithmName="SHA-512" hashValue="m6zWxnDIQOXXl9lnj0SVrmrk7AqJtKLZoddK3a9gfgsvDmcbaw60x5YdmlJOkRt3t5xrGZb7qjMW+pLLFvheOA==" saltValue="XhcKk1T8y/TJBBgWQOJFyg==" spinCount="100000" sheet="1" objects="1" scenarios="1"/>
  <mergeCells count="32">
    <mergeCell ref="E113:I113"/>
    <mergeCell ref="C113:D115"/>
    <mergeCell ref="B9:F9"/>
    <mergeCell ref="B14:F14"/>
    <mergeCell ref="B22:F22"/>
    <mergeCell ref="B40:F40"/>
    <mergeCell ref="B45:F45"/>
    <mergeCell ref="B50:F50"/>
    <mergeCell ref="C30:J30"/>
    <mergeCell ref="C32:F32"/>
    <mergeCell ref="C63:F63"/>
    <mergeCell ref="C103:D105"/>
    <mergeCell ref="B19:J19"/>
    <mergeCell ref="C81:D81"/>
    <mergeCell ref="E81:F81"/>
    <mergeCell ref="E82:F82"/>
    <mergeCell ref="B134:J134"/>
    <mergeCell ref="B145:F145"/>
    <mergeCell ref="C171:F171"/>
    <mergeCell ref="B92:F92"/>
    <mergeCell ref="B97:F97"/>
    <mergeCell ref="E104:I104"/>
    <mergeCell ref="E114:I114"/>
    <mergeCell ref="B123:F123"/>
    <mergeCell ref="B137:F137"/>
    <mergeCell ref="B150:F150"/>
    <mergeCell ref="C159:J159"/>
    <mergeCell ref="C161:F161"/>
    <mergeCell ref="C169:J169"/>
    <mergeCell ref="J103:J105"/>
    <mergeCell ref="J113:J115"/>
    <mergeCell ref="E103:I103"/>
  </mergeCells>
  <dataValidations count="1">
    <dataValidation type="list" allowBlank="1" showInputMessage="1" showErrorMessage="1" sqref="R138:R141 R10 R27 R16 Q65:R70 R154:R155 R93 Q52 R51:R58 R98:R99" xr:uid="{7A5B53FC-D0FD-408B-B799-BC679F1729AF}">
      <formula1>#REF!</formula1>
    </dataValidation>
  </dataValidations>
  <pageMargins left="0.51181102362204722" right="0.51181102362204722" top="0.51181102362204722" bottom="0.51181102362204722" header="0" footer="0"/>
  <pageSetup paperSize="9" scale="41" fitToHeight="0" orientation="portrait" r:id="rId1"/>
  <headerFooter alignWithMargins="0"/>
  <rowBreaks count="1" manualBreakCount="1">
    <brk id="95" max="10" man="1"/>
  </rowBreaks>
  <extLst>
    <ext xmlns:x14="http://schemas.microsoft.com/office/spreadsheetml/2009/9/main" uri="{CCE6A557-97BC-4b89-ADB6-D9C93CAAB3DF}">
      <x14:dataValidations xmlns:xm="http://schemas.microsoft.com/office/excel/2006/main" count="1">
        <x14:dataValidation type="list" allowBlank="1" showInputMessage="1" showErrorMessage="1" xr:uid="{46ED72D2-6A11-4248-AA1F-EC37F2EC0C62}">
          <x14:formula1>
            <xm:f>'Master Sheet'!$C$37:$C$41</xm:f>
          </x14:formula1>
          <xm:sqref>U10 U116:U119 U106:U109 U152:U157 U138:U142 U93 U98:U100 U53:U59 U24:U28 U15:U16 U41:U42 U145:U146 U82 U46 U125:U131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AA118-6F60-4573-B10F-3941C6380B43}">
  <sheetPr codeName="Sheet30">
    <tabColor theme="5" tint="0.59999389629810485"/>
    <pageSetUpPr fitToPage="1"/>
  </sheetPr>
  <dimension ref="A1:W206"/>
  <sheetViews>
    <sheetView showGridLines="0" view="pageBreakPreview" zoomScaleNormal="80" zoomScaleSheetLayoutView="100" workbookViewId="0">
      <pane ySplit="3" topLeftCell="A4" activePane="bottomLeft" state="frozen"/>
      <selection pane="bottomLeft" activeCell="K17" sqref="K17"/>
    </sheetView>
  </sheetViews>
  <sheetFormatPr defaultColWidth="9.42578125" defaultRowHeight="13.15" outlineLevelRow="1" outlineLevelCol="1"/>
  <cols>
    <col min="1" max="1" customWidth="true" style="187" width="3.42578125"/>
    <col min="2" max="2" customWidth="true" style="50" width="5.5703125"/>
    <col min="3" max="3" customWidth="true" style="50" width="3.7109375"/>
    <col min="4" max="4" customWidth="true" style="20" width="61.5703125"/>
    <col min="5" max="5" customWidth="true" style="16" width="20.7109375"/>
    <col min="6" max="6" customWidth="true" style="20" width="20.7109375"/>
    <col min="7" max="7" customWidth="true" style="20" width="2.5703125"/>
    <col min="8" max="8" customWidth="true" style="20" width="12.5703125"/>
    <col min="9" max="9" bestFit="true" customWidth="true" style="20" width="12.7109375"/>
    <col min="10" max="10" bestFit="true" customWidth="true" style="2" width="4.28515625"/>
    <col min="11" max="11" customWidth="true" style="2" width="10.42578125"/>
    <col min="12" max="12" customWidth="true" hidden="true" style="24" width="12.7109375" outlineLevel="1"/>
    <col min="13" max="13" customWidth="true" hidden="true" style="271" width="12.7109375" outlineLevel="1"/>
    <col min="14" max="15" customWidth="true" hidden="true" style="39" width="15.42578125" outlineLevel="1"/>
    <col min="16" max="16" bestFit="true" customWidth="true" style="20" width="10.5703125" collapsed="true"/>
    <col min="17" max="20" customWidth="true" style="20" width="9.42578125"/>
    <col min="21" max="16384" style="20" width="9.42578125"/>
  </cols>
  <sheetData>
    <row r="1" spans="1:16" hidden="1" outlineLevel="1">
      <c r="A1" s="1264"/>
      <c r="E1" s="1591" t="str">
        <f>BS!C1</f>
        <v>7756|001|INR|Actual|Standalone</v>
      </c>
      <c r="F1" s="1591" t="str">
        <f>BS!D1</f>
        <v>7756|002|INR|Actual|Standalone</v>
      </c>
      <c r="G1" s="1591" t="str">
        <f>BS!E1</f>
        <v>7756|003|INR|Actual|Standalone</v>
      </c>
      <c r="H1" s="113"/>
      <c r="J1" s="2" t="s">
        <v>492</v>
      </c>
      <c r="M1" s="29" t="s">
        <v>553</v>
      </c>
      <c r="N1" s="21"/>
      <c r="O1" s="21"/>
    </row>
    <row r="2" spans="1:16" hidden="1" outlineLevel="1">
      <c r="A2" s="1264"/>
      <c r="D2" s="1592"/>
      <c r="E2" s="917"/>
      <c r="F2" s="53"/>
      <c r="H2" s="113"/>
      <c r="M2" s="29"/>
      <c r="N2" s="21"/>
      <c r="O2" s="21"/>
    </row>
    <row r="3" spans="1:16" hidden="1" outlineLevel="1">
      <c r="A3" s="1264"/>
      <c r="B3" s="20"/>
      <c r="C3" s="20"/>
      <c r="E3" s="20"/>
      <c r="F3" s="115"/>
      <c r="I3" s="115"/>
    </row>
    <row r="4" spans="1:16" ht="17.45" collapsed="1">
      <c r="A4" s="1165" t="e">
        <f ca="1">Company</f>
        <v>#NAME?</v>
      </c>
      <c r="B4" s="365"/>
      <c r="C4" s="365"/>
      <c r="D4" s="21"/>
      <c r="E4" s="1528"/>
      <c r="P4" s="115"/>
    </row>
    <row r="5" spans="1:16" ht="15.6">
      <c r="A5" s="1166" t="e">
        <f ca="1">Note_Head</f>
        <v>#NAME?</v>
      </c>
      <c r="B5" s="111"/>
      <c r="C5" s="111"/>
      <c r="D5" s="21"/>
      <c r="E5" s="1528"/>
    </row>
    <row r="6" spans="1:16" ht="11.25" customHeight="1">
      <c r="A6" s="51"/>
      <c r="B6" s="116"/>
      <c r="C6" s="116"/>
      <c r="D6" s="21"/>
      <c r="E6" s="1528"/>
    </row>
    <row r="7" spans="1:16">
      <c r="A7" s="1149">
        <f>NTA!F113</f>
        <v>41</v>
      </c>
      <c r="B7" s="1149" t="str">
        <f>NTA!C113</f>
        <v>Revenue from Operations</v>
      </c>
      <c r="C7" s="210"/>
      <c r="D7" s="21"/>
      <c r="E7" s="366"/>
      <c r="F7" s="1191" t="str">
        <f>+'Master Sheet'!$C$65</f>
        <v>(Amount in INR)</v>
      </c>
    </row>
    <row r="8" spans="1:16" ht="29.85" customHeight="1">
      <c r="A8" s="1264"/>
      <c r="B8" s="1313" t="s">
        <v>500</v>
      </c>
      <c r="C8" s="1313"/>
      <c r="D8" s="1313"/>
      <c r="E8" s="367" t="e">
        <f ca="1">PL_CY</f>
        <v>#NAME?</v>
      </c>
      <c r="F8" s="1192" t="e">
        <f ca="1">PL_PY</f>
        <v>#NAME?</v>
      </c>
    </row>
    <row r="9" spans="1:16" ht="15" customHeight="1">
      <c r="A9" s="210"/>
      <c r="B9" s="1169" t="str">
        <f>"Sale of Products (Refer Note ("&amp;B14&amp;") below)"</f>
        <v>Sale of Products (Refer Note (41.1) below)</v>
      </c>
      <c r="C9" s="56"/>
      <c r="D9" s="33"/>
      <c r="E9" s="130">
        <f ca="1">E30</f>
        <v>0</v>
      </c>
      <c r="F9" s="158">
        <f ca="1">F30</f>
        <v>0</v>
      </c>
      <c r="J9" s="2" t="str">
        <f ca="1">IF(AND(E9=0,F9=0),"##H","")</f>
        <v>##H</v>
      </c>
    </row>
    <row r="10" spans="1:16" ht="15" customHeight="1">
      <c r="A10" s="210"/>
      <c r="B10" s="1169" t="str">
        <f>"Sale of Services (Refer Note ("&amp;B14&amp;") below)"</f>
        <v>Sale of Services (Refer Note (41.1) below)</v>
      </c>
      <c r="C10" s="56"/>
      <c r="D10" s="33"/>
      <c r="E10" s="61">
        <f ca="1">E38</f>
        <v>0</v>
      </c>
      <c r="F10" s="62">
        <f ca="1">F38</f>
        <v>0</v>
      </c>
      <c r="J10" s="2" t="str">
        <f t="shared" ref="J10:J12" ca="1" si="0">IF(AND(E10=0,F10=0),"##H","")</f>
        <v>##H</v>
      </c>
    </row>
    <row r="11" spans="1:16" ht="15" customHeight="1">
      <c r="A11" s="210"/>
      <c r="B11" s="68" t="s">
        <v>1713</v>
      </c>
      <c r="C11" s="56"/>
      <c r="D11" s="33"/>
      <c r="E11" s="61">
        <f ca="1">IFERROR(INDEX(INDIRECT(VLOOKUP($M11,Source_Master,2,0),),MATCH(TEXT($L11,0),INDIRECT(VLOOKUP($M11,Source_Master,4,0)),0),MATCH(E$1,INDIRECT(VLOOKUP($M11,Source_Master,3,0),),0)),0)</f>
        <v>0</v>
      </c>
      <c r="F11" s="62">
        <f ca="1">IFERROR(INDEX(INDIRECT(VLOOKUP($M11,Source_Master,2,0),),MATCH(TEXT($L11,0),INDIRECT(VLOOKUP($M11,Source_Master,4,0)),0),MATCH(F$1,INDIRECT(VLOOKUP($M11,Source_Master,3,0),),0)),0)</f>
        <v>0</v>
      </c>
      <c r="J11" s="2" t="str">
        <f t="shared" ca="1" si="0"/>
        <v>##H</v>
      </c>
      <c r="L11" s="24" t="s">
        <v>1714</v>
      </c>
      <c r="M11" s="24" t="s">
        <v>50</v>
      </c>
    </row>
    <row r="12" spans="1:16" ht="15" customHeight="1">
      <c r="A12" s="210"/>
      <c r="B12" s="364" t="s">
        <v>246</v>
      </c>
      <c r="C12" s="364"/>
      <c r="D12" s="216"/>
      <c r="E12" s="382">
        <f ca="1">SUM(E9:E11)</f>
        <v>0</v>
      </c>
      <c r="F12" s="316">
        <f ca="1">SUM(F9:F11)</f>
        <v>0</v>
      </c>
      <c r="J12" s="2" t="str">
        <f t="shared" ca="1" si="0"/>
        <v>##H</v>
      </c>
    </row>
    <row r="13" spans="1:16" ht="5.25" customHeight="1">
      <c r="A13" s="210"/>
      <c r="B13" s="46"/>
      <c r="C13" s="46"/>
      <c r="D13" s="21"/>
      <c r="E13" s="1574"/>
      <c r="F13" s="1574"/>
    </row>
    <row r="14" spans="1:16" ht="15" customHeight="1">
      <c r="A14" s="210"/>
      <c r="B14" s="1094">
        <f>NTA!F114</f>
        <v>41.1</v>
      </c>
      <c r="C14" s="1149" t="str">
        <f>NTA!C114</f>
        <v>Disaggregation of the revenue Information</v>
      </c>
      <c r="D14" s="190"/>
      <c r="E14" s="1574"/>
      <c r="F14" s="1574"/>
      <c r="H14" s="246"/>
      <c r="I14" s="220"/>
    </row>
    <row r="15" spans="1:16" ht="43.5" customHeight="1">
      <c r="A15" s="210"/>
      <c r="B15" s="46"/>
      <c r="C15" s="1322" t="e">
        <f ca="1">"The tables below present disaggregated revenues from contracts with customers for the year ended "&amp;Current_Date&amp;" by offerings. The Company believes that this disaggregation best depicts how the nature, amount, timing and uncertainity of our revenues and cash flows are affected by industry, market and other economic factors."</f>
        <v>#NAME?</v>
      </c>
      <c r="D15" s="1322"/>
      <c r="E15" s="1322"/>
      <c r="F15" s="1322"/>
    </row>
    <row r="16" spans="1:16" ht="15" customHeight="1">
      <c r="A16" s="210"/>
      <c r="B16" s="46"/>
      <c r="C16" s="210" t="s">
        <v>1715</v>
      </c>
      <c r="D16" s="190"/>
      <c r="E16" s="1574"/>
      <c r="F16" s="1543" t="str">
        <f>+'Master Sheet'!$C$65</f>
        <v>(Amount in INR)</v>
      </c>
    </row>
    <row r="17" spans="1:13">
      <c r="A17" s="210"/>
      <c r="B17" s="46"/>
      <c r="C17" s="1313" t="s">
        <v>500</v>
      </c>
      <c r="D17" s="1313"/>
      <c r="E17" s="1088" t="e">
        <f ca="1">PL_CY</f>
        <v>#NAME?</v>
      </c>
      <c r="F17" s="1089" t="e">
        <f ca="1">PL_PY</f>
        <v>#NAME?</v>
      </c>
    </row>
    <row r="18" spans="1:13" ht="15" customHeight="1">
      <c r="A18" s="210"/>
      <c r="B18" s="46"/>
      <c r="C18" s="445" t="s">
        <v>1716</v>
      </c>
      <c r="D18" s="445"/>
      <c r="E18" s="193"/>
      <c r="F18" s="194"/>
    </row>
    <row r="19" spans="1:13" ht="15" customHeight="1">
      <c r="A19" s="210"/>
      <c r="B19" s="46"/>
      <c r="C19" s="444"/>
      <c r="D19" s="192" t="s">
        <v>1717</v>
      </c>
      <c r="E19" s="61">
        <f t="shared" ref="E19:F23" ca="1" si="1">IFERROR(INDEX(INDIRECT(VLOOKUP($M19,Source_Master,2,0),),MATCH(TEXT($L19,0),INDIRECT(VLOOKUP($M19,Source_Master,4,0)),0),MATCH(E$1,INDIRECT(VLOOKUP($M19,Source_Master,3,0),),0)),0)</f>
        <v>0</v>
      </c>
      <c r="F19" s="921">
        <f t="shared" ca="1" si="1"/>
        <v>0</v>
      </c>
      <c r="J19" s="2" t="str">
        <f t="shared" ref="J19:J24" ca="1" si="2">IF(AND(E19=0,F19=0),"##H","")</f>
        <v>##H</v>
      </c>
      <c r="L19" s="24" t="s">
        <v>1718</v>
      </c>
      <c r="M19" s="24" t="s">
        <v>50</v>
      </c>
    </row>
    <row r="20" spans="1:13" ht="15" customHeight="1">
      <c r="A20" s="210"/>
      <c r="B20" s="46"/>
      <c r="C20" s="444"/>
      <c r="D20" s="192" t="s">
        <v>1719</v>
      </c>
      <c r="E20" s="61">
        <f t="shared" ca="1" si="1"/>
        <v>0</v>
      </c>
      <c r="F20" s="921">
        <f t="shared" ca="1" si="1"/>
        <v>0</v>
      </c>
      <c r="J20" s="2" t="str">
        <f t="shared" ca="1" si="2"/>
        <v>##H</v>
      </c>
      <c r="L20" s="24" t="s">
        <v>1720</v>
      </c>
      <c r="M20" s="24" t="s">
        <v>50</v>
      </c>
    </row>
    <row r="21" spans="1:13" ht="15" customHeight="1">
      <c r="A21" s="210"/>
      <c r="B21" s="46"/>
      <c r="C21" s="444"/>
      <c r="D21" s="192" t="s">
        <v>1721</v>
      </c>
      <c r="E21" s="61">
        <f t="shared" ca="1" si="1"/>
        <v>0</v>
      </c>
      <c r="F21" s="921">
        <f t="shared" ca="1" si="1"/>
        <v>0</v>
      </c>
      <c r="J21" s="2" t="str">
        <f t="shared" ca="1" si="2"/>
        <v>##H</v>
      </c>
      <c r="L21" s="24" t="s">
        <v>1722</v>
      </c>
      <c r="M21" s="24" t="s">
        <v>50</v>
      </c>
    </row>
    <row r="22" spans="1:13" ht="15" hidden="1" customHeight="1">
      <c r="A22" s="210"/>
      <c r="B22" s="46"/>
      <c r="C22" s="444"/>
      <c r="D22" s="192" t="s">
        <v>1723</v>
      </c>
      <c r="E22" s="61">
        <f t="shared" ca="1" si="1"/>
        <v>0</v>
      </c>
      <c r="F22" s="921">
        <f t="shared" ca="1" si="1"/>
        <v>0</v>
      </c>
      <c r="J22" s="2" t="str">
        <f t="shared" ca="1" si="2"/>
        <v>##H</v>
      </c>
      <c r="L22" s="24" t="s">
        <v>1724</v>
      </c>
      <c r="M22" s="24" t="s">
        <v>50</v>
      </c>
    </row>
    <row r="23" spans="1:13" ht="15" hidden="1" customHeight="1">
      <c r="A23" s="210"/>
      <c r="B23" s="46"/>
      <c r="C23" s="444"/>
      <c r="D23" s="192" t="s">
        <v>1725</v>
      </c>
      <c r="E23" s="358">
        <f t="shared" ca="1" si="1"/>
        <v>0</v>
      </c>
      <c r="F23" s="921">
        <f t="shared" ca="1" si="1"/>
        <v>0</v>
      </c>
      <c r="J23" s="2" t="str">
        <f t="shared" ca="1" si="2"/>
        <v>##H</v>
      </c>
      <c r="L23" s="24" t="s">
        <v>1726</v>
      </c>
      <c r="M23" s="24" t="s">
        <v>50</v>
      </c>
    </row>
    <row r="24" spans="1:13" ht="15" customHeight="1">
      <c r="A24" s="210"/>
      <c r="B24" s="46"/>
      <c r="C24" s="46"/>
      <c r="D24" s="444"/>
      <c r="E24" s="382">
        <f ca="1">SUM(E19:E23)</f>
        <v>0</v>
      </c>
      <c r="F24" s="922">
        <f ca="1">SUM(F19:F23)</f>
        <v>0</v>
      </c>
      <c r="J24" s="2" t="str">
        <f t="shared" ca="1" si="2"/>
        <v>##H</v>
      </c>
      <c r="L24" s="24" t="s">
        <v>1727</v>
      </c>
      <c r="M24" s="24" t="s">
        <v>50</v>
      </c>
    </row>
    <row r="25" spans="1:13" ht="15" customHeight="1">
      <c r="A25" s="210"/>
      <c r="B25" s="46"/>
      <c r="C25" s="205" t="s">
        <v>1728</v>
      </c>
      <c r="D25" s="445"/>
      <c r="E25" s="446"/>
      <c r="F25" s="447"/>
    </row>
    <row r="26" spans="1:13" ht="15" customHeight="1">
      <c r="A26" s="210"/>
      <c r="B26" s="46"/>
      <c r="C26" s="444"/>
      <c r="D26" s="192" t="s">
        <v>1717</v>
      </c>
      <c r="E26" s="923">
        <f t="shared" ref="E26:F28" ca="1" si="3">IFERROR(INDEX(INDIRECT(VLOOKUP($M26,Source_Master,2,0),),MATCH(TEXT($L26,0),INDIRECT(VLOOKUP($M26,Source_Master,4,0)),0),MATCH(E$1,INDIRECT(VLOOKUP($M26,Source_Master,3,0),),0)),0)</f>
        <v>0</v>
      </c>
      <c r="F26" s="921">
        <f t="shared" ca="1" si="3"/>
        <v>0</v>
      </c>
      <c r="J26" s="2" t="str">
        <f t="shared" ref="J26:J30" ca="1" si="4">IF(AND(E26=0,F26=0),"##H","")</f>
        <v>##H</v>
      </c>
      <c r="L26" s="24" t="s">
        <v>1729</v>
      </c>
      <c r="M26" s="24" t="s">
        <v>50</v>
      </c>
    </row>
    <row r="27" spans="1:13" ht="15" hidden="1" customHeight="1">
      <c r="A27" s="210"/>
      <c r="B27" s="46"/>
      <c r="C27" s="444"/>
      <c r="D27" s="192" t="s">
        <v>1719</v>
      </c>
      <c r="E27" s="923">
        <f t="shared" ca="1" si="3"/>
        <v>0</v>
      </c>
      <c r="F27" s="921">
        <f t="shared" ca="1" si="3"/>
        <v>0</v>
      </c>
      <c r="J27" s="2" t="str">
        <f t="shared" ca="1" si="4"/>
        <v>##H</v>
      </c>
      <c r="L27" s="24" t="s">
        <v>1730</v>
      </c>
      <c r="M27" s="24" t="s">
        <v>50</v>
      </c>
    </row>
    <row r="28" spans="1:13" ht="15" customHeight="1">
      <c r="A28" s="210"/>
      <c r="B28" s="46"/>
      <c r="C28" s="444"/>
      <c r="D28" s="192" t="s">
        <v>1731</v>
      </c>
      <c r="E28" s="923">
        <f t="shared" ca="1" si="3"/>
        <v>0</v>
      </c>
      <c r="F28" s="921">
        <f t="shared" ca="1" si="3"/>
        <v>0</v>
      </c>
      <c r="J28" s="2" t="str">
        <f t="shared" ca="1" si="4"/>
        <v>##H</v>
      </c>
      <c r="L28" s="24" t="s">
        <v>1732</v>
      </c>
      <c r="M28" s="24" t="s">
        <v>50</v>
      </c>
    </row>
    <row r="29" spans="1:13" ht="15" customHeight="1">
      <c r="A29" s="210"/>
      <c r="B29" s="46"/>
      <c r="C29" s="192"/>
      <c r="D29" s="192"/>
      <c r="E29" s="924">
        <f ca="1">SUM(E26:E28)</f>
        <v>0</v>
      </c>
      <c r="F29" s="922">
        <f ca="1">SUM(F26:F28)</f>
        <v>0</v>
      </c>
      <c r="J29" s="2" t="str">
        <f t="shared" ca="1" si="4"/>
        <v>##H</v>
      </c>
      <c r="L29" s="24" t="s">
        <v>1733</v>
      </c>
      <c r="M29" s="24" t="s">
        <v>50</v>
      </c>
    </row>
    <row r="30" spans="1:13" ht="15" customHeight="1">
      <c r="A30" s="210"/>
      <c r="B30" s="46"/>
      <c r="C30" s="451"/>
      <c r="D30" s="451" t="s">
        <v>1734</v>
      </c>
      <c r="E30" s="287">
        <f ca="1">E24+E29</f>
        <v>0</v>
      </c>
      <c r="F30" s="798">
        <f ca="1">F24+F29</f>
        <v>0</v>
      </c>
      <c r="J30" s="2" t="str">
        <f t="shared" ca="1" si="4"/>
        <v>##H</v>
      </c>
      <c r="L30" s="24" t="s">
        <v>1735</v>
      </c>
      <c r="M30" s="24" t="s">
        <v>50</v>
      </c>
    </row>
    <row r="31" spans="1:13" ht="6" customHeight="1">
      <c r="A31" s="210"/>
      <c r="B31" s="46"/>
      <c r="C31" s="46"/>
      <c r="D31" s="190"/>
      <c r="E31" s="1574"/>
      <c r="F31" s="1574"/>
    </row>
    <row r="32" spans="1:13" ht="15" customHeight="1">
      <c r="A32" s="210"/>
      <c r="B32" s="46"/>
      <c r="C32" s="210" t="s">
        <v>1736</v>
      </c>
      <c r="D32" s="190"/>
      <c r="E32" s="1574"/>
      <c r="F32" s="1543" t="str">
        <f>+'Master Sheet'!$C$65</f>
        <v>(Amount in INR)</v>
      </c>
    </row>
    <row r="33" spans="1:15">
      <c r="A33" s="210"/>
      <c r="B33" s="46"/>
      <c r="C33" s="1313" t="s">
        <v>500</v>
      </c>
      <c r="D33" s="1313"/>
      <c r="E33" s="1088" t="e">
        <f ca="1">PL_CY</f>
        <v>#NAME?</v>
      </c>
      <c r="F33" s="1089" t="e">
        <f ca="1">PL_PY</f>
        <v>#NAME?</v>
      </c>
    </row>
    <row r="34" spans="1:15" ht="15" customHeight="1">
      <c r="A34" s="210"/>
      <c r="B34" s="46"/>
      <c r="C34" s="192" t="s">
        <v>1737</v>
      </c>
      <c r="D34" s="192"/>
      <c r="E34" s="61">
        <f t="shared" ref="E34:F37" ca="1" si="5">IFERROR(INDEX(INDIRECT(VLOOKUP($M34,Source_Master,2,0),),MATCH(TEXT($L34,0),INDIRECT(VLOOKUP($M34,Source_Master,4,0)),0),MATCH(E$1,INDIRECT(VLOOKUP($M34,Source_Master,3,0),),0)),0)</f>
        <v>0</v>
      </c>
      <c r="F34" s="921">
        <f t="shared" ca="1" si="5"/>
        <v>0</v>
      </c>
      <c r="J34" s="2" t="str">
        <f t="shared" ref="J34:J38" ca="1" si="6">IF(AND(E34=0,F34=0),"##H","")</f>
        <v>##H</v>
      </c>
      <c r="L34" s="24" t="s">
        <v>1738</v>
      </c>
      <c r="M34" s="24" t="s">
        <v>50</v>
      </c>
    </row>
    <row r="35" spans="1:15" ht="15" customHeight="1">
      <c r="A35" s="210"/>
      <c r="B35" s="46"/>
      <c r="C35" s="448" t="s">
        <v>1739</v>
      </c>
      <c r="D35" s="448"/>
      <c r="E35" s="61">
        <f t="shared" ca="1" si="5"/>
        <v>0</v>
      </c>
      <c r="F35" s="921">
        <f t="shared" ca="1" si="5"/>
        <v>0</v>
      </c>
      <c r="J35" s="2" t="str">
        <f t="shared" ca="1" si="6"/>
        <v>##H</v>
      </c>
      <c r="L35" s="24" t="s">
        <v>1740</v>
      </c>
      <c r="M35" s="24" t="s">
        <v>50</v>
      </c>
    </row>
    <row r="36" spans="1:15" ht="15" customHeight="1">
      <c r="A36" s="210"/>
      <c r="B36" s="46"/>
      <c r="C36" s="448" t="s">
        <v>1741</v>
      </c>
      <c r="D36" s="448"/>
      <c r="E36" s="61">
        <f t="shared" ca="1" si="5"/>
        <v>0</v>
      </c>
      <c r="F36" s="921">
        <f t="shared" ca="1" si="5"/>
        <v>0</v>
      </c>
      <c r="J36" s="2" t="str">
        <f t="shared" ca="1" si="6"/>
        <v>##H</v>
      </c>
      <c r="L36" s="24" t="s">
        <v>1742</v>
      </c>
      <c r="M36" s="24" t="s">
        <v>50</v>
      </c>
    </row>
    <row r="37" spans="1:15" ht="15" hidden="1" customHeight="1">
      <c r="A37" s="210"/>
      <c r="B37" s="46"/>
      <c r="C37" s="448" t="s">
        <v>1743</v>
      </c>
      <c r="D37" s="448"/>
      <c r="E37" s="61">
        <f t="shared" ca="1" si="5"/>
        <v>0</v>
      </c>
      <c r="F37" s="921">
        <f t="shared" ca="1" si="5"/>
        <v>0</v>
      </c>
      <c r="J37" s="2" t="str">
        <f t="shared" ca="1" si="6"/>
        <v>##H</v>
      </c>
      <c r="L37" s="24" t="s">
        <v>1744</v>
      </c>
      <c r="M37" s="24" t="s">
        <v>50</v>
      </c>
    </row>
    <row r="38" spans="1:15" ht="15" customHeight="1">
      <c r="A38" s="210"/>
      <c r="B38" s="46"/>
      <c r="C38" s="451" t="s">
        <v>1745</v>
      </c>
      <c r="D38" s="451"/>
      <c r="E38" s="287">
        <f ca="1">SUM(E34:E37)</f>
        <v>0</v>
      </c>
      <c r="F38" s="798">
        <f ca="1">SUM(F34:F37)</f>
        <v>0</v>
      </c>
      <c r="J38" s="2" t="str">
        <f t="shared" ca="1" si="6"/>
        <v>##H</v>
      </c>
      <c r="L38" s="24" t="s">
        <v>1746</v>
      </c>
      <c r="M38" s="24" t="s">
        <v>50</v>
      </c>
    </row>
    <row r="39" spans="1:15" ht="6" customHeight="1">
      <c r="A39" s="210"/>
      <c r="B39" s="46"/>
      <c r="C39" s="46"/>
      <c r="D39" s="190"/>
      <c r="E39" s="1574"/>
      <c r="F39" s="1574"/>
    </row>
    <row r="40" spans="1:15" ht="13.5" customHeight="1">
      <c r="A40" s="210"/>
      <c r="B40" s="46" t="s">
        <v>1507</v>
      </c>
      <c r="C40" s="46"/>
      <c r="D40" s="21"/>
      <c r="E40" s="1569"/>
      <c r="F40" s="21"/>
      <c r="H40" s="246"/>
      <c r="I40" s="220"/>
      <c r="J40" s="20"/>
      <c r="K40" s="20"/>
      <c r="L40" s="271"/>
      <c r="N40" s="20"/>
      <c r="O40" s="20"/>
    </row>
    <row r="41" spans="1:15" ht="52.5" customHeight="1">
      <c r="A41" s="210"/>
      <c r="B41" s="1305" t="s">
        <v>1747</v>
      </c>
      <c r="C41" s="1305"/>
      <c r="D41" s="1305"/>
      <c r="E41" s="1305"/>
      <c r="F41" s="1305"/>
      <c r="I41" s="145"/>
      <c r="J41" s="20"/>
      <c r="K41" s="20"/>
      <c r="L41" s="271"/>
      <c r="N41" s="20"/>
      <c r="O41" s="20"/>
    </row>
    <row r="42" spans="1:15">
      <c r="A42" s="210"/>
      <c r="B42" s="1244"/>
      <c r="C42" s="1244"/>
      <c r="D42" s="1244"/>
      <c r="E42" s="1244"/>
      <c r="F42" s="1244"/>
      <c r="I42" s="145"/>
      <c r="J42" s="20"/>
      <c r="K42" s="20"/>
      <c r="L42" s="271"/>
      <c r="N42" s="20"/>
      <c r="O42" s="20"/>
    </row>
    <row r="43" spans="1:15" ht="12" customHeight="1">
      <c r="A43" s="210"/>
      <c r="B43" s="1149">
        <f>NTA!F115</f>
        <v>41.2</v>
      </c>
      <c r="C43" s="1149" t="str">
        <f>NTA!C115</f>
        <v>Trade Receivables and Contract Balances</v>
      </c>
      <c r="D43" s="21"/>
      <c r="E43" s="1569"/>
      <c r="F43" s="21"/>
      <c r="H43" s="246"/>
      <c r="I43" s="220"/>
      <c r="J43" s="20"/>
      <c r="K43" s="20"/>
      <c r="L43" s="271"/>
      <c r="N43" s="20"/>
      <c r="O43" s="20"/>
    </row>
    <row r="44" spans="1:15">
      <c r="A44" s="210"/>
      <c r="B44" s="46"/>
      <c r="C44" s="1413" t="s">
        <v>1748</v>
      </c>
      <c r="D44" s="1413"/>
      <c r="E44" s="1413"/>
      <c r="F44" s="1413"/>
      <c r="I44" s="145"/>
      <c r="J44" s="20"/>
      <c r="K44" s="20"/>
      <c r="L44" s="271"/>
      <c r="N44" s="20"/>
      <c r="O44" s="20"/>
    </row>
    <row r="45" spans="1:15" ht="27.75" customHeight="1">
      <c r="A45" s="210"/>
      <c r="B45" s="46"/>
      <c r="C45" s="1305" t="s">
        <v>1749</v>
      </c>
      <c r="D45" s="1305"/>
      <c r="E45" s="1305"/>
      <c r="F45" s="1305"/>
      <c r="I45" s="145"/>
      <c r="J45" s="20"/>
      <c r="K45" s="20"/>
      <c r="L45" s="271"/>
      <c r="N45" s="20"/>
      <c r="O45" s="20"/>
    </row>
    <row r="46" spans="1:15" ht="12" customHeight="1">
      <c r="A46" s="210"/>
      <c r="B46" s="46"/>
      <c r="C46" s="1311" t="s">
        <v>1750</v>
      </c>
      <c r="D46" s="1311"/>
      <c r="E46" s="1311"/>
      <c r="F46" s="1311"/>
      <c r="I46" s="145"/>
      <c r="J46" s="20"/>
      <c r="K46" s="20"/>
      <c r="L46" s="271"/>
      <c r="N46" s="20"/>
      <c r="O46" s="20"/>
    </row>
    <row r="47" spans="1:15" ht="25.5" customHeight="1">
      <c r="A47" s="210"/>
      <c r="B47" s="46"/>
      <c r="C47" s="1305" t="s">
        <v>1751</v>
      </c>
      <c r="D47" s="1305"/>
      <c r="E47" s="1305"/>
      <c r="F47" s="1305"/>
      <c r="I47" s="145"/>
      <c r="J47" s="20"/>
      <c r="K47" s="20"/>
      <c r="L47" s="271"/>
      <c r="N47" s="20"/>
      <c r="O47" s="20"/>
    </row>
    <row r="48" spans="1:15">
      <c r="A48" s="210"/>
      <c r="B48" s="46"/>
      <c r="C48" s="46"/>
      <c r="D48" s="1244"/>
      <c r="E48" s="1244"/>
      <c r="F48" s="1244"/>
      <c r="I48" s="145"/>
    </row>
    <row r="49" spans="1:13">
      <c r="A49" s="210"/>
      <c r="B49" s="1149">
        <f>NTA!F116</f>
        <v>41.300000000000004</v>
      </c>
      <c r="C49" s="1149" t="str">
        <f>NTA!C116</f>
        <v>Performance obligations and remaining performance obligations</v>
      </c>
      <c r="D49" s="1244"/>
      <c r="E49" s="1244"/>
      <c r="F49" s="1244"/>
      <c r="H49" s="246"/>
      <c r="I49" s="220"/>
    </row>
    <row r="50" spans="1:13" ht="79.5" customHeight="1">
      <c r="A50" s="210"/>
      <c r="B50" s="46"/>
      <c r="C50" s="1305" t="s">
        <v>1752</v>
      </c>
      <c r="D50" s="1305"/>
      <c r="E50" s="1305"/>
      <c r="F50" s="1305"/>
      <c r="I50" s="145"/>
    </row>
    <row r="51" spans="1:13" ht="9" customHeight="1">
      <c r="A51" s="210"/>
      <c r="B51" s="46"/>
      <c r="C51" s="46"/>
      <c r="D51" s="1244"/>
      <c r="E51" s="1244"/>
      <c r="F51" s="1244"/>
      <c r="I51" s="145"/>
    </row>
    <row r="52" spans="1:13">
      <c r="A52" s="210"/>
      <c r="B52" s="1149">
        <f>NTA!F117</f>
        <v>41.400000000000006</v>
      </c>
      <c r="C52" s="1149" t="str">
        <f>NTA!C117</f>
        <v>Geographical Revenue Breakdown</v>
      </c>
      <c r="D52" s="1244"/>
      <c r="E52" s="1244"/>
      <c r="F52" s="1193" t="str">
        <f>+'Master Sheet'!$C$65</f>
        <v>(Amount in INR)</v>
      </c>
      <c r="I52" s="145"/>
    </row>
    <row r="53" spans="1:13">
      <c r="A53" s="210"/>
      <c r="B53" s="46"/>
      <c r="C53" s="1313" t="s">
        <v>500</v>
      </c>
      <c r="D53" s="1313"/>
      <c r="E53" s="1088" t="e">
        <f ca="1">PL_CY</f>
        <v>#NAME?</v>
      </c>
      <c r="F53" s="1089" t="e">
        <f ca="1">PL_PY</f>
        <v>#NAME?</v>
      </c>
      <c r="I53" s="145"/>
    </row>
    <row r="54" spans="1:13">
      <c r="A54" s="210"/>
      <c r="B54" s="46"/>
      <c r="C54" s="1194" t="str">
        <f>"Within "&amp;FZ_Reference_Master!D3</f>
        <v>Within Air India Exp</v>
      </c>
      <c r="D54" s="192"/>
      <c r="E54" s="61">
        <f ca="1">'NT PL2'!G267</f>
        <v>0</v>
      </c>
      <c r="F54" s="61">
        <f ca="1">'NT PL2'!I267</f>
        <v>0</v>
      </c>
      <c r="I54" s="145"/>
      <c r="J54" s="2" t="str">
        <f t="shared" ref="J54:J56" ca="1" si="7">IF(AND(E54=0,F54=0),"##H","")</f>
        <v>##H</v>
      </c>
    </row>
    <row r="55" spans="1:13" hidden="1">
      <c r="A55" s="210"/>
      <c r="B55" s="46"/>
      <c r="C55" s="1194" t="str">
        <f>"Outside "&amp;FZ_Reference_Master!D3</f>
        <v>Outside Air India Exp</v>
      </c>
      <c r="D55" s="192"/>
      <c r="E55" s="925">
        <f>'NT PL2'!G268</f>
        <v>0</v>
      </c>
      <c r="F55" s="925">
        <f>'NT PL2'!I268</f>
        <v>0</v>
      </c>
      <c r="I55" s="145"/>
      <c r="J55" s="2" t="str">
        <f t="shared" si="7"/>
        <v>##H</v>
      </c>
    </row>
    <row r="56" spans="1:13">
      <c r="A56" s="210"/>
      <c r="B56" s="46"/>
      <c r="C56" s="451" t="s">
        <v>246</v>
      </c>
      <c r="D56" s="451"/>
      <c r="E56" s="287">
        <f ca="1">SUM(E54:E55)</f>
        <v>0</v>
      </c>
      <c r="F56" s="798">
        <f ca="1">SUM(F54:F55)</f>
        <v>0</v>
      </c>
      <c r="I56" s="145"/>
      <c r="J56" s="2" t="str">
        <f t="shared" ca="1" si="7"/>
        <v>##H</v>
      </c>
    </row>
    <row r="57" spans="1:13">
      <c r="A57" s="210"/>
      <c r="B57" s="46"/>
      <c r="C57" s="46"/>
      <c r="D57" s="449"/>
      <c r="E57" s="1593"/>
      <c r="F57" s="1594"/>
      <c r="I57" s="145"/>
    </row>
    <row r="58" spans="1:13">
      <c r="A58" s="1149">
        <f>NTA!F118</f>
        <v>42</v>
      </c>
      <c r="B58" s="1149" t="str">
        <f>NTA!C118</f>
        <v>Other Income</v>
      </c>
      <c r="C58" s="210"/>
      <c r="E58" s="366"/>
      <c r="F58" s="1191" t="str">
        <f>+'Master Sheet'!$C$65</f>
        <v>(Amount in INR)</v>
      </c>
      <c r="G58" s="117"/>
      <c r="H58" s="117"/>
      <c r="I58" s="117"/>
    </row>
    <row r="59" spans="1:13" ht="27" customHeight="1">
      <c r="A59" s="1264"/>
      <c r="B59" s="1313" t="s">
        <v>500</v>
      </c>
      <c r="C59" s="1313"/>
      <c r="D59" s="1313"/>
      <c r="E59" s="367" t="e">
        <f ca="1">PL_CY</f>
        <v>#NAME?</v>
      </c>
      <c r="F59" s="1192" t="e">
        <f ca="1">PL_PY</f>
        <v>#NAME?</v>
      </c>
      <c r="G59" s="32"/>
      <c r="H59" s="32"/>
      <c r="I59" s="32"/>
    </row>
    <row r="60" spans="1:13" ht="15" customHeight="1">
      <c r="A60" s="210"/>
      <c r="B60" s="68" t="s">
        <v>1753</v>
      </c>
      <c r="C60" s="56"/>
      <c r="D60" s="58"/>
      <c r="E60" s="467"/>
      <c r="F60" s="169"/>
      <c r="L60" s="24" t="s">
        <v>1754</v>
      </c>
      <c r="M60" s="24" t="s">
        <v>50</v>
      </c>
    </row>
    <row r="61" spans="1:13" ht="15" customHeight="1">
      <c r="A61" s="210"/>
      <c r="B61" s="223" t="s">
        <v>1755</v>
      </c>
      <c r="C61" s="56"/>
      <c r="D61" s="574"/>
      <c r="E61" s="61">
        <f t="shared" ref="E61:F72" ca="1" si="8">IFERROR(INDEX(INDIRECT(VLOOKUP($M61,Source_Master,2,0),),MATCH(TEXT($L61,0),INDIRECT(VLOOKUP($M61,Source_Master,4,0)),0),MATCH(E$1,INDIRECT(VLOOKUP($M61,Source_Master,3,0),),0)),0)</f>
        <v>0</v>
      </c>
      <c r="F61" s="62">
        <f t="shared" ca="1" si="8"/>
        <v>0</v>
      </c>
      <c r="J61" s="2" t="str">
        <f t="shared" ref="J61:J73" ca="1" si="9">IF(AND(E61=0,F61=0),"##H","")</f>
        <v>##H</v>
      </c>
      <c r="L61" s="24" t="s">
        <v>1756</v>
      </c>
      <c r="M61" s="24" t="s">
        <v>50</v>
      </c>
    </row>
    <row r="62" spans="1:13" ht="15" customHeight="1">
      <c r="A62" s="210"/>
      <c r="B62" s="223" t="s">
        <v>1757</v>
      </c>
      <c r="C62" s="56"/>
      <c r="D62" s="223"/>
      <c r="E62" s="61">
        <f t="shared" ca="1" si="8"/>
        <v>0</v>
      </c>
      <c r="F62" s="62">
        <f t="shared" ca="1" si="8"/>
        <v>0</v>
      </c>
      <c r="J62" s="2" t="str">
        <f t="shared" ca="1" si="9"/>
        <v>##H</v>
      </c>
      <c r="L62" s="24" t="s">
        <v>1758</v>
      </c>
      <c r="M62" s="24" t="s">
        <v>50</v>
      </c>
    </row>
    <row r="63" spans="1:13" ht="15" hidden="1" customHeight="1">
      <c r="A63" s="210"/>
      <c r="B63" s="223" t="s">
        <v>1759</v>
      </c>
      <c r="C63" s="56"/>
      <c r="D63" s="575"/>
      <c r="E63" s="61">
        <f t="shared" ca="1" si="8"/>
        <v>0</v>
      </c>
      <c r="F63" s="62">
        <f t="shared" ca="1" si="8"/>
        <v>0</v>
      </c>
      <c r="J63" s="2" t="str">
        <f t="shared" ca="1" si="9"/>
        <v>##H</v>
      </c>
      <c r="L63" s="24" t="s">
        <v>1760</v>
      </c>
      <c r="M63" s="24" t="s">
        <v>50</v>
      </c>
    </row>
    <row r="64" spans="1:13" ht="15" customHeight="1">
      <c r="A64" s="1264"/>
      <c r="B64" s="223" t="s">
        <v>1761</v>
      </c>
      <c r="C64" s="264"/>
      <c r="D64" s="223"/>
      <c r="E64" s="61">
        <f t="shared" ca="1" si="8"/>
        <v>0</v>
      </c>
      <c r="F64" s="62">
        <f t="shared" ca="1" si="8"/>
        <v>0</v>
      </c>
      <c r="I64" s="145"/>
      <c r="J64" s="2" t="str">
        <f t="shared" ca="1" si="9"/>
        <v>##H</v>
      </c>
      <c r="L64" s="24" t="s">
        <v>1762</v>
      </c>
      <c r="M64" s="24" t="s">
        <v>50</v>
      </c>
    </row>
    <row r="65" spans="1:20">
      <c r="A65" s="1264"/>
      <c r="B65" s="68" t="s">
        <v>1763</v>
      </c>
      <c r="C65" s="264"/>
      <c r="D65" s="369"/>
      <c r="E65" s="61">
        <f t="shared" ca="1" si="8"/>
        <v>0</v>
      </c>
      <c r="F65" s="62">
        <f t="shared" ca="1" si="8"/>
        <v>0</v>
      </c>
      <c r="J65" s="2" t="str">
        <f t="shared" ca="1" si="9"/>
        <v>##H</v>
      </c>
      <c r="L65" s="24" t="s">
        <v>1764</v>
      </c>
      <c r="M65" s="24" t="s">
        <v>50</v>
      </c>
    </row>
    <row r="66" spans="1:20" ht="15" customHeight="1">
      <c r="A66" s="1264"/>
      <c r="B66" s="68" t="s">
        <v>1765</v>
      </c>
      <c r="C66" s="264"/>
      <c r="D66" s="68"/>
      <c r="E66" s="61">
        <f t="shared" ca="1" si="8"/>
        <v>0</v>
      </c>
      <c r="F66" s="62">
        <f t="shared" ca="1" si="8"/>
        <v>0</v>
      </c>
      <c r="J66" s="2" t="str">
        <f t="shared" ca="1" si="9"/>
        <v>##H</v>
      </c>
      <c r="L66" s="24" t="s">
        <v>1766</v>
      </c>
      <c r="M66" s="24" t="s">
        <v>50</v>
      </c>
    </row>
    <row r="67" spans="1:20" ht="15" customHeight="1">
      <c r="A67" s="1264"/>
      <c r="B67" s="68" t="s">
        <v>1767</v>
      </c>
      <c r="C67" s="264"/>
      <c r="D67" s="68"/>
      <c r="E67" s="61">
        <f t="shared" ca="1" si="8"/>
        <v>0</v>
      </c>
      <c r="F67" s="62">
        <f t="shared" ca="1" si="8"/>
        <v>0</v>
      </c>
      <c r="J67" s="2" t="str">
        <f t="shared" ca="1" si="9"/>
        <v>##H</v>
      </c>
      <c r="L67" s="24" t="s">
        <v>1768</v>
      </c>
      <c r="M67" s="24" t="s">
        <v>50</v>
      </c>
    </row>
    <row r="68" spans="1:20" ht="15" hidden="1" customHeight="1">
      <c r="A68" s="1264"/>
      <c r="B68" s="68" t="s">
        <v>1769</v>
      </c>
      <c r="C68" s="264"/>
      <c r="D68" s="58"/>
      <c r="E68" s="61">
        <f t="shared" ca="1" si="8"/>
        <v>0</v>
      </c>
      <c r="F68" s="62">
        <f t="shared" ca="1" si="8"/>
        <v>0</v>
      </c>
      <c r="J68" s="2" t="str">
        <f t="shared" ca="1" si="9"/>
        <v>##H</v>
      </c>
      <c r="L68" s="24" t="s">
        <v>1770</v>
      </c>
      <c r="M68" s="24" t="s">
        <v>50</v>
      </c>
    </row>
    <row r="69" spans="1:20" ht="15" customHeight="1">
      <c r="A69" s="1264"/>
      <c r="B69" s="68" t="s">
        <v>1771</v>
      </c>
      <c r="C69" s="264"/>
      <c r="D69" s="58"/>
      <c r="E69" s="61">
        <f t="shared" ca="1" si="8"/>
        <v>0</v>
      </c>
      <c r="F69" s="62">
        <f t="shared" ca="1" si="8"/>
        <v>0</v>
      </c>
      <c r="J69" s="2" t="str">
        <f t="shared" ca="1" si="9"/>
        <v>##H</v>
      </c>
      <c r="L69" s="24" t="s">
        <v>1772</v>
      </c>
      <c r="M69" s="24" t="s">
        <v>50</v>
      </c>
    </row>
    <row r="70" spans="1:20" ht="15" customHeight="1">
      <c r="A70" s="1264"/>
      <c r="B70" s="68" t="s">
        <v>1773</v>
      </c>
      <c r="C70" s="264"/>
      <c r="D70" s="58"/>
      <c r="E70" s="61">
        <f t="shared" ca="1" si="8"/>
        <v>0</v>
      </c>
      <c r="F70" s="62">
        <f t="shared" ca="1" si="8"/>
        <v>0</v>
      </c>
      <c r="J70" s="2" t="str">
        <f t="shared" ca="1" si="9"/>
        <v>##H</v>
      </c>
      <c r="L70" s="24" t="s">
        <v>1774</v>
      </c>
      <c r="M70" s="24" t="s">
        <v>50</v>
      </c>
    </row>
    <row r="71" spans="1:20" ht="15" customHeight="1">
      <c r="A71" s="210"/>
      <c r="B71" s="68" t="s">
        <v>621</v>
      </c>
      <c r="C71" s="56"/>
      <c r="D71" s="58"/>
      <c r="E71" s="61">
        <f t="shared" ca="1" si="8"/>
        <v>0</v>
      </c>
      <c r="F71" s="62">
        <f t="shared" ca="1" si="8"/>
        <v>0</v>
      </c>
      <c r="J71" s="2" t="str">
        <f t="shared" ca="1" si="9"/>
        <v>##H</v>
      </c>
      <c r="L71" s="24" t="s">
        <v>1775</v>
      </c>
      <c r="M71" s="24" t="s">
        <v>50</v>
      </c>
    </row>
    <row r="72" spans="1:20" ht="15" customHeight="1">
      <c r="A72" s="1264"/>
      <c r="B72" s="68" t="s">
        <v>1776</v>
      </c>
      <c r="C72" s="264"/>
      <c r="D72" s="58"/>
      <c r="E72" s="61">
        <f t="shared" ca="1" si="8"/>
        <v>0</v>
      </c>
      <c r="F72" s="62">
        <f t="shared" ca="1" si="8"/>
        <v>0</v>
      </c>
      <c r="J72" s="2" t="str">
        <f t="shared" ca="1" si="9"/>
        <v>##H</v>
      </c>
      <c r="L72" s="24" t="s">
        <v>1777</v>
      </c>
      <c r="M72" s="24" t="s">
        <v>50</v>
      </c>
    </row>
    <row r="73" spans="1:20" ht="15" customHeight="1">
      <c r="A73" s="210"/>
      <c r="B73" s="364" t="s">
        <v>246</v>
      </c>
      <c r="C73" s="364"/>
      <c r="D73" s="216"/>
      <c r="E73" s="69">
        <f ca="1">SUM(E61:E72)</f>
        <v>0</v>
      </c>
      <c r="F73" s="70">
        <f ca="1">SUM(F61:F72)</f>
        <v>0</v>
      </c>
      <c r="I73" s="368"/>
      <c r="J73" s="2" t="str">
        <f t="shared" ca="1" si="9"/>
        <v>##H</v>
      </c>
      <c r="L73" s="24" t="s">
        <v>555</v>
      </c>
      <c r="M73" s="24" t="s">
        <v>50</v>
      </c>
    </row>
    <row r="75" spans="1:20" s="15" customFormat="1" ht="15" customHeight="1">
      <c r="A75" s="1149">
        <f>NTA!F121</f>
        <v>43</v>
      </c>
      <c r="B75" s="1149" t="str">
        <f>NTA!C121</f>
        <v>Cost Of Materials Consumed</v>
      </c>
      <c r="C75" s="210"/>
      <c r="D75" s="20"/>
      <c r="E75" s="32"/>
      <c r="F75" s="1195" t="str">
        <f>+'Master Sheet'!$C$65</f>
        <v>(Amount in INR)</v>
      </c>
      <c r="G75" s="370"/>
      <c r="H75" s="370"/>
      <c r="I75" s="370"/>
      <c r="J75" s="370"/>
      <c r="K75" s="370"/>
      <c r="L75" s="601"/>
      <c r="M75" s="271"/>
      <c r="N75" s="39"/>
      <c r="O75" s="39"/>
      <c r="Q75" s="2"/>
      <c r="R75" s="2"/>
      <c r="S75" s="2"/>
      <c r="T75" s="2"/>
    </row>
    <row r="76" spans="1:20" s="15" customFormat="1">
      <c r="B76" s="1313" t="s">
        <v>500</v>
      </c>
      <c r="C76" s="1313"/>
      <c r="D76" s="1313"/>
      <c r="E76" s="1196" t="e">
        <f ca="1">PL_CY</f>
        <v>#NAME?</v>
      </c>
      <c r="F76" s="1192" t="e">
        <f ca="1">PL_PY</f>
        <v>#NAME?</v>
      </c>
      <c r="G76" s="32"/>
      <c r="H76" s="32"/>
      <c r="I76" s="32"/>
      <c r="J76" s="32"/>
      <c r="K76" s="32"/>
      <c r="L76" s="29"/>
      <c r="M76" s="271"/>
      <c r="N76" s="39"/>
      <c r="O76" s="39"/>
      <c r="Q76" s="2"/>
      <c r="R76" s="2"/>
      <c r="S76" s="2"/>
      <c r="T76" s="2"/>
    </row>
    <row r="77" spans="1:20" s="15" customFormat="1" ht="15" customHeight="1">
      <c r="A77" s="292"/>
      <c r="B77" s="312" t="s">
        <v>1268</v>
      </c>
      <c r="C77" s="371"/>
      <c r="D77" s="33"/>
      <c r="E77" s="118"/>
      <c r="F77" s="413"/>
      <c r="G77" s="100"/>
      <c r="H77" s="100"/>
      <c r="I77" s="100"/>
      <c r="J77" s="100"/>
      <c r="K77" s="100"/>
      <c r="L77" s="31"/>
      <c r="M77" s="271"/>
      <c r="N77" s="39"/>
      <c r="O77" s="39"/>
      <c r="Q77" s="2"/>
      <c r="R77" s="2"/>
      <c r="S77" s="2"/>
      <c r="T77" s="2"/>
    </row>
    <row r="78" spans="1:20" s="15" customFormat="1" ht="15" hidden="1" customHeight="1">
      <c r="A78" s="292"/>
      <c r="B78" s="371"/>
      <c r="C78" s="372" t="s">
        <v>1778</v>
      </c>
      <c r="D78" s="223"/>
      <c r="E78" s="61">
        <f ca="1">IFERROR(INDEX(INDIRECT(VLOOKUP($N78,Source_Master,2,0),),MATCH(TEXT($M78,0),INDIRECT(VLOOKUP($N78,Source_Master,4,0)),0),MATCH(E$1,INDIRECT(VLOOKUP($N78,Source_Master,3,0),),0)),0)</f>
        <v>0</v>
      </c>
      <c r="F78" s="62">
        <f ca="1">IFERROR(INDEX(INDIRECT(VLOOKUP($O78,Source_Master,2,0),),MATCH(TEXT($M78,0),INDIRECT(VLOOKUP($O78,Source_Master,4,0)),0),MATCH(F$1,INDIRECT(VLOOKUP($O78,Source_Master,3,0),),0)),0)</f>
        <v>0</v>
      </c>
      <c r="G78" s="1574"/>
      <c r="H78" s="1574"/>
      <c r="I78" s="1574"/>
      <c r="J78" s="2" t="str">
        <f t="shared" ref="J78:J81" ca="1" si="10">IF(AND(E78=0,F78=0),"##H","")</f>
        <v>##H</v>
      </c>
      <c r="L78" s="271"/>
      <c r="M78" s="271"/>
      <c r="N78" s="39"/>
      <c r="O78" s="39"/>
      <c r="Q78" s="2"/>
      <c r="R78" s="2"/>
      <c r="S78" s="2"/>
      <c r="T78" s="2"/>
    </row>
    <row r="79" spans="1:20" s="15" customFormat="1" ht="15" customHeight="1">
      <c r="A79" s="292"/>
      <c r="B79" s="371"/>
      <c r="C79" s="372" t="s">
        <v>1779</v>
      </c>
      <c r="D79" s="223"/>
      <c r="E79" s="926">
        <f ca="1">+E81+E80-E78</f>
        <v>0</v>
      </c>
      <c r="F79" s="62">
        <f ca="1">+F81+F80-F78</f>
        <v>0</v>
      </c>
      <c r="G79" s="1540"/>
      <c r="H79" s="1540"/>
      <c r="I79" s="1540"/>
      <c r="J79" s="2" t="str">
        <f t="shared" ca="1" si="10"/>
        <v>##H</v>
      </c>
      <c r="L79" s="271"/>
      <c r="M79" s="271"/>
      <c r="N79" s="39"/>
      <c r="O79" s="39"/>
      <c r="Q79" s="2"/>
      <c r="R79" s="2"/>
      <c r="S79" s="2"/>
      <c r="T79" s="2"/>
    </row>
    <row r="80" spans="1:20" s="15" customFormat="1" ht="15" hidden="1" customHeight="1">
      <c r="A80" s="292"/>
      <c r="B80" s="371"/>
      <c r="C80" s="372" t="s">
        <v>1780</v>
      </c>
      <c r="D80" s="223"/>
      <c r="E80" s="926">
        <f ca="1">IFERROR(INDEX(INDIRECT(VLOOKUP(#REF!,Source_Master,2,0),),MATCH(TEXT(#REF!,0),INDIRECT(VLOOKUP(#REF!,Source_Master,4,0)),0),MATCH(E$1,INDIRECT(VLOOKUP(#REF!,Source_Master,3,0),),0)),0)</f>
        <v>0</v>
      </c>
      <c r="F80" s="62">
        <f ca="1">IFERROR(INDEX(INDIRECT(VLOOKUP(#REF!,Source_Master,2,0),),MATCH(TEXT(#REF!,0),INDIRECT(VLOOKUP(#REF!,Source_Master,4,0)),0),MATCH(F$1,INDIRECT(VLOOKUP(#REF!,Source_Master,3,0),),0)),0)</f>
        <v>0</v>
      </c>
      <c r="G80" s="1540"/>
      <c r="H80" s="1540"/>
      <c r="I80" s="1540"/>
      <c r="J80" s="2" t="str">
        <f t="shared" ca="1" si="10"/>
        <v>##H</v>
      </c>
      <c r="L80" s="271"/>
      <c r="M80" s="271"/>
      <c r="N80" s="39"/>
      <c r="O80" s="39"/>
      <c r="Q80" s="2"/>
      <c r="R80" s="2"/>
      <c r="S80" s="2"/>
      <c r="T80" s="2"/>
    </row>
    <row r="81" spans="1:20" s="15" customFormat="1" ht="15" customHeight="1">
      <c r="A81" s="1259"/>
      <c r="B81" s="1257" t="s">
        <v>1781</v>
      </c>
      <c r="C81" s="374"/>
      <c r="D81" s="216" t="s">
        <v>1782</v>
      </c>
      <c r="E81" s="69">
        <f ca="1">IFERROR(INDEX(INDIRECT(VLOOKUP($M81,Source_Master,2,0),),MATCH(TEXT($L81,0),INDIRECT(VLOOKUP($M81,Source_Master,4,0)),0),MATCH(E$1,INDIRECT(VLOOKUP($M81,Source_Master,3,0),),0)),0)</f>
        <v>0</v>
      </c>
      <c r="F81" s="69">
        <f ca="1">IFERROR(INDEX(INDIRECT(VLOOKUP($M81,Source_Master,2,0),),MATCH(TEXT($L81,0),INDIRECT(VLOOKUP($M81,Source_Master,4,0)),0),MATCH(F$1,INDIRECT(VLOOKUP($M81,Source_Master,3,0),),0)),0)</f>
        <v>0</v>
      </c>
      <c r="G81" s="1574"/>
      <c r="H81" s="1574"/>
      <c r="I81" s="1574"/>
      <c r="J81" s="2" t="str">
        <f t="shared" ca="1" si="10"/>
        <v>##H</v>
      </c>
      <c r="L81" s="24" t="s">
        <v>558</v>
      </c>
      <c r="M81" s="24" t="s">
        <v>50</v>
      </c>
      <c r="N81" s="39"/>
      <c r="O81" s="39"/>
      <c r="P81" s="368"/>
      <c r="Q81" s="2"/>
      <c r="R81" s="2"/>
      <c r="S81" s="2"/>
      <c r="T81" s="2"/>
    </row>
    <row r="82" spans="1:20" s="15" customFormat="1">
      <c r="A82" s="1259"/>
      <c r="B82" s="375"/>
      <c r="C82" s="375"/>
      <c r="E82" s="376"/>
      <c r="F82" s="376"/>
      <c r="G82" s="376"/>
      <c r="H82" s="376"/>
      <c r="I82" s="376"/>
      <c r="L82" s="271"/>
      <c r="M82" s="271"/>
      <c r="N82" s="39"/>
      <c r="O82" s="39"/>
      <c r="P82" s="2"/>
      <c r="Q82" s="2"/>
      <c r="R82" s="2"/>
      <c r="S82" s="2"/>
      <c r="T82" s="2"/>
    </row>
    <row r="83" spans="1:20" s="15" customFormat="1">
      <c r="A83" s="1123">
        <f>NTA!F122</f>
        <v>44</v>
      </c>
      <c r="B83" s="1123" t="str">
        <f>NTA!C122</f>
        <v>Purchases of stock-in-trade</v>
      </c>
      <c r="C83" s="292"/>
      <c r="E83" s="376"/>
      <c r="F83" s="1195" t="str">
        <f>+'Master Sheet'!$C$65</f>
        <v>(Amount in INR)</v>
      </c>
      <c r="G83" s="376"/>
      <c r="H83" s="376"/>
      <c r="I83" s="376"/>
      <c r="L83" s="271"/>
      <c r="M83" s="271"/>
      <c r="N83" s="39"/>
      <c r="O83" s="39"/>
      <c r="P83" s="2"/>
      <c r="Q83" s="2"/>
      <c r="R83" s="2"/>
      <c r="S83" s="2"/>
      <c r="T83" s="2"/>
    </row>
    <row r="84" spans="1:20" s="15" customFormat="1">
      <c r="B84" s="1313" t="s">
        <v>500</v>
      </c>
      <c r="C84" s="1313"/>
      <c r="D84" s="1313"/>
      <c r="E84" s="1196" t="e">
        <f ca="1">PL_CY</f>
        <v>#NAME?</v>
      </c>
      <c r="F84" s="1192" t="e">
        <f ca="1">PL_PY</f>
        <v>#NAME?</v>
      </c>
      <c r="G84" s="376"/>
      <c r="H84" s="376"/>
      <c r="I84" s="376"/>
      <c r="L84" s="271"/>
      <c r="M84" s="271"/>
      <c r="N84" s="39"/>
      <c r="O84" s="39"/>
      <c r="P84" s="2"/>
      <c r="Q84" s="2"/>
      <c r="R84" s="2"/>
      <c r="S84" s="2"/>
      <c r="T84" s="2"/>
    </row>
    <row r="85" spans="1:20" s="15" customFormat="1" ht="15" customHeight="1">
      <c r="A85" s="292"/>
      <c r="B85" s="372" t="s">
        <v>1260</v>
      </c>
      <c r="C85" s="371"/>
      <c r="D85" s="58"/>
      <c r="E85" s="571">
        <f ca="1">E110-E94+E101</f>
        <v>0</v>
      </c>
      <c r="F85" s="572">
        <f ca="1">F110-F94+F101</f>
        <v>0</v>
      </c>
      <c r="G85" s="376"/>
      <c r="H85" s="376"/>
      <c r="I85" s="376"/>
      <c r="J85" s="2" t="str">
        <f t="shared" ref="J85:J89" ca="1" si="11">IF(AND(E85=0,F85=0),"##H","")</f>
        <v>##H</v>
      </c>
      <c r="L85" s="271"/>
      <c r="M85" s="271"/>
      <c r="N85" s="39"/>
      <c r="O85" s="39"/>
      <c r="P85" s="2"/>
      <c r="Q85" s="2"/>
      <c r="R85" s="2"/>
      <c r="S85" s="2"/>
      <c r="T85" s="2"/>
    </row>
    <row r="86" spans="1:20" s="15" customFormat="1" ht="15" customHeight="1">
      <c r="A86" s="292"/>
      <c r="B86" s="372" t="s">
        <v>1262</v>
      </c>
      <c r="C86" s="371"/>
      <c r="D86" s="58"/>
      <c r="E86" s="377">
        <f t="shared" ref="E86:F88" ca="1" si="12">E112-E95+E102</f>
        <v>0</v>
      </c>
      <c r="F86" s="378">
        <f t="shared" ca="1" si="12"/>
        <v>0</v>
      </c>
      <c r="G86" s="376"/>
      <c r="H86" s="376"/>
      <c r="I86" s="376"/>
      <c r="J86" s="2" t="str">
        <f t="shared" ca="1" si="11"/>
        <v>##H</v>
      </c>
      <c r="L86" s="271"/>
      <c r="M86" s="271"/>
      <c r="N86" s="39"/>
      <c r="O86" s="39"/>
      <c r="P86" s="2"/>
      <c r="Q86" s="2"/>
      <c r="R86" s="2"/>
      <c r="S86" s="2"/>
      <c r="T86" s="2"/>
    </row>
    <row r="87" spans="1:20" s="15" customFormat="1" ht="15" customHeight="1">
      <c r="A87" s="292"/>
      <c r="B87" s="372" t="s">
        <v>1264</v>
      </c>
      <c r="C87" s="371"/>
      <c r="D87" s="58"/>
      <c r="E87" s="130">
        <f t="shared" ca="1" si="12"/>
        <v>0</v>
      </c>
      <c r="F87" s="158">
        <f t="shared" ca="1" si="12"/>
        <v>0</v>
      </c>
      <c r="G87" s="376"/>
      <c r="H87" s="376"/>
      <c r="I87" s="376"/>
      <c r="J87" s="2" t="str">
        <f t="shared" ca="1" si="11"/>
        <v>##H</v>
      </c>
      <c r="L87" s="271"/>
      <c r="M87" s="271"/>
      <c r="N87" s="39"/>
      <c r="O87" s="39"/>
      <c r="P87" s="2"/>
      <c r="Q87" s="2"/>
      <c r="R87" s="2"/>
      <c r="S87" s="2"/>
      <c r="T87" s="2"/>
    </row>
    <row r="88" spans="1:20" s="15" customFormat="1" ht="15" customHeight="1">
      <c r="A88" s="292"/>
      <c r="B88" s="372" t="s">
        <v>1270</v>
      </c>
      <c r="C88" s="371"/>
      <c r="D88" s="58"/>
      <c r="E88" s="1542">
        <f t="shared" ca="1" si="12"/>
        <v>0</v>
      </c>
      <c r="F88" s="1543">
        <f t="shared" ca="1" si="12"/>
        <v>0</v>
      </c>
      <c r="G88" s="376"/>
      <c r="H88" s="376"/>
      <c r="I88" s="376"/>
      <c r="J88" s="2" t="str">
        <f t="shared" ca="1" si="11"/>
        <v>##H</v>
      </c>
      <c r="L88" s="271"/>
      <c r="M88" s="271"/>
      <c r="N88" s="39"/>
      <c r="O88" s="39"/>
      <c r="P88" s="2"/>
      <c r="Q88" s="2"/>
      <c r="R88" s="2"/>
      <c r="S88" s="2"/>
      <c r="T88" s="2"/>
    </row>
    <row r="89" spans="1:20" s="15" customFormat="1" ht="15" customHeight="1">
      <c r="A89" s="1259"/>
      <c r="B89" s="1257" t="s">
        <v>246</v>
      </c>
      <c r="C89" s="374"/>
      <c r="D89" s="216"/>
      <c r="E89" s="382">
        <f ca="1">SUM(E85:E88)</f>
        <v>0</v>
      </c>
      <c r="F89" s="382">
        <f ca="1">SUM(F85:F88)</f>
        <v>0</v>
      </c>
      <c r="G89" s="376"/>
      <c r="H89" s="376"/>
      <c r="I89" s="376"/>
      <c r="J89" s="2" t="str">
        <f t="shared" ca="1" si="11"/>
        <v>##H</v>
      </c>
      <c r="L89" s="271"/>
      <c r="M89" s="271"/>
      <c r="N89" s="39"/>
      <c r="O89" s="39"/>
      <c r="P89" s="2"/>
      <c r="Q89" s="2"/>
      <c r="R89" s="2"/>
      <c r="S89" s="2"/>
      <c r="T89" s="2"/>
    </row>
    <row r="90" spans="1:20" s="15" customFormat="1">
      <c r="A90" s="1259"/>
      <c r="B90" s="375"/>
      <c r="C90" s="375"/>
      <c r="E90" s="376"/>
      <c r="F90" s="376"/>
      <c r="G90" s="376"/>
      <c r="H90" s="376"/>
      <c r="I90" s="376"/>
      <c r="L90" s="271"/>
      <c r="M90" s="271"/>
      <c r="N90" s="39"/>
      <c r="O90" s="39"/>
      <c r="P90" s="2"/>
      <c r="Q90" s="2"/>
      <c r="R90" s="2"/>
      <c r="S90" s="2"/>
      <c r="T90" s="2"/>
    </row>
    <row r="91" spans="1:20" s="15" customFormat="1">
      <c r="A91" s="1123">
        <f>NTA!F123</f>
        <v>45</v>
      </c>
      <c r="B91" s="1123" t="str">
        <f>NTA!C123</f>
        <v>Changes In Inventories Of Finished Goods,Stock-In-Trade And Work-In-Progress</v>
      </c>
      <c r="C91" s="292"/>
      <c r="E91" s="376"/>
      <c r="F91" s="379" t="s">
        <v>1432</v>
      </c>
      <c r="G91" s="376"/>
      <c r="H91" s="376"/>
      <c r="I91" s="376"/>
      <c r="L91" s="271"/>
      <c r="M91" s="271"/>
      <c r="N91" s="39"/>
      <c r="O91" s="39"/>
      <c r="P91" s="2"/>
      <c r="Q91" s="2"/>
      <c r="R91" s="2"/>
      <c r="S91" s="2"/>
      <c r="T91" s="2"/>
    </row>
    <row r="92" spans="1:20" s="15" customFormat="1">
      <c r="B92" s="1313" t="s">
        <v>500</v>
      </c>
      <c r="C92" s="1313"/>
      <c r="D92" s="1313"/>
      <c r="E92" s="1196" t="e">
        <f ca="1">PL_CY</f>
        <v>#NAME?</v>
      </c>
      <c r="F92" s="1192" t="e">
        <f ca="1">PL_PY</f>
        <v>#NAME?</v>
      </c>
      <c r="G92" s="376"/>
      <c r="H92" s="376"/>
      <c r="I92" s="376"/>
      <c r="L92" s="271"/>
      <c r="M92" s="271"/>
      <c r="N92" s="39"/>
      <c r="O92" s="39"/>
      <c r="P92" s="2"/>
      <c r="Q92" s="2"/>
      <c r="R92" s="2"/>
      <c r="S92" s="2"/>
      <c r="T92" s="2"/>
    </row>
    <row r="93" spans="1:20" s="15" customFormat="1">
      <c r="A93" s="292"/>
      <c r="B93" s="312" t="s">
        <v>1783</v>
      </c>
      <c r="C93" s="312"/>
      <c r="D93" s="197"/>
      <c r="E93" s="120"/>
      <c r="F93" s="171"/>
      <c r="G93" s="376"/>
      <c r="H93" s="376"/>
      <c r="I93" s="376"/>
      <c r="L93" s="271"/>
      <c r="M93" s="271"/>
      <c r="N93" s="39"/>
      <c r="O93" s="39"/>
      <c r="P93" s="2"/>
      <c r="Q93" s="2"/>
      <c r="R93" s="2"/>
      <c r="S93" s="2"/>
      <c r="T93" s="2"/>
    </row>
    <row r="94" spans="1:20" s="15" customFormat="1">
      <c r="A94" s="292"/>
      <c r="B94" s="371"/>
      <c r="C94" s="372" t="s">
        <v>1260</v>
      </c>
      <c r="D94" s="197"/>
      <c r="E94" s="640">
        <f ca="1">F101</f>
        <v>0</v>
      </c>
      <c r="F94" s="850">
        <f ca="1">IFERROR(INDEX(INDIRECT(VLOOKUP($M94,Source_Master,2,0),),MATCH(TEXT($L94,0),INDIRECT(VLOOKUP($M94,Source_Master,4,0)),0),MATCH(G$1,INDIRECT(VLOOKUP($M94,Source_Master,3,0),),0)),0)</f>
        <v>0</v>
      </c>
      <c r="G94" s="376"/>
      <c r="H94" s="376"/>
      <c r="I94" s="376"/>
      <c r="J94" s="2" t="str">
        <f t="shared" ref="J94:J98" ca="1" si="13">IF(AND(E94=0,F94=0),"##H","")</f>
        <v>##H</v>
      </c>
      <c r="L94" s="271" t="s">
        <v>1261</v>
      </c>
      <c r="M94" s="24" t="s">
        <v>50</v>
      </c>
      <c r="N94" s="39"/>
      <c r="O94" s="39"/>
      <c r="P94" s="2"/>
      <c r="Q94" s="2"/>
      <c r="R94" s="2"/>
      <c r="S94" s="2"/>
      <c r="T94" s="2"/>
    </row>
    <row r="95" spans="1:20" s="15" customFormat="1">
      <c r="A95" s="292"/>
      <c r="B95" s="371"/>
      <c r="C95" s="372" t="s">
        <v>1262</v>
      </c>
      <c r="D95" s="68"/>
      <c r="E95" s="640">
        <f t="shared" ref="E95:E97" ca="1" si="14">F102</f>
        <v>0</v>
      </c>
      <c r="F95" s="850">
        <f ca="1">IFERROR(INDEX(INDIRECT(VLOOKUP($M95,Source_Master,2,0),),MATCH(TEXT($L95,0),INDIRECT(VLOOKUP($M95,Source_Master,4,0)),0),MATCH(G$1,INDIRECT(VLOOKUP($M95,Source_Master,3,0),),0)),0)</f>
        <v>0</v>
      </c>
      <c r="G95" s="376"/>
      <c r="H95" s="376"/>
      <c r="I95" s="376"/>
      <c r="J95" s="2" t="str">
        <f t="shared" ca="1" si="13"/>
        <v>##H</v>
      </c>
      <c r="L95" s="271" t="s">
        <v>1263</v>
      </c>
      <c r="M95" s="24" t="s">
        <v>50</v>
      </c>
      <c r="N95" s="39"/>
      <c r="O95" s="39"/>
      <c r="P95" s="2"/>
      <c r="Q95" s="2"/>
      <c r="R95" s="2"/>
      <c r="S95" s="2"/>
      <c r="T95" s="2"/>
    </row>
    <row r="96" spans="1:20" s="15" customFormat="1">
      <c r="A96" s="292"/>
      <c r="B96" s="371"/>
      <c r="C96" s="372" t="s">
        <v>1264</v>
      </c>
      <c r="D96" s="245"/>
      <c r="E96" s="640">
        <f t="shared" ca="1" si="14"/>
        <v>0</v>
      </c>
      <c r="F96" s="850">
        <f ca="1">IFERROR(INDEX(INDIRECT(VLOOKUP($M96,Source_Master,2,0),),MATCH(TEXT($L96,0),INDIRECT(VLOOKUP($M96,Source_Master,4,0)),0),MATCH(G$1,INDIRECT(VLOOKUP($M96,Source_Master,3,0),),0)),0)</f>
        <v>0</v>
      </c>
      <c r="G96" s="376"/>
      <c r="H96" s="376"/>
      <c r="I96" s="376"/>
      <c r="J96" s="2" t="str">
        <f t="shared" ca="1" si="13"/>
        <v>##H</v>
      </c>
      <c r="L96" s="271" t="s">
        <v>1265</v>
      </c>
      <c r="M96" s="24" t="s">
        <v>50</v>
      </c>
      <c r="N96" s="39"/>
      <c r="O96" s="39"/>
      <c r="P96" s="2"/>
      <c r="Q96" s="2"/>
      <c r="R96" s="2"/>
      <c r="S96" s="2"/>
      <c r="T96" s="2"/>
    </row>
    <row r="97" spans="1:20" s="15" customFormat="1">
      <c r="A97" s="292"/>
      <c r="B97" s="371"/>
      <c r="C97" s="372" t="s">
        <v>1270</v>
      </c>
      <c r="D97" s="245"/>
      <c r="E97" s="640">
        <f t="shared" ca="1" si="14"/>
        <v>0</v>
      </c>
      <c r="F97" s="850">
        <f ca="1">IFERROR(INDEX(INDIRECT(VLOOKUP($M97,Source_Master,2,0),),MATCH(TEXT($L97,0),INDIRECT(VLOOKUP($M97,Source_Master,4,0)),0),MATCH(G$1,INDIRECT(VLOOKUP($M97,Source_Master,3,0),),0)),0)</f>
        <v>0</v>
      </c>
      <c r="G97" s="376"/>
      <c r="H97" s="376"/>
      <c r="I97" s="376"/>
      <c r="J97" s="2" t="str">
        <f t="shared" ca="1" si="13"/>
        <v>##H</v>
      </c>
      <c r="L97" s="271" t="s">
        <v>1271</v>
      </c>
      <c r="M97" s="24" t="s">
        <v>50</v>
      </c>
      <c r="N97" s="39"/>
      <c r="O97" s="39"/>
      <c r="P97" s="2"/>
      <c r="Q97" s="2"/>
      <c r="R97" s="2"/>
      <c r="S97" s="2"/>
      <c r="T97" s="2"/>
    </row>
    <row r="98" spans="1:20" s="15" customFormat="1">
      <c r="A98" s="1259"/>
      <c r="B98" s="372"/>
      <c r="C98" s="312"/>
      <c r="D98" s="68"/>
      <c r="E98" s="178">
        <f ca="1">SUM(E94:E97)</f>
        <v>0</v>
      </c>
      <c r="F98" s="884">
        <f ca="1">SUM(F94:F97)</f>
        <v>0</v>
      </c>
      <c r="G98" s="376"/>
      <c r="H98" s="376"/>
      <c r="I98" s="376"/>
      <c r="J98" s="2" t="str">
        <f t="shared" ca="1" si="13"/>
        <v>##H</v>
      </c>
      <c r="L98" s="271"/>
      <c r="M98" s="271"/>
      <c r="N98" s="39"/>
      <c r="O98" s="39"/>
      <c r="P98" s="2"/>
      <c r="Q98" s="2"/>
      <c r="R98" s="2"/>
      <c r="S98" s="2"/>
      <c r="T98" s="2"/>
    </row>
    <row r="99" spans="1:20" s="15" customFormat="1">
      <c r="A99" s="1259"/>
      <c r="B99" s="373"/>
      <c r="C99" s="373"/>
      <c r="D99" s="68"/>
      <c r="E99" s="74"/>
      <c r="F99" s="919"/>
      <c r="G99" s="376"/>
      <c r="H99" s="376"/>
      <c r="I99" s="376"/>
      <c r="L99" s="271"/>
      <c r="M99" s="271"/>
      <c r="N99" s="39"/>
      <c r="O99" s="39"/>
      <c r="P99" s="2"/>
      <c r="Q99" s="2"/>
      <c r="R99" s="2"/>
      <c r="S99" s="2"/>
      <c r="T99" s="2"/>
    </row>
    <row r="100" spans="1:20" s="15" customFormat="1">
      <c r="A100" s="1259"/>
      <c r="B100" s="312" t="s">
        <v>1784</v>
      </c>
      <c r="C100" s="312"/>
      <c r="D100" s="68"/>
      <c r="E100" s="74"/>
      <c r="F100" s="919"/>
      <c r="G100" s="376"/>
      <c r="H100" s="376"/>
      <c r="I100" s="376"/>
      <c r="L100" s="271"/>
      <c r="M100" s="271"/>
      <c r="N100" s="39"/>
      <c r="O100" s="39"/>
      <c r="P100" s="2"/>
      <c r="Q100" s="2"/>
      <c r="R100" s="2"/>
      <c r="S100" s="2"/>
      <c r="T100" s="2"/>
    </row>
    <row r="101" spans="1:20" s="15" customFormat="1">
      <c r="A101" s="1259"/>
      <c r="B101" s="373"/>
      <c r="C101" s="372" t="s">
        <v>1260</v>
      </c>
      <c r="D101" s="197"/>
      <c r="E101" s="640">
        <f ca="1">'NT BS1'!H140</f>
        <v>0</v>
      </c>
      <c r="F101" s="875">
        <f ca="1">'NT BS1'!J140</f>
        <v>0</v>
      </c>
      <c r="G101" s="376"/>
      <c r="H101" s="376"/>
      <c r="I101" s="376"/>
      <c r="J101" s="2" t="str">
        <f t="shared" ref="J101:J106" ca="1" si="15">IF(AND(E101=0,F101=0),"##H","")</f>
        <v>##H</v>
      </c>
      <c r="L101" s="271"/>
      <c r="M101" s="271"/>
      <c r="N101" s="39"/>
      <c r="O101" s="39"/>
      <c r="P101" s="2"/>
      <c r="Q101" s="2"/>
      <c r="R101" s="2"/>
      <c r="S101" s="2"/>
      <c r="T101" s="2"/>
    </row>
    <row r="102" spans="1:20" s="15" customFormat="1">
      <c r="A102" s="1259"/>
      <c r="B102" s="373"/>
      <c r="C102" s="372" t="s">
        <v>1262</v>
      </c>
      <c r="D102" s="68"/>
      <c r="E102" s="640">
        <f ca="1">'NT BS1'!H141</f>
        <v>0</v>
      </c>
      <c r="F102" s="875">
        <f ca="1">'NT BS1'!J141</f>
        <v>0</v>
      </c>
      <c r="G102" s="376"/>
      <c r="H102" s="376"/>
      <c r="I102" s="376"/>
      <c r="J102" s="2" t="str">
        <f t="shared" ca="1" si="15"/>
        <v>##H</v>
      </c>
      <c r="L102" s="271"/>
      <c r="M102" s="271"/>
      <c r="N102" s="39"/>
      <c r="O102" s="39"/>
      <c r="P102" s="2"/>
      <c r="Q102" s="2"/>
      <c r="R102" s="2"/>
      <c r="S102" s="2"/>
      <c r="T102" s="2"/>
    </row>
    <row r="103" spans="1:20" s="15" customFormat="1">
      <c r="A103" s="1259"/>
      <c r="B103" s="373"/>
      <c r="C103" s="372" t="s">
        <v>1264</v>
      </c>
      <c r="D103" s="245"/>
      <c r="E103" s="640">
        <f ca="1">'NT BS1'!H142</f>
        <v>0</v>
      </c>
      <c r="F103" s="875">
        <f ca="1">'NT BS1'!J142</f>
        <v>0</v>
      </c>
      <c r="G103" s="376"/>
      <c r="H103" s="376"/>
      <c r="I103" s="376"/>
      <c r="J103" s="2" t="str">
        <f t="shared" ca="1" si="15"/>
        <v>##H</v>
      </c>
      <c r="L103" s="271"/>
      <c r="M103" s="271"/>
      <c r="N103" s="39"/>
      <c r="O103" s="39"/>
      <c r="P103" s="2"/>
      <c r="Q103" s="2"/>
      <c r="R103" s="2"/>
      <c r="S103" s="2"/>
      <c r="T103" s="2"/>
    </row>
    <row r="104" spans="1:20" s="15" customFormat="1">
      <c r="A104" s="1259"/>
      <c r="B104" s="373"/>
      <c r="C104" s="372" t="s">
        <v>1270</v>
      </c>
      <c r="D104" s="68"/>
      <c r="E104" s="225">
        <f ca="1">'NT BS1'!H145</f>
        <v>0</v>
      </c>
      <c r="F104" s="875">
        <f ca="1">'NT BS1'!J145</f>
        <v>0</v>
      </c>
      <c r="G104" s="376"/>
      <c r="H104" s="376"/>
      <c r="I104" s="376"/>
      <c r="J104" s="2" t="str">
        <f t="shared" ca="1" si="15"/>
        <v>##H</v>
      </c>
      <c r="L104" s="271"/>
      <c r="M104" s="271"/>
      <c r="N104" s="39"/>
      <c r="O104" s="39"/>
      <c r="P104" s="2"/>
      <c r="Q104" s="2"/>
      <c r="R104" s="2"/>
      <c r="S104" s="2"/>
      <c r="T104" s="2"/>
    </row>
    <row r="105" spans="1:20" s="15" customFormat="1">
      <c r="A105" s="1259"/>
      <c r="B105" s="373"/>
      <c r="C105" s="312"/>
      <c r="D105" s="68"/>
      <c r="E105" s="178">
        <f ca="1">SUM(E101:E104)</f>
        <v>0</v>
      </c>
      <c r="F105" s="884">
        <f ca="1">SUM(F101:F104)</f>
        <v>0</v>
      </c>
      <c r="G105" s="376"/>
      <c r="H105" s="376"/>
      <c r="I105" s="376"/>
      <c r="J105" s="2" t="str">
        <f t="shared" ca="1" si="15"/>
        <v>##H</v>
      </c>
      <c r="L105" s="271"/>
      <c r="M105" s="271"/>
      <c r="N105" s="39"/>
      <c r="O105" s="39"/>
      <c r="P105" s="2"/>
      <c r="Q105" s="2"/>
      <c r="R105" s="2"/>
      <c r="S105" s="2"/>
      <c r="T105" s="2"/>
    </row>
    <row r="106" spans="1:20" s="15" customFormat="1">
      <c r="A106" s="210"/>
      <c r="B106" s="1250" t="s">
        <v>246</v>
      </c>
      <c r="C106" s="364"/>
      <c r="D106" s="573"/>
      <c r="E106" s="178">
        <f ca="1">E98-E105</f>
        <v>0</v>
      </c>
      <c r="F106" s="884">
        <f ca="1">F98-F105</f>
        <v>0</v>
      </c>
      <c r="G106" s="376"/>
      <c r="H106" s="376"/>
      <c r="I106" s="376"/>
      <c r="J106" s="2" t="str">
        <f t="shared" ca="1" si="15"/>
        <v>##H</v>
      </c>
      <c r="L106" s="271"/>
      <c r="M106" s="271"/>
      <c r="N106" s="39"/>
      <c r="O106" s="39"/>
      <c r="P106" s="2"/>
      <c r="Q106" s="2"/>
      <c r="R106" s="2"/>
      <c r="S106" s="2"/>
      <c r="T106" s="2"/>
    </row>
    <row r="107" spans="1:20" s="15" customFormat="1">
      <c r="A107" s="1259"/>
      <c r="B107" s="375"/>
      <c r="C107" s="375"/>
      <c r="E107" s="376"/>
      <c r="F107" s="376"/>
      <c r="G107" s="376"/>
      <c r="H107" s="376"/>
      <c r="I107" s="376"/>
      <c r="L107" s="271"/>
      <c r="M107" s="271"/>
      <c r="N107" s="39"/>
      <c r="O107" s="39"/>
      <c r="P107" s="2"/>
      <c r="Q107" s="2"/>
      <c r="R107" s="2"/>
      <c r="S107" s="2"/>
      <c r="T107" s="2"/>
    </row>
    <row r="108" spans="1:20" s="15" customFormat="1">
      <c r="A108" s="1149">
        <f>NTA!F124</f>
        <v>46</v>
      </c>
      <c r="B108" s="1064" t="str">
        <f>NTA!C124</f>
        <v>Cost of Goods Sold</v>
      </c>
      <c r="C108" s="21"/>
      <c r="D108" s="46"/>
      <c r="E108" s="32"/>
      <c r="F108" s="1195" t="str">
        <f>+'Master Sheet'!$C$65</f>
        <v>(Amount in INR)</v>
      </c>
      <c r="G108" s="376"/>
      <c r="H108" s="376"/>
      <c r="I108" s="376"/>
      <c r="L108" s="271"/>
      <c r="M108" s="271"/>
      <c r="N108" s="39"/>
      <c r="O108" s="39"/>
      <c r="P108" s="2"/>
      <c r="Q108" s="2"/>
      <c r="R108" s="2"/>
      <c r="S108" s="2"/>
      <c r="T108" s="2"/>
    </row>
    <row r="109" spans="1:20" s="15" customFormat="1">
      <c r="B109" s="1313" t="s">
        <v>500</v>
      </c>
      <c r="C109" s="1313"/>
      <c r="D109" s="1313"/>
      <c r="E109" s="1196" t="e">
        <f ca="1">PL_CY</f>
        <v>#NAME?</v>
      </c>
      <c r="F109" s="1192" t="e">
        <f ca="1">PL_PY</f>
        <v>#NAME?</v>
      </c>
      <c r="G109" s="20"/>
      <c r="H109" s="376"/>
      <c r="I109" s="376"/>
      <c r="L109" s="271"/>
      <c r="M109" s="271"/>
      <c r="N109" s="39"/>
      <c r="O109" s="39"/>
      <c r="P109" s="2"/>
      <c r="Q109" s="2"/>
      <c r="R109" s="2"/>
      <c r="S109" s="2"/>
      <c r="T109" s="2"/>
    </row>
    <row r="110" spans="1:20" s="15" customFormat="1" ht="15.75" customHeight="1">
      <c r="A110" s="1259"/>
      <c r="B110" s="197" t="s">
        <v>1260</v>
      </c>
      <c r="C110" s="58"/>
      <c r="D110" s="58"/>
      <c r="E110" s="130">
        <f t="shared" ref="E110:F116" ca="1" si="16">IFERROR(INDEX(INDIRECT(VLOOKUP($M110,Source_Master,2,0),),MATCH(TEXT($L110,0),INDIRECT(VLOOKUP($M110,Source_Master,4,0)),0),MATCH(E$1,INDIRECT(VLOOKUP($M110,Source_Master,3,0),),0)),0)</f>
        <v>0</v>
      </c>
      <c r="F110" s="158">
        <f t="shared" ca="1" si="16"/>
        <v>0</v>
      </c>
      <c r="G110" s="20"/>
      <c r="H110" s="376"/>
      <c r="I110" s="376"/>
      <c r="J110" s="2" t="str">
        <f t="shared" ref="J110:J117" ca="1" si="17">IF(AND(E110=0,F110=0),"##H","")</f>
        <v>##H</v>
      </c>
      <c r="L110" s="271" t="s">
        <v>1785</v>
      </c>
      <c r="M110" s="24" t="s">
        <v>50</v>
      </c>
      <c r="N110" s="39"/>
      <c r="O110" s="39"/>
      <c r="P110" s="2"/>
      <c r="Q110" s="2"/>
      <c r="R110" s="2"/>
      <c r="S110" s="2"/>
      <c r="T110" s="2"/>
    </row>
    <row r="111" spans="1:20" s="15" customFormat="1" ht="15.75" hidden="1" customHeight="1">
      <c r="A111" s="1259"/>
      <c r="B111" s="197" t="s">
        <v>1786</v>
      </c>
      <c r="C111" s="58"/>
      <c r="D111" s="58"/>
      <c r="E111" s="61">
        <f t="shared" ca="1" si="16"/>
        <v>0</v>
      </c>
      <c r="F111" s="62">
        <f t="shared" ca="1" si="16"/>
        <v>0</v>
      </c>
      <c r="G111" s="20"/>
      <c r="H111" s="376"/>
      <c r="I111" s="376"/>
      <c r="J111" s="2" t="str">
        <f t="shared" ca="1" si="17"/>
        <v>##H</v>
      </c>
      <c r="L111" s="271" t="s">
        <v>1787</v>
      </c>
      <c r="M111" s="24" t="s">
        <v>50</v>
      </c>
      <c r="N111" s="39"/>
      <c r="O111" s="39"/>
      <c r="P111" s="2"/>
      <c r="Q111" s="2"/>
      <c r="R111" s="2"/>
      <c r="S111" s="2"/>
      <c r="T111" s="2"/>
    </row>
    <row r="112" spans="1:20" s="15" customFormat="1" ht="15.75" customHeight="1">
      <c r="A112" s="1259"/>
      <c r="B112" s="197" t="s">
        <v>1788</v>
      </c>
      <c r="C112" s="58"/>
      <c r="D112" s="58"/>
      <c r="E112" s="61">
        <f t="shared" ca="1" si="16"/>
        <v>0</v>
      </c>
      <c r="F112" s="62">
        <f t="shared" ca="1" si="16"/>
        <v>0</v>
      </c>
      <c r="G112" s="20"/>
      <c r="H112" s="376"/>
      <c r="I112" s="376"/>
      <c r="J112" s="2" t="str">
        <f t="shared" ca="1" si="17"/>
        <v>##H</v>
      </c>
      <c r="L112" s="271" t="s">
        <v>1789</v>
      </c>
      <c r="M112" s="24" t="s">
        <v>50</v>
      </c>
      <c r="N112" s="39"/>
      <c r="O112" s="39"/>
      <c r="P112" s="2"/>
      <c r="Q112" s="2"/>
      <c r="R112" s="2"/>
      <c r="S112" s="2"/>
      <c r="T112" s="2"/>
    </row>
    <row r="113" spans="1:23" s="15" customFormat="1" ht="15.75" customHeight="1">
      <c r="A113" s="1259"/>
      <c r="B113" s="197" t="s">
        <v>1264</v>
      </c>
      <c r="C113" s="58"/>
      <c r="D113" s="58"/>
      <c r="E113" s="61">
        <f t="shared" ca="1" si="16"/>
        <v>0</v>
      </c>
      <c r="F113" s="62">
        <f t="shared" ca="1" si="16"/>
        <v>0</v>
      </c>
      <c r="G113" s="20"/>
      <c r="H113" s="376"/>
      <c r="I113" s="376"/>
      <c r="J113" s="2" t="str">
        <f t="shared" ca="1" si="17"/>
        <v>##H</v>
      </c>
      <c r="L113" s="271" t="s">
        <v>1790</v>
      </c>
      <c r="M113" s="24" t="s">
        <v>50</v>
      </c>
      <c r="N113" s="39"/>
      <c r="O113" s="39"/>
      <c r="P113" s="2"/>
      <c r="Q113" s="2"/>
      <c r="R113" s="2"/>
      <c r="S113" s="2"/>
      <c r="T113" s="2"/>
    </row>
    <row r="114" spans="1:23" s="15" customFormat="1" ht="15.75" customHeight="1">
      <c r="A114" s="1259"/>
      <c r="B114" s="197" t="s">
        <v>1791</v>
      </c>
      <c r="C114" s="58"/>
      <c r="D114" s="58"/>
      <c r="E114" s="61">
        <f t="shared" ca="1" si="16"/>
        <v>0</v>
      </c>
      <c r="F114" s="62">
        <f t="shared" ca="1" si="16"/>
        <v>0</v>
      </c>
      <c r="G114" s="20"/>
      <c r="H114" s="376"/>
      <c r="I114" s="376"/>
      <c r="J114" s="2" t="str">
        <f t="shared" ca="1" si="17"/>
        <v>##H</v>
      </c>
      <c r="L114" s="271" t="s">
        <v>1792</v>
      </c>
      <c r="M114" s="24" t="s">
        <v>50</v>
      </c>
      <c r="N114" s="39"/>
      <c r="O114" s="39"/>
      <c r="P114" s="2"/>
      <c r="Q114" s="2"/>
      <c r="R114" s="2"/>
      <c r="S114" s="2"/>
      <c r="T114" s="2"/>
    </row>
    <row r="115" spans="1:23" s="15" customFormat="1" ht="15.75" hidden="1" customHeight="1">
      <c r="A115" s="1259"/>
      <c r="B115" s="197" t="s">
        <v>1793</v>
      </c>
      <c r="C115" s="58"/>
      <c r="D115" s="58"/>
      <c r="E115" s="61">
        <f t="shared" ca="1" si="16"/>
        <v>0</v>
      </c>
      <c r="F115" s="62">
        <f t="shared" ca="1" si="16"/>
        <v>0</v>
      </c>
      <c r="G115" s="20"/>
      <c r="H115" s="376"/>
      <c r="I115" s="376"/>
      <c r="J115" s="2" t="str">
        <f t="shared" ca="1" si="17"/>
        <v>##H</v>
      </c>
      <c r="L115" s="271" t="s">
        <v>1794</v>
      </c>
      <c r="M115" s="24" t="s">
        <v>50</v>
      </c>
      <c r="N115" s="39"/>
      <c r="O115" s="39"/>
      <c r="P115" s="2"/>
      <c r="Q115" s="2"/>
      <c r="R115" s="2"/>
      <c r="S115" s="2"/>
      <c r="T115" s="2"/>
    </row>
    <row r="116" spans="1:23" s="15" customFormat="1" ht="15.75" hidden="1" customHeight="1">
      <c r="A116" s="1259"/>
      <c r="B116" s="380" t="s">
        <v>1268</v>
      </c>
      <c r="C116" s="200"/>
      <c r="D116" s="200"/>
      <c r="E116" s="61">
        <f t="shared" ca="1" si="16"/>
        <v>0</v>
      </c>
      <c r="F116" s="62">
        <f t="shared" ca="1" si="16"/>
        <v>0</v>
      </c>
      <c r="G116" s="20"/>
      <c r="H116" s="376"/>
      <c r="I116" s="376"/>
      <c r="J116" s="2" t="str">
        <f t="shared" ca="1" si="17"/>
        <v>##H</v>
      </c>
      <c r="L116" s="271" t="s">
        <v>1795</v>
      </c>
      <c r="M116" s="24" t="s">
        <v>50</v>
      </c>
      <c r="N116" s="39"/>
      <c r="O116" s="39"/>
      <c r="P116" s="2"/>
      <c r="Q116" s="2"/>
      <c r="R116" s="2"/>
      <c r="S116" s="2"/>
      <c r="T116" s="2"/>
    </row>
    <row r="117" spans="1:23" s="15" customFormat="1" ht="15.75" customHeight="1">
      <c r="A117" s="210"/>
      <c r="B117" s="216" t="s">
        <v>246</v>
      </c>
      <c r="C117" s="177"/>
      <c r="D117" s="1250"/>
      <c r="E117" s="69">
        <f ca="1">SUM(E110:E116)</f>
        <v>0</v>
      </c>
      <c r="F117" s="70">
        <f ca="1">SUM(F110:F116)</f>
        <v>0</v>
      </c>
      <c r="G117" s="20"/>
      <c r="H117" s="376"/>
      <c r="I117" s="376"/>
      <c r="J117" s="2" t="str">
        <f t="shared" ca="1" si="17"/>
        <v>##H</v>
      </c>
      <c r="L117" s="271" t="s">
        <v>558</v>
      </c>
      <c r="M117" s="24" t="s">
        <v>50</v>
      </c>
      <c r="N117" s="39"/>
      <c r="O117" s="39"/>
      <c r="P117" s="2"/>
      <c r="Q117" s="2"/>
      <c r="R117" s="2"/>
      <c r="S117" s="2"/>
      <c r="T117" s="2"/>
    </row>
    <row r="118" spans="1:23" s="15" customFormat="1">
      <c r="A118" s="1259"/>
      <c r="B118" s="375"/>
      <c r="C118" s="375"/>
      <c r="E118" s="376"/>
      <c r="F118" s="376"/>
      <c r="G118" s="376"/>
      <c r="H118" s="376"/>
      <c r="I118" s="376"/>
      <c r="L118" s="271"/>
      <c r="M118" s="271"/>
      <c r="N118" s="39"/>
      <c r="O118" s="39"/>
      <c r="P118" s="2"/>
      <c r="Q118" s="2"/>
      <c r="R118" s="2"/>
      <c r="S118" s="2"/>
      <c r="T118" s="2"/>
    </row>
    <row r="119" spans="1:23" ht="15" customHeight="1">
      <c r="A119" s="1149">
        <f>NTA!F125</f>
        <v>47</v>
      </c>
      <c r="B119" s="1064" t="str">
        <f>NTA!C125</f>
        <v>Employee Benefits Expense</v>
      </c>
      <c r="C119" s="210"/>
      <c r="D119" s="46"/>
      <c r="E119" s="32"/>
      <c r="F119" s="1195" t="str">
        <f>+'Master Sheet'!$C$65</f>
        <v>(Amount in INR)</v>
      </c>
      <c r="J119" s="20"/>
      <c r="K119" s="20"/>
      <c r="L119" s="271"/>
      <c r="N119" s="20"/>
      <c r="O119" s="20"/>
    </row>
    <row r="120" spans="1:23" ht="26.25" customHeight="1">
      <c r="A120" s="20"/>
      <c r="B120" s="1313" t="s">
        <v>500</v>
      </c>
      <c r="C120" s="1313"/>
      <c r="D120" s="1313"/>
      <c r="E120" s="1196" t="e">
        <f ca="1">PL_CY</f>
        <v>#NAME?</v>
      </c>
      <c r="F120" s="1197" t="e">
        <f ca="1">PL_PY</f>
        <v>#NAME?</v>
      </c>
      <c r="J120" s="20"/>
      <c r="K120" s="20"/>
      <c r="L120" s="271"/>
      <c r="N120" s="20"/>
      <c r="O120" s="20"/>
      <c r="P120" s="32"/>
      <c r="W120" s="209"/>
    </row>
    <row r="121" spans="1:23" ht="15" customHeight="1">
      <c r="A121" s="1264"/>
      <c r="B121" s="58" t="s">
        <v>1796</v>
      </c>
      <c r="C121" s="58"/>
      <c r="D121" s="58"/>
      <c r="E121" s="61">
        <f t="shared" ref="E121:F125" ca="1" si="18">IFERROR(INDEX(INDIRECT(VLOOKUP($M121,Source_Master,2,0),),MATCH(TEXT($L121,0),INDIRECT(VLOOKUP($M121,Source_Master,4,0)),0),MATCH(E$1,INDIRECT(VLOOKUP($M121,Source_Master,3,0),),0)),0)</f>
        <v>0</v>
      </c>
      <c r="F121" s="62">
        <f t="shared" ca="1" si="18"/>
        <v>0</v>
      </c>
      <c r="J121" s="2" t="str">
        <f t="shared" ref="J121:J126" ca="1" si="19">IF(AND(E121=0,F121=0),"##H","")</f>
        <v>##H</v>
      </c>
      <c r="K121" s="20"/>
      <c r="L121" s="271" t="s">
        <v>1797</v>
      </c>
      <c r="M121" s="24" t="s">
        <v>50</v>
      </c>
    </row>
    <row r="122" spans="1:23" ht="15" customHeight="1">
      <c r="A122" s="1264"/>
      <c r="B122" s="58" t="s">
        <v>1798</v>
      </c>
      <c r="C122" s="58"/>
      <c r="D122" s="58"/>
      <c r="E122" s="61">
        <f t="shared" ca="1" si="18"/>
        <v>0</v>
      </c>
      <c r="F122" s="62">
        <f t="shared" ca="1" si="18"/>
        <v>0</v>
      </c>
      <c r="J122" s="2" t="str">
        <f t="shared" ca="1" si="19"/>
        <v>##H</v>
      </c>
      <c r="K122" s="20"/>
      <c r="L122" s="271" t="s">
        <v>1799</v>
      </c>
      <c r="M122" s="24" t="s">
        <v>50</v>
      </c>
    </row>
    <row r="123" spans="1:23" ht="15" customHeight="1">
      <c r="A123" s="1264"/>
      <c r="B123" s="58" t="s">
        <v>1800</v>
      </c>
      <c r="C123" s="58"/>
      <c r="D123" s="58"/>
      <c r="E123" s="61">
        <f t="shared" ca="1" si="18"/>
        <v>0</v>
      </c>
      <c r="F123" s="62">
        <f t="shared" ca="1" si="18"/>
        <v>0</v>
      </c>
      <c r="J123" s="2" t="str">
        <f t="shared" ca="1" si="19"/>
        <v>##H</v>
      </c>
      <c r="K123" s="20"/>
      <c r="L123" s="271" t="s">
        <v>1801</v>
      </c>
      <c r="M123" s="24" t="s">
        <v>50</v>
      </c>
    </row>
    <row r="124" spans="1:23" ht="15" hidden="1" customHeight="1">
      <c r="A124" s="1264"/>
      <c r="B124" s="58" t="s">
        <v>1802</v>
      </c>
      <c r="C124" s="58"/>
      <c r="D124" s="58"/>
      <c r="E124" s="61">
        <f t="shared" ca="1" si="18"/>
        <v>0</v>
      </c>
      <c r="F124" s="62">
        <f t="shared" ca="1" si="18"/>
        <v>0</v>
      </c>
      <c r="J124" s="2" t="str">
        <f t="shared" ca="1" si="19"/>
        <v>##H</v>
      </c>
      <c r="K124" s="20"/>
      <c r="L124" s="271" t="s">
        <v>1803</v>
      </c>
      <c r="M124" s="24" t="s">
        <v>50</v>
      </c>
    </row>
    <row r="125" spans="1:23" ht="15" customHeight="1">
      <c r="A125" s="1264"/>
      <c r="B125" s="58" t="s">
        <v>1804</v>
      </c>
      <c r="C125" s="58"/>
      <c r="D125" s="920"/>
      <c r="E125" s="61">
        <f t="shared" ca="1" si="18"/>
        <v>0</v>
      </c>
      <c r="F125" s="62">
        <f t="shared" ca="1" si="18"/>
        <v>0</v>
      </c>
      <c r="J125" s="2" t="str">
        <f t="shared" ca="1" si="19"/>
        <v>##H</v>
      </c>
      <c r="K125" s="20"/>
      <c r="L125" s="271" t="s">
        <v>1805</v>
      </c>
      <c r="M125" s="24" t="s">
        <v>50</v>
      </c>
    </row>
    <row r="126" spans="1:23" ht="15" customHeight="1">
      <c r="A126" s="1264"/>
      <c r="B126" s="216" t="s">
        <v>246</v>
      </c>
      <c r="C126" s="177"/>
      <c r="D126" s="1250"/>
      <c r="E126" s="69">
        <f ca="1">SUM(E121:E125)</f>
        <v>0</v>
      </c>
      <c r="F126" s="70">
        <f ca="1">SUM(F121:F125)</f>
        <v>0</v>
      </c>
      <c r="I126" s="335"/>
      <c r="J126" s="2" t="str">
        <f t="shared" ca="1" si="19"/>
        <v>##H</v>
      </c>
      <c r="K126" s="20"/>
      <c r="L126" s="271" t="s">
        <v>559</v>
      </c>
      <c r="M126" s="24" t="s">
        <v>50</v>
      </c>
      <c r="N126" s="20"/>
      <c r="O126" s="20"/>
      <c r="W126" s="368"/>
    </row>
    <row r="127" spans="1:23" ht="15" customHeight="1">
      <c r="A127" s="1264"/>
      <c r="B127" s="20"/>
      <c r="C127" s="20"/>
      <c r="D127" s="210"/>
      <c r="E127" s="21"/>
      <c r="F127" s="21"/>
      <c r="J127" s="20"/>
      <c r="K127" s="20"/>
      <c r="L127" s="271"/>
      <c r="N127" s="20"/>
      <c r="O127" s="20"/>
      <c r="W127" s="145"/>
    </row>
    <row r="128" spans="1:23">
      <c r="A128" s="1149">
        <f>NTA!F126</f>
        <v>48</v>
      </c>
      <c r="B128" s="1149" t="str">
        <f>NTA!C126</f>
        <v>Finance Costs</v>
      </c>
      <c r="C128" s="210"/>
      <c r="D128" s="210"/>
      <c r="E128" s="32"/>
      <c r="F128" s="1191" t="str">
        <f>+'Master Sheet'!$C$65</f>
        <v>(Amount in INR)</v>
      </c>
      <c r="Q128" s="2"/>
      <c r="R128" s="2"/>
      <c r="S128" s="2"/>
      <c r="T128" s="2"/>
      <c r="U128" s="2"/>
      <c r="V128" s="2"/>
    </row>
    <row r="129" spans="1:22" ht="27" customHeight="1">
      <c r="A129" s="20"/>
      <c r="B129" s="1313" t="s">
        <v>500</v>
      </c>
      <c r="C129" s="1313"/>
      <c r="D129" s="1313"/>
      <c r="E129" s="1196" t="e">
        <f ca="1">PL_CY</f>
        <v>#NAME?</v>
      </c>
      <c r="F129" s="1192" t="e">
        <f ca="1">PL_PY</f>
        <v>#NAME?</v>
      </c>
      <c r="Q129" s="2"/>
      <c r="R129" s="2"/>
      <c r="S129" s="2"/>
      <c r="T129" s="2"/>
      <c r="U129" s="2"/>
      <c r="V129" s="2"/>
    </row>
    <row r="130" spans="1:22" ht="15" customHeight="1">
      <c r="A130" s="1264"/>
      <c r="B130" s="68" t="s">
        <v>1806</v>
      </c>
      <c r="C130" s="264"/>
      <c r="D130" s="58"/>
      <c r="E130" s="283"/>
      <c r="F130" s="75"/>
      <c r="J130" s="20"/>
      <c r="K130" s="20"/>
      <c r="L130" s="271" t="s">
        <v>1807</v>
      </c>
      <c r="M130" s="24" t="s">
        <v>50</v>
      </c>
      <c r="P130" s="2"/>
      <c r="Q130" s="2"/>
      <c r="R130" s="2"/>
      <c r="S130" s="2"/>
      <c r="T130" s="2"/>
      <c r="U130" s="2"/>
    </row>
    <row r="131" spans="1:22" ht="15" customHeight="1">
      <c r="A131" s="1264"/>
      <c r="B131" s="223" t="s">
        <v>1808</v>
      </c>
      <c r="C131" s="264"/>
      <c r="D131" s="223"/>
      <c r="E131" s="61">
        <f t="shared" ref="E131:F138" ca="1" si="20">IFERROR(INDEX(INDIRECT(VLOOKUP($M131,Source_Master,2,0),),MATCH(TEXT($L131,0),INDIRECT(VLOOKUP($M131,Source_Master,4,0)),0),MATCH(E$1,INDIRECT(VLOOKUP($M131,Source_Master,3,0),),0)),0)</f>
        <v>0</v>
      </c>
      <c r="F131" s="62">
        <f t="shared" ca="1" si="20"/>
        <v>0</v>
      </c>
      <c r="J131" s="2" t="str">
        <f t="shared" ref="J131:J139" ca="1" si="21">IF(AND(E131=0,F131=0),"##H","")</f>
        <v>##H</v>
      </c>
      <c r="K131" s="20"/>
      <c r="L131" s="271" t="s">
        <v>1809</v>
      </c>
      <c r="M131" s="24" t="s">
        <v>50</v>
      </c>
      <c r="P131" s="2"/>
      <c r="Q131" s="2"/>
      <c r="R131" s="2"/>
      <c r="S131" s="2"/>
      <c r="T131" s="2"/>
      <c r="U131" s="2"/>
    </row>
    <row r="132" spans="1:22" ht="15" customHeight="1">
      <c r="A132" s="1264"/>
      <c r="B132" s="223" t="s">
        <v>1810</v>
      </c>
      <c r="C132" s="264"/>
      <c r="D132" s="223"/>
      <c r="E132" s="61">
        <f t="shared" ca="1" si="20"/>
        <v>0</v>
      </c>
      <c r="F132" s="62">
        <f t="shared" ca="1" si="20"/>
        <v>0</v>
      </c>
      <c r="J132" s="2" t="str">
        <f t="shared" ca="1" si="21"/>
        <v>##H</v>
      </c>
      <c r="K132" s="20"/>
      <c r="L132" s="271" t="s">
        <v>1811</v>
      </c>
      <c r="M132" s="24" t="s">
        <v>50</v>
      </c>
      <c r="P132" s="2"/>
      <c r="Q132" s="2"/>
      <c r="R132" s="2"/>
      <c r="S132" s="2"/>
      <c r="T132" s="2"/>
      <c r="U132" s="2"/>
    </row>
    <row r="133" spans="1:22" ht="15" customHeight="1">
      <c r="A133" s="1264"/>
      <c r="B133" s="223" t="s">
        <v>1812</v>
      </c>
      <c r="C133" s="264"/>
      <c r="D133" s="223"/>
      <c r="E133" s="61">
        <f t="shared" ca="1" si="20"/>
        <v>0</v>
      </c>
      <c r="F133" s="62">
        <f t="shared" ca="1" si="20"/>
        <v>0</v>
      </c>
      <c r="J133" s="2" t="str">
        <f t="shared" ca="1" si="21"/>
        <v>##H</v>
      </c>
      <c r="K133" s="20"/>
      <c r="L133" s="271" t="s">
        <v>1813</v>
      </c>
      <c r="M133" s="24" t="s">
        <v>50</v>
      </c>
      <c r="P133" s="2"/>
      <c r="Q133" s="2"/>
      <c r="R133" s="2"/>
      <c r="S133" s="2"/>
      <c r="T133" s="2"/>
      <c r="U133" s="2"/>
    </row>
    <row r="134" spans="1:22" ht="15" customHeight="1">
      <c r="A134" s="1264"/>
      <c r="B134" s="223" t="s">
        <v>1814</v>
      </c>
      <c r="C134" s="264"/>
      <c r="D134" s="223"/>
      <c r="E134" s="61">
        <f t="shared" ca="1" si="20"/>
        <v>0</v>
      </c>
      <c r="F134" s="62">
        <f t="shared" ca="1" si="20"/>
        <v>0</v>
      </c>
      <c r="J134" s="2" t="str">
        <f t="shared" ca="1" si="21"/>
        <v>##H</v>
      </c>
      <c r="K134" s="20"/>
      <c r="L134" s="271" t="s">
        <v>1815</v>
      </c>
      <c r="M134" s="24" t="s">
        <v>50</v>
      </c>
      <c r="P134" s="2"/>
      <c r="Q134" s="2"/>
      <c r="R134" s="2"/>
      <c r="S134" s="2"/>
      <c r="T134" s="2"/>
      <c r="U134" s="2"/>
    </row>
    <row r="135" spans="1:22" ht="15" hidden="1" customHeight="1">
      <c r="A135" s="1264"/>
      <c r="B135" s="68" t="s">
        <v>1816</v>
      </c>
      <c r="C135" s="264"/>
      <c r="D135" s="58"/>
      <c r="E135" s="61">
        <f t="shared" ca="1" si="20"/>
        <v>0</v>
      </c>
      <c r="F135" s="62">
        <f t="shared" ca="1" si="20"/>
        <v>0</v>
      </c>
      <c r="J135" s="2" t="str">
        <f t="shared" ca="1" si="21"/>
        <v>##H</v>
      </c>
      <c r="K135" s="20"/>
      <c r="L135" s="271" t="s">
        <v>1817</v>
      </c>
      <c r="M135" s="24" t="s">
        <v>50</v>
      </c>
      <c r="P135" s="2"/>
      <c r="Q135" s="2"/>
      <c r="R135" s="2"/>
      <c r="S135" s="2"/>
      <c r="T135" s="2"/>
      <c r="U135" s="2"/>
    </row>
    <row r="136" spans="1:22" ht="15" customHeight="1">
      <c r="A136" s="1264"/>
      <c r="B136" s="68" t="s">
        <v>1818</v>
      </c>
      <c r="C136" s="264"/>
      <c r="D136" s="58"/>
      <c r="E136" s="61">
        <f t="shared" ca="1" si="20"/>
        <v>0</v>
      </c>
      <c r="F136" s="62">
        <f t="shared" ca="1" si="20"/>
        <v>0</v>
      </c>
      <c r="J136" s="2" t="str">
        <f t="shared" ca="1" si="21"/>
        <v>##H</v>
      </c>
      <c r="K136" s="20"/>
      <c r="L136" s="271" t="s">
        <v>1819</v>
      </c>
      <c r="M136" s="24" t="s">
        <v>50</v>
      </c>
      <c r="P136" s="2"/>
      <c r="Q136" s="2"/>
      <c r="R136" s="2"/>
      <c r="S136" s="2"/>
      <c r="T136" s="2"/>
      <c r="U136" s="2"/>
    </row>
    <row r="137" spans="1:22" ht="15" customHeight="1">
      <c r="A137" s="1264"/>
      <c r="B137" s="68" t="s">
        <v>1820</v>
      </c>
      <c r="C137" s="264"/>
      <c r="D137" s="58"/>
      <c r="E137" s="61">
        <f t="shared" ca="1" si="20"/>
        <v>0</v>
      </c>
      <c r="F137" s="62">
        <f t="shared" ca="1" si="20"/>
        <v>0</v>
      </c>
      <c r="J137" s="2" t="str">
        <f t="shared" ca="1" si="21"/>
        <v>##H</v>
      </c>
      <c r="K137" s="20"/>
      <c r="L137" s="271" t="s">
        <v>1821</v>
      </c>
      <c r="M137" s="24" t="s">
        <v>50</v>
      </c>
      <c r="P137" s="2"/>
      <c r="Q137" s="2"/>
      <c r="R137" s="2"/>
      <c r="S137" s="2"/>
      <c r="T137" s="2"/>
      <c r="U137" s="2"/>
    </row>
    <row r="138" spans="1:22" ht="15" hidden="1" customHeight="1">
      <c r="A138" s="1264"/>
      <c r="B138" s="245" t="s">
        <v>1822</v>
      </c>
      <c r="C138" s="641"/>
      <c r="D138" s="200"/>
      <c r="E138" s="1542">
        <f t="shared" ca="1" si="20"/>
        <v>0</v>
      </c>
      <c r="F138" s="1543">
        <f t="shared" ca="1" si="20"/>
        <v>0</v>
      </c>
      <c r="J138" s="2" t="str">
        <f t="shared" ca="1" si="21"/>
        <v>##H</v>
      </c>
      <c r="K138" s="20"/>
      <c r="L138" s="271" t="s">
        <v>1823</v>
      </c>
      <c r="M138" s="24" t="s">
        <v>50</v>
      </c>
      <c r="P138" s="2"/>
      <c r="Q138" s="2"/>
      <c r="R138" s="2"/>
      <c r="S138" s="2"/>
      <c r="T138" s="2"/>
      <c r="U138" s="2"/>
    </row>
    <row r="139" spans="1:22" ht="15" customHeight="1">
      <c r="A139" s="1264"/>
      <c r="B139" s="364" t="s">
        <v>246</v>
      </c>
      <c r="C139" s="280"/>
      <c r="D139" s="1250" t="s">
        <v>1824</v>
      </c>
      <c r="E139" s="69">
        <f ca="1">SUM(E131:E138)</f>
        <v>0</v>
      </c>
      <c r="F139" s="70">
        <f ca="1">SUM(F131:F138)</f>
        <v>0</v>
      </c>
      <c r="J139" s="2" t="str">
        <f t="shared" ca="1" si="21"/>
        <v>##H</v>
      </c>
      <c r="K139" s="20"/>
      <c r="L139" s="271" t="s">
        <v>560</v>
      </c>
      <c r="M139" s="24" t="s">
        <v>50</v>
      </c>
      <c r="N139" s="20"/>
      <c r="P139" s="2"/>
      <c r="Q139" s="2"/>
      <c r="R139" s="2"/>
      <c r="S139" s="2"/>
      <c r="T139" s="2"/>
      <c r="U139" s="2"/>
    </row>
    <row r="140" spans="1:22" ht="15" customHeight="1">
      <c r="A140" s="1264"/>
      <c r="D140" s="50"/>
      <c r="E140" s="100"/>
      <c r="F140" s="100"/>
      <c r="J140" s="20"/>
      <c r="K140" s="20"/>
      <c r="L140" s="271"/>
      <c r="N140" s="20"/>
      <c r="P140" s="2"/>
      <c r="Q140" s="2"/>
      <c r="R140" s="2"/>
      <c r="S140" s="2"/>
      <c r="T140" s="2"/>
      <c r="U140" s="2"/>
    </row>
    <row r="141" spans="1:22" ht="15" customHeight="1">
      <c r="A141" s="1149">
        <f>NTA!F127</f>
        <v>49</v>
      </c>
      <c r="B141" s="1149" t="str">
        <f>NTA!C127</f>
        <v>Depreciation And Amortisation Expenses</v>
      </c>
      <c r="C141" s="210"/>
      <c r="D141" s="210"/>
      <c r="E141" s="32"/>
      <c r="F141" s="918" t="s">
        <v>1432</v>
      </c>
      <c r="J141" s="20"/>
      <c r="K141" s="20"/>
      <c r="L141" s="271"/>
      <c r="N141" s="20"/>
      <c r="P141" s="2"/>
      <c r="Q141" s="2"/>
      <c r="R141" s="2"/>
      <c r="S141" s="2"/>
      <c r="T141" s="2"/>
      <c r="U141" s="2"/>
    </row>
    <row r="142" spans="1:22" ht="27.75" customHeight="1">
      <c r="A142" s="20"/>
      <c r="B142" s="1313" t="s">
        <v>500</v>
      </c>
      <c r="C142" s="1313"/>
      <c r="D142" s="1313"/>
      <c r="E142" s="1196" t="e">
        <f ca="1">PL_CY</f>
        <v>#NAME?</v>
      </c>
      <c r="F142" s="1197" t="e">
        <f ca="1">PL_PY</f>
        <v>#NAME?</v>
      </c>
      <c r="J142" s="20"/>
      <c r="K142" s="20"/>
      <c r="L142" s="271"/>
      <c r="N142" s="20"/>
      <c r="P142" s="2"/>
      <c r="Q142" s="2"/>
      <c r="R142" s="2"/>
      <c r="S142" s="2"/>
      <c r="T142" s="2"/>
      <c r="U142" s="2"/>
    </row>
    <row r="143" spans="1:22" ht="15" customHeight="1">
      <c r="A143" s="1264"/>
      <c r="B143" s="68" t="s">
        <v>1825</v>
      </c>
      <c r="C143" s="264"/>
      <c r="D143" s="58"/>
      <c r="E143" s="61">
        <f t="shared" ref="E143:F145" ca="1" si="22">IFERROR(INDEX(INDIRECT(VLOOKUP($M143,Source_Master,2,0),),MATCH(TEXT($L143,0),INDIRECT(VLOOKUP($M143,Source_Master,4,0)),0),MATCH(E$1,INDIRECT(VLOOKUP($M143,Source_Master,3,0),),0)),0)</f>
        <v>0</v>
      </c>
      <c r="F143" s="62">
        <f t="shared" ca="1" si="22"/>
        <v>0</v>
      </c>
      <c r="H143" s="60"/>
      <c r="J143" s="2" t="str">
        <f t="shared" ref="J143:J146" ca="1" si="23">IF(AND(E143=0,F143=0),"##H","")</f>
        <v>##H</v>
      </c>
      <c r="K143" s="20"/>
      <c r="L143" s="271" t="s">
        <v>1826</v>
      </c>
      <c r="M143" s="24" t="s">
        <v>50</v>
      </c>
      <c r="N143" s="20"/>
      <c r="P143" s="2"/>
      <c r="Q143" s="2"/>
      <c r="R143" s="2"/>
      <c r="S143" s="2"/>
      <c r="T143" s="2"/>
      <c r="U143" s="2"/>
    </row>
    <row r="144" spans="1:22" ht="15" customHeight="1">
      <c r="A144" s="1264"/>
      <c r="B144" s="68" t="s">
        <v>1827</v>
      </c>
      <c r="C144" s="264"/>
      <c r="D144" s="58"/>
      <c r="E144" s="61">
        <f t="shared" ca="1" si="22"/>
        <v>0</v>
      </c>
      <c r="F144" s="62">
        <f t="shared" ca="1" si="22"/>
        <v>0</v>
      </c>
      <c r="H144" s="60"/>
      <c r="J144" s="2" t="str">
        <f t="shared" ca="1" si="23"/>
        <v>##H</v>
      </c>
      <c r="K144" s="20"/>
      <c r="L144" s="271" t="s">
        <v>1828</v>
      </c>
      <c r="M144" s="24" t="s">
        <v>50</v>
      </c>
      <c r="N144" s="20"/>
      <c r="P144" s="2"/>
      <c r="Q144" s="2"/>
      <c r="R144" s="2"/>
      <c r="S144" s="2"/>
      <c r="T144" s="2"/>
      <c r="U144" s="2"/>
    </row>
    <row r="145" spans="1:21" ht="15" customHeight="1">
      <c r="A145" s="1264"/>
      <c r="B145" s="68" t="s">
        <v>1829</v>
      </c>
      <c r="C145" s="264"/>
      <c r="D145" s="58"/>
      <c r="E145" s="61">
        <f t="shared" ca="1" si="22"/>
        <v>0</v>
      </c>
      <c r="F145" s="62">
        <f t="shared" ca="1" si="22"/>
        <v>0</v>
      </c>
      <c r="H145" s="60"/>
      <c r="J145" s="2" t="str">
        <f t="shared" ca="1" si="23"/>
        <v>##H</v>
      </c>
      <c r="K145" s="20"/>
      <c r="L145" s="271" t="s">
        <v>1830</v>
      </c>
      <c r="M145" s="24" t="s">
        <v>50</v>
      </c>
      <c r="N145" s="20"/>
      <c r="P145" s="2"/>
      <c r="Q145" s="2"/>
      <c r="R145" s="2"/>
      <c r="S145" s="2"/>
      <c r="T145" s="2"/>
      <c r="U145" s="2"/>
    </row>
    <row r="146" spans="1:21" ht="15" customHeight="1">
      <c r="A146" s="1264"/>
      <c r="B146" s="364" t="s">
        <v>246</v>
      </c>
      <c r="C146" s="280"/>
      <c r="D146" s="1250"/>
      <c r="E146" s="69">
        <f ca="1">SUM(E143:E145)</f>
        <v>0</v>
      </c>
      <c r="F146" s="70">
        <f ca="1">SUM(F143:F145)</f>
        <v>0</v>
      </c>
      <c r="H146" s="1545"/>
      <c r="J146" s="2" t="str">
        <f t="shared" ca="1" si="23"/>
        <v>##H</v>
      </c>
      <c r="K146" s="20"/>
      <c r="L146" s="271" t="s">
        <v>561</v>
      </c>
      <c r="M146" s="24" t="s">
        <v>50</v>
      </c>
      <c r="N146" s="20"/>
      <c r="P146" s="2"/>
      <c r="Q146" s="2"/>
      <c r="R146" s="2"/>
      <c r="S146" s="2"/>
      <c r="T146" s="2"/>
      <c r="U146" s="2"/>
    </row>
    <row r="147" spans="1:21" ht="15" customHeight="1">
      <c r="A147" s="1264"/>
      <c r="D147" s="50"/>
      <c r="E147" s="100"/>
      <c r="F147" s="100"/>
      <c r="J147" s="20"/>
      <c r="K147" s="20"/>
      <c r="L147" s="271"/>
      <c r="N147" s="20"/>
      <c r="P147" s="2"/>
      <c r="Q147" s="2"/>
      <c r="R147" s="2"/>
      <c r="S147" s="2"/>
      <c r="T147" s="2"/>
      <c r="U147" s="2"/>
    </row>
    <row r="148" spans="1:21" ht="15" customHeight="1">
      <c r="A148" s="1149">
        <f>NTA!F128</f>
        <v>50</v>
      </c>
      <c r="B148" s="1149" t="str">
        <f>NTA!C128</f>
        <v>Other Expenses</v>
      </c>
      <c r="C148" s="210"/>
      <c r="D148" s="46"/>
      <c r="E148" s="32"/>
      <c r="F148" s="1191" t="str">
        <f>+'Master Sheet'!$C$65</f>
        <v>(Amount in INR)</v>
      </c>
      <c r="J148" s="20"/>
      <c r="K148" s="20"/>
      <c r="L148" s="271"/>
      <c r="N148" s="20"/>
      <c r="P148" s="2"/>
      <c r="Q148" s="2"/>
      <c r="R148" s="2"/>
      <c r="S148" s="2"/>
      <c r="T148" s="2"/>
      <c r="U148" s="2"/>
    </row>
    <row r="149" spans="1:21" ht="27" customHeight="1">
      <c r="A149" s="20"/>
      <c r="B149" s="1313" t="s">
        <v>500</v>
      </c>
      <c r="C149" s="1313"/>
      <c r="D149" s="1313"/>
      <c r="E149" s="1196" t="e">
        <f ca="1">PL_CY</f>
        <v>#NAME?</v>
      </c>
      <c r="F149" s="1192" t="e">
        <f ca="1">PL_PY</f>
        <v>#NAME?</v>
      </c>
      <c r="G149" s="210"/>
      <c r="I149" s="368"/>
      <c r="J149" s="20"/>
      <c r="K149" s="20"/>
      <c r="L149" s="271"/>
      <c r="N149" s="20"/>
      <c r="P149" s="2"/>
      <c r="Q149" s="2"/>
      <c r="R149" s="2"/>
      <c r="S149" s="2"/>
      <c r="T149" s="2"/>
      <c r="U149" s="2"/>
    </row>
    <row r="150" spans="1:21" ht="15" customHeight="1">
      <c r="A150" s="210"/>
      <c r="B150" s="265" t="s">
        <v>1831</v>
      </c>
      <c r="C150" s="33"/>
      <c r="D150" s="265"/>
      <c r="E150" s="130">
        <f t="shared" ref="E150:F169" ca="1" si="24">IFERROR(INDEX(INDIRECT(VLOOKUP($M150,Source_Master,2,0),),MATCH(TEXT($L150,0),INDIRECT(VLOOKUP($M150,Source_Master,4,0)),0),MATCH(E$1,INDIRECT(VLOOKUP($M150,Source_Master,3,0),),0)),0)</f>
        <v>0</v>
      </c>
      <c r="F150" s="158">
        <f t="shared" ca="1" si="24"/>
        <v>0</v>
      </c>
      <c r="J150" s="2" t="str">
        <f t="shared" ref="J150:J184" ca="1" si="25">IF(AND(E150=0,F150=0),"##H","")</f>
        <v>##H</v>
      </c>
      <c r="K150" s="20"/>
      <c r="L150" s="271" t="s">
        <v>1832</v>
      </c>
      <c r="M150" s="24" t="s">
        <v>50</v>
      </c>
      <c r="P150" s="2"/>
      <c r="Q150" s="2"/>
      <c r="R150" s="2"/>
      <c r="S150" s="2"/>
      <c r="T150" s="2"/>
      <c r="U150" s="2"/>
    </row>
    <row r="151" spans="1:21" ht="15" customHeight="1">
      <c r="A151" s="210"/>
      <c r="B151" s="58" t="s">
        <v>1833</v>
      </c>
      <c r="C151" s="33"/>
      <c r="D151" s="58"/>
      <c r="E151" s="61">
        <f t="shared" ca="1" si="24"/>
        <v>0</v>
      </c>
      <c r="F151" s="62">
        <f t="shared" ca="1" si="24"/>
        <v>0</v>
      </c>
      <c r="H151" s="210"/>
      <c r="J151" s="2" t="str">
        <f t="shared" ca="1" si="25"/>
        <v>##H</v>
      </c>
      <c r="K151" s="20"/>
      <c r="L151" s="271" t="s">
        <v>1834</v>
      </c>
      <c r="M151" s="24" t="s">
        <v>50</v>
      </c>
      <c r="P151" s="2"/>
      <c r="Q151" s="2"/>
      <c r="R151" s="2"/>
      <c r="S151" s="2"/>
      <c r="T151" s="2"/>
      <c r="U151" s="2"/>
    </row>
    <row r="152" spans="1:21" ht="15" customHeight="1">
      <c r="A152" s="210"/>
      <c r="B152" s="58" t="s">
        <v>1835</v>
      </c>
      <c r="C152" s="33"/>
      <c r="D152" s="58"/>
      <c r="E152" s="61">
        <f t="shared" ca="1" si="24"/>
        <v>0</v>
      </c>
      <c r="F152" s="62">
        <f t="shared" ca="1" si="24"/>
        <v>0</v>
      </c>
      <c r="H152" s="210"/>
      <c r="J152" s="2" t="str">
        <f t="shared" ca="1" si="25"/>
        <v>##H</v>
      </c>
      <c r="K152" s="20"/>
      <c r="L152" s="271" t="s">
        <v>1836</v>
      </c>
      <c r="M152" s="24" t="s">
        <v>50</v>
      </c>
      <c r="P152" s="2"/>
      <c r="Q152" s="2"/>
      <c r="R152" s="2"/>
      <c r="S152" s="2"/>
      <c r="T152" s="2"/>
      <c r="U152" s="2"/>
    </row>
    <row r="153" spans="1:21" ht="15" customHeight="1">
      <c r="A153" s="210"/>
      <c r="B153" s="58" t="s">
        <v>1268</v>
      </c>
      <c r="C153" s="33"/>
      <c r="D153" s="58"/>
      <c r="E153" s="61">
        <f t="shared" ca="1" si="24"/>
        <v>0</v>
      </c>
      <c r="F153" s="62">
        <f t="shared" ca="1" si="24"/>
        <v>0</v>
      </c>
      <c r="J153" s="2" t="str">
        <f t="shared" ca="1" si="25"/>
        <v>##H</v>
      </c>
      <c r="K153" s="20"/>
      <c r="L153" s="271" t="s">
        <v>1837</v>
      </c>
      <c r="M153" s="24" t="s">
        <v>50</v>
      </c>
      <c r="P153" s="2"/>
      <c r="Q153" s="2"/>
      <c r="R153" s="2"/>
      <c r="S153" s="2"/>
      <c r="T153" s="2"/>
      <c r="U153" s="2"/>
    </row>
    <row r="154" spans="1:21" ht="15" customHeight="1">
      <c r="A154" s="210"/>
      <c r="B154" s="58" t="s">
        <v>1838</v>
      </c>
      <c r="C154" s="33"/>
      <c r="D154" s="58"/>
      <c r="E154" s="61">
        <f t="shared" ca="1" si="24"/>
        <v>0</v>
      </c>
      <c r="F154" s="62">
        <f t="shared" ca="1" si="24"/>
        <v>0</v>
      </c>
      <c r="J154" s="2" t="str">
        <f t="shared" ca="1" si="25"/>
        <v>##H</v>
      </c>
      <c r="K154" s="20"/>
      <c r="L154" s="271" t="s">
        <v>1839</v>
      </c>
      <c r="M154" s="24" t="s">
        <v>50</v>
      </c>
      <c r="P154" s="2"/>
      <c r="Q154" s="2"/>
      <c r="R154" s="2"/>
      <c r="S154" s="2"/>
      <c r="T154" s="2"/>
      <c r="U154" s="2"/>
    </row>
    <row r="155" spans="1:21" ht="15" hidden="1" customHeight="1">
      <c r="A155" s="210"/>
      <c r="B155" s="58" t="s">
        <v>1840</v>
      </c>
      <c r="C155" s="33"/>
      <c r="D155" s="58"/>
      <c r="E155" s="61">
        <f t="shared" ca="1" si="24"/>
        <v>0</v>
      </c>
      <c r="F155" s="62">
        <f t="shared" ca="1" si="24"/>
        <v>0</v>
      </c>
      <c r="J155" s="2" t="str">
        <f t="shared" ca="1" si="25"/>
        <v>##H</v>
      </c>
      <c r="K155" s="20"/>
      <c r="L155" s="271" t="s">
        <v>1841</v>
      </c>
      <c r="M155" s="24" t="s">
        <v>50</v>
      </c>
      <c r="P155" s="2"/>
      <c r="Q155" s="2"/>
      <c r="R155" s="2"/>
      <c r="S155" s="2"/>
      <c r="T155" s="2"/>
      <c r="U155" s="2"/>
    </row>
    <row r="156" spans="1:21" ht="15" customHeight="1">
      <c r="A156" s="210"/>
      <c r="B156" s="58" t="s">
        <v>1842</v>
      </c>
      <c r="C156" s="33"/>
      <c r="D156" s="58"/>
      <c r="E156" s="61">
        <f t="shared" ca="1" si="24"/>
        <v>0</v>
      </c>
      <c r="F156" s="62">
        <f t="shared" ca="1" si="24"/>
        <v>0</v>
      </c>
      <c r="J156" s="2" t="str">
        <f t="shared" ca="1" si="25"/>
        <v>##H</v>
      </c>
      <c r="K156" s="20"/>
      <c r="L156" s="271" t="s">
        <v>1843</v>
      </c>
      <c r="M156" s="24" t="s">
        <v>50</v>
      </c>
      <c r="P156" s="2"/>
      <c r="Q156" s="2"/>
      <c r="R156" s="2"/>
      <c r="S156" s="2"/>
      <c r="T156" s="2"/>
      <c r="U156" s="2"/>
    </row>
    <row r="157" spans="1:21" ht="15" customHeight="1">
      <c r="A157" s="210"/>
      <c r="B157" s="58" t="s">
        <v>1844</v>
      </c>
      <c r="C157" s="33"/>
      <c r="D157" s="58"/>
      <c r="E157" s="61">
        <f t="shared" ca="1" si="24"/>
        <v>0</v>
      </c>
      <c r="F157" s="62">
        <f t="shared" ca="1" si="24"/>
        <v>0</v>
      </c>
      <c r="J157" s="2" t="str">
        <f t="shared" ca="1" si="25"/>
        <v>##H</v>
      </c>
      <c r="K157" s="20"/>
      <c r="L157" s="271" t="s">
        <v>1845</v>
      </c>
      <c r="M157" s="24" t="s">
        <v>50</v>
      </c>
      <c r="P157" s="2"/>
      <c r="Q157" s="2"/>
      <c r="R157" s="2"/>
      <c r="S157" s="2"/>
      <c r="T157" s="2"/>
      <c r="U157" s="2"/>
    </row>
    <row r="158" spans="1:21" ht="15" customHeight="1">
      <c r="A158" s="210"/>
      <c r="B158" s="58" t="s">
        <v>1846</v>
      </c>
      <c r="C158" s="33"/>
      <c r="D158" s="58"/>
      <c r="E158" s="61">
        <f t="shared" ca="1" si="24"/>
        <v>0</v>
      </c>
      <c r="F158" s="62">
        <f t="shared" ca="1" si="24"/>
        <v>0</v>
      </c>
      <c r="J158" s="2" t="str">
        <f t="shared" ca="1" si="25"/>
        <v>##H</v>
      </c>
      <c r="K158" s="20"/>
      <c r="L158" s="271" t="s">
        <v>1847</v>
      </c>
      <c r="M158" s="24" t="s">
        <v>50</v>
      </c>
      <c r="P158" s="2"/>
      <c r="Q158" s="2"/>
      <c r="R158" s="2"/>
      <c r="S158" s="2"/>
      <c r="T158" s="2"/>
      <c r="U158" s="2"/>
    </row>
    <row r="159" spans="1:21" ht="15" customHeight="1">
      <c r="A159" s="210"/>
      <c r="B159" s="58" t="s">
        <v>1848</v>
      </c>
      <c r="C159" s="33"/>
      <c r="D159" s="58"/>
      <c r="E159" s="61">
        <f t="shared" ca="1" si="24"/>
        <v>0</v>
      </c>
      <c r="F159" s="62">
        <f t="shared" ca="1" si="24"/>
        <v>0</v>
      </c>
      <c r="J159" s="2" t="str">
        <f t="shared" ca="1" si="25"/>
        <v>##H</v>
      </c>
      <c r="K159" s="20"/>
      <c r="L159" s="271" t="s">
        <v>1849</v>
      </c>
      <c r="M159" s="24" t="s">
        <v>50</v>
      </c>
      <c r="P159" s="2"/>
      <c r="Q159" s="2"/>
      <c r="R159" s="2"/>
      <c r="S159" s="2"/>
      <c r="T159" s="2"/>
      <c r="U159" s="2"/>
    </row>
    <row r="160" spans="1:21" ht="15" hidden="1" customHeight="1">
      <c r="A160" s="210"/>
      <c r="B160" s="58" t="s">
        <v>1850</v>
      </c>
      <c r="C160" s="33"/>
      <c r="D160" s="58"/>
      <c r="E160" s="78"/>
      <c r="F160" s="79"/>
      <c r="J160" s="2" t="str">
        <f t="shared" si="25"/>
        <v>##H</v>
      </c>
      <c r="K160" s="20"/>
      <c r="L160" s="271" t="s">
        <v>1851</v>
      </c>
      <c r="M160" s="24" t="s">
        <v>50</v>
      </c>
      <c r="P160" s="2"/>
      <c r="Q160" s="2"/>
      <c r="R160" s="2"/>
      <c r="S160" s="2"/>
      <c r="T160" s="2"/>
      <c r="U160" s="2"/>
    </row>
    <row r="161" spans="1:21" ht="15" customHeight="1">
      <c r="A161" s="210"/>
      <c r="B161" s="223" t="s">
        <v>1852</v>
      </c>
      <c r="C161" s="33"/>
      <c r="D161" s="223"/>
      <c r="E161" s="61">
        <f t="shared" ca="1" si="24"/>
        <v>0</v>
      </c>
      <c r="F161" s="62">
        <f t="shared" ca="1" si="24"/>
        <v>0</v>
      </c>
      <c r="J161" s="2" t="str">
        <f t="shared" ca="1" si="25"/>
        <v>##H</v>
      </c>
      <c r="K161" s="20"/>
      <c r="L161" s="271" t="s">
        <v>1853</v>
      </c>
      <c r="M161" s="24" t="s">
        <v>50</v>
      </c>
      <c r="P161" s="2"/>
      <c r="Q161" s="2"/>
      <c r="R161" s="2"/>
      <c r="S161" s="2"/>
      <c r="T161" s="2"/>
      <c r="U161" s="2"/>
    </row>
    <row r="162" spans="1:21" ht="15" customHeight="1">
      <c r="A162" s="210"/>
      <c r="B162" s="223" t="s">
        <v>1854</v>
      </c>
      <c r="C162" s="33"/>
      <c r="D162" s="223"/>
      <c r="E162" s="61">
        <f t="shared" ca="1" si="24"/>
        <v>0</v>
      </c>
      <c r="F162" s="62">
        <f t="shared" ca="1" si="24"/>
        <v>0</v>
      </c>
      <c r="J162" s="2" t="str">
        <f t="shared" ca="1" si="25"/>
        <v>##H</v>
      </c>
      <c r="K162" s="20"/>
      <c r="L162" s="271" t="s">
        <v>1855</v>
      </c>
      <c r="M162" s="24" t="s">
        <v>50</v>
      </c>
      <c r="P162" s="2"/>
      <c r="Q162" s="2"/>
      <c r="R162" s="2"/>
      <c r="S162" s="2"/>
      <c r="T162" s="2"/>
      <c r="U162" s="2"/>
    </row>
    <row r="163" spans="1:21" ht="15" customHeight="1">
      <c r="A163" s="210"/>
      <c r="B163" s="58" t="s">
        <v>1856</v>
      </c>
      <c r="C163" s="33"/>
      <c r="D163" s="58"/>
      <c r="E163" s="61">
        <f t="shared" ca="1" si="24"/>
        <v>0</v>
      </c>
      <c r="F163" s="62">
        <f t="shared" ca="1" si="24"/>
        <v>0</v>
      </c>
      <c r="J163" s="2" t="str">
        <f t="shared" ca="1" si="25"/>
        <v>##H</v>
      </c>
      <c r="K163" s="20"/>
      <c r="L163" s="271" t="s">
        <v>1857</v>
      </c>
      <c r="M163" s="24" t="s">
        <v>50</v>
      </c>
      <c r="P163" s="2"/>
      <c r="Q163" s="2"/>
      <c r="R163" s="2"/>
      <c r="S163" s="2"/>
      <c r="T163" s="2"/>
      <c r="U163" s="2"/>
    </row>
    <row r="164" spans="1:21" ht="15" customHeight="1">
      <c r="A164" s="210"/>
      <c r="B164" s="58" t="s">
        <v>1858</v>
      </c>
      <c r="C164" s="33"/>
      <c r="D164" s="58"/>
      <c r="E164" s="61">
        <f t="shared" ca="1" si="24"/>
        <v>0</v>
      </c>
      <c r="F164" s="62">
        <f t="shared" ca="1" si="24"/>
        <v>0</v>
      </c>
      <c r="J164" s="2" t="str">
        <f t="shared" ca="1" si="25"/>
        <v>##H</v>
      </c>
      <c r="K164" s="20"/>
      <c r="L164" s="271" t="s">
        <v>1859</v>
      </c>
      <c r="M164" s="24" t="s">
        <v>50</v>
      </c>
      <c r="P164" s="2"/>
      <c r="Q164" s="2"/>
      <c r="R164" s="2"/>
      <c r="S164" s="2"/>
      <c r="T164" s="2"/>
      <c r="U164" s="2"/>
    </row>
    <row r="165" spans="1:21" ht="15" customHeight="1">
      <c r="A165" s="210"/>
      <c r="B165" s="58" t="s">
        <v>1860</v>
      </c>
      <c r="C165" s="33"/>
      <c r="D165" s="58"/>
      <c r="E165" s="61">
        <f t="shared" ca="1" si="24"/>
        <v>0</v>
      </c>
      <c r="F165" s="62">
        <f t="shared" ca="1" si="24"/>
        <v>0</v>
      </c>
      <c r="J165" s="2" t="str">
        <f t="shared" ca="1" si="25"/>
        <v>##H</v>
      </c>
      <c r="K165" s="20"/>
      <c r="L165" s="271" t="s">
        <v>1861</v>
      </c>
      <c r="M165" s="24" t="s">
        <v>50</v>
      </c>
      <c r="P165" s="2"/>
      <c r="Q165" s="2"/>
      <c r="R165" s="2"/>
      <c r="S165" s="2"/>
      <c r="T165" s="2"/>
      <c r="U165" s="2"/>
    </row>
    <row r="166" spans="1:21" ht="15" customHeight="1">
      <c r="A166" s="210"/>
      <c r="B166" s="58" t="s">
        <v>1862</v>
      </c>
      <c r="C166" s="33"/>
      <c r="D166" s="58"/>
      <c r="E166" s="61">
        <f t="shared" ca="1" si="24"/>
        <v>0</v>
      </c>
      <c r="F166" s="62">
        <f t="shared" ca="1" si="24"/>
        <v>0</v>
      </c>
      <c r="J166" s="2" t="str">
        <f t="shared" ca="1" si="25"/>
        <v>##H</v>
      </c>
      <c r="K166" s="20"/>
      <c r="L166" s="271" t="s">
        <v>1863</v>
      </c>
      <c r="M166" s="24" t="s">
        <v>50</v>
      </c>
      <c r="P166" s="2"/>
      <c r="Q166" s="2"/>
      <c r="R166" s="2"/>
      <c r="S166" s="2"/>
      <c r="T166" s="2"/>
      <c r="U166" s="2"/>
    </row>
    <row r="167" spans="1:21" ht="15" customHeight="1">
      <c r="A167" s="210"/>
      <c r="B167" s="58" t="s">
        <v>392</v>
      </c>
      <c r="C167" s="33"/>
      <c r="D167" s="58"/>
      <c r="E167" s="61">
        <f t="shared" ca="1" si="24"/>
        <v>0</v>
      </c>
      <c r="F167" s="62">
        <f t="shared" ca="1" si="24"/>
        <v>0</v>
      </c>
      <c r="I167" s="123"/>
      <c r="J167" s="2" t="str">
        <f t="shared" ca="1" si="25"/>
        <v>##H</v>
      </c>
      <c r="K167" s="20"/>
      <c r="L167" s="271" t="s">
        <v>1864</v>
      </c>
      <c r="M167" s="24" t="s">
        <v>50</v>
      </c>
      <c r="P167" s="2"/>
      <c r="Q167" s="2"/>
      <c r="R167" s="2"/>
      <c r="S167" s="2"/>
      <c r="T167" s="2"/>
      <c r="U167" s="2"/>
    </row>
    <row r="168" spans="1:21" ht="15" customHeight="1">
      <c r="A168" s="210"/>
      <c r="B168" s="58" t="s">
        <v>1865</v>
      </c>
      <c r="C168" s="33"/>
      <c r="D168" s="58"/>
      <c r="E168" s="61">
        <f t="shared" ca="1" si="24"/>
        <v>0</v>
      </c>
      <c r="F168" s="62">
        <f t="shared" ca="1" si="24"/>
        <v>0</v>
      </c>
      <c r="I168" s="123"/>
      <c r="J168" s="2" t="str">
        <f t="shared" ca="1" si="25"/>
        <v>##H</v>
      </c>
      <c r="K168" s="20"/>
      <c r="L168" s="271" t="s">
        <v>1866</v>
      </c>
      <c r="M168" s="24" t="s">
        <v>50</v>
      </c>
      <c r="P168" s="2"/>
      <c r="Q168" s="2"/>
      <c r="R168" s="2"/>
      <c r="S168" s="2"/>
      <c r="T168" s="2"/>
      <c r="U168" s="2"/>
    </row>
    <row r="169" spans="1:21" ht="15" customHeight="1">
      <c r="A169" s="210"/>
      <c r="B169" s="58" t="s">
        <v>1867</v>
      </c>
      <c r="C169" s="33"/>
      <c r="D169" s="58"/>
      <c r="E169" s="61">
        <f t="shared" ca="1" si="24"/>
        <v>0</v>
      </c>
      <c r="F169" s="62">
        <f t="shared" ca="1" si="24"/>
        <v>0</v>
      </c>
      <c r="I169" s="123"/>
      <c r="J169" s="2" t="str">
        <f t="shared" ca="1" si="25"/>
        <v>##H</v>
      </c>
      <c r="K169" s="20"/>
      <c r="L169" s="271" t="s">
        <v>1868</v>
      </c>
      <c r="M169" s="24" t="s">
        <v>50</v>
      </c>
      <c r="P169" s="2"/>
      <c r="Q169" s="2"/>
      <c r="R169" s="2"/>
      <c r="S169" s="2"/>
      <c r="T169" s="2"/>
      <c r="U169" s="2"/>
    </row>
    <row r="170" spans="1:21" ht="15" hidden="1" customHeight="1">
      <c r="A170" s="210"/>
      <c r="B170" s="58" t="s">
        <v>1869</v>
      </c>
      <c r="C170" s="33"/>
      <c r="D170" s="58"/>
      <c r="E170" s="61">
        <f t="shared" ref="E170:F183" ca="1" si="26">IFERROR(INDEX(INDIRECT(VLOOKUP($M170,Source_Master,2,0),),MATCH(TEXT($L170,0),INDIRECT(VLOOKUP($M170,Source_Master,4,0)),0),MATCH(E$1,INDIRECT(VLOOKUP($M170,Source_Master,3,0),),0)),0)</f>
        <v>0</v>
      </c>
      <c r="F170" s="62">
        <f t="shared" ca="1" si="26"/>
        <v>0</v>
      </c>
      <c r="J170" s="2" t="str">
        <f t="shared" ca="1" si="25"/>
        <v>##H</v>
      </c>
      <c r="K170" s="20"/>
      <c r="L170" s="271" t="s">
        <v>1870</v>
      </c>
      <c r="M170" s="24" t="s">
        <v>50</v>
      </c>
      <c r="P170" s="2"/>
      <c r="Q170" s="2"/>
      <c r="R170" s="2"/>
      <c r="S170" s="2"/>
      <c r="T170" s="2"/>
      <c r="U170" s="2"/>
    </row>
    <row r="171" spans="1:21" ht="15" hidden="1" customHeight="1">
      <c r="A171" s="210"/>
      <c r="B171" s="58" t="s">
        <v>1871</v>
      </c>
      <c r="C171" s="33"/>
      <c r="D171" s="58"/>
      <c r="E171" s="61">
        <f t="shared" ca="1" si="26"/>
        <v>0</v>
      </c>
      <c r="F171" s="62">
        <f t="shared" ca="1" si="26"/>
        <v>0</v>
      </c>
      <c r="J171" s="2" t="str">
        <f t="shared" ca="1" si="25"/>
        <v>##H</v>
      </c>
      <c r="K171" s="20"/>
      <c r="L171" s="271" t="s">
        <v>1872</v>
      </c>
      <c r="M171" s="24" t="s">
        <v>50</v>
      </c>
      <c r="P171" s="2"/>
      <c r="Q171" s="2"/>
      <c r="R171" s="2"/>
      <c r="S171" s="2"/>
      <c r="T171" s="2"/>
      <c r="U171" s="2"/>
    </row>
    <row r="172" spans="1:21" ht="15" customHeight="1">
      <c r="A172" s="210"/>
      <c r="B172" s="58" t="s">
        <v>1873</v>
      </c>
      <c r="C172" s="33"/>
      <c r="D172" s="58"/>
      <c r="E172" s="61">
        <f t="shared" ca="1" si="26"/>
        <v>0</v>
      </c>
      <c r="F172" s="62">
        <f t="shared" ca="1" si="26"/>
        <v>0</v>
      </c>
      <c r="J172" s="2" t="str">
        <f t="shared" ca="1" si="25"/>
        <v>##H</v>
      </c>
      <c r="K172" s="20"/>
      <c r="L172" s="271" t="s">
        <v>1874</v>
      </c>
      <c r="M172" s="24" t="s">
        <v>50</v>
      </c>
      <c r="P172" s="2"/>
      <c r="Q172" s="2"/>
      <c r="R172" s="2"/>
      <c r="S172" s="2"/>
      <c r="T172" s="2"/>
      <c r="U172" s="2"/>
    </row>
    <row r="173" spans="1:21" ht="15" customHeight="1">
      <c r="A173" s="210"/>
      <c r="B173" s="58" t="s">
        <v>1875</v>
      </c>
      <c r="C173" s="33"/>
      <c r="D173" s="58"/>
      <c r="E173" s="61">
        <f t="shared" ca="1" si="26"/>
        <v>0</v>
      </c>
      <c r="F173" s="62">
        <f t="shared" ca="1" si="26"/>
        <v>0</v>
      </c>
      <c r="I173" s="123"/>
      <c r="J173" s="2" t="str">
        <f t="shared" ca="1" si="25"/>
        <v>##H</v>
      </c>
      <c r="K173" s="20"/>
      <c r="L173" s="271" t="s">
        <v>1876</v>
      </c>
      <c r="M173" s="24" t="s">
        <v>50</v>
      </c>
      <c r="P173" s="2"/>
      <c r="Q173" s="2"/>
      <c r="R173" s="2"/>
      <c r="S173" s="2"/>
      <c r="T173" s="2"/>
      <c r="U173" s="2"/>
    </row>
    <row r="174" spans="1:21" ht="15" customHeight="1">
      <c r="A174" s="210"/>
      <c r="B174" s="58" t="s">
        <v>1877</v>
      </c>
      <c r="C174" s="33"/>
      <c r="D174" s="58"/>
      <c r="E174" s="61">
        <f t="shared" ca="1" si="26"/>
        <v>0</v>
      </c>
      <c r="F174" s="62">
        <f t="shared" ca="1" si="26"/>
        <v>0</v>
      </c>
      <c r="J174" s="2" t="str">
        <f t="shared" ca="1" si="25"/>
        <v>##H</v>
      </c>
      <c r="K174" s="20"/>
      <c r="L174" s="271" t="s">
        <v>1878</v>
      </c>
      <c r="M174" s="24" t="s">
        <v>50</v>
      </c>
      <c r="P174" s="2"/>
      <c r="Q174" s="2"/>
      <c r="R174" s="2"/>
      <c r="S174" s="2"/>
      <c r="T174" s="2"/>
      <c r="U174" s="2"/>
    </row>
    <row r="175" spans="1:21" ht="15" hidden="1" customHeight="1">
      <c r="A175" s="210"/>
      <c r="B175" s="35" t="s">
        <v>1879</v>
      </c>
      <c r="C175" s="33"/>
      <c r="D175" s="265"/>
      <c r="E175" s="61">
        <f t="shared" ca="1" si="26"/>
        <v>0</v>
      </c>
      <c r="F175" s="62">
        <f t="shared" ca="1" si="26"/>
        <v>0</v>
      </c>
      <c r="J175" s="2" t="str">
        <f t="shared" ca="1" si="25"/>
        <v>##H</v>
      </c>
      <c r="K175" s="20"/>
      <c r="L175" s="271" t="s">
        <v>1880</v>
      </c>
      <c r="M175" s="24" t="s">
        <v>50</v>
      </c>
      <c r="P175" s="2"/>
      <c r="Q175" s="2"/>
      <c r="R175" s="2"/>
      <c r="S175" s="2"/>
      <c r="T175" s="2"/>
      <c r="U175" s="2"/>
    </row>
    <row r="176" spans="1:21" ht="15" customHeight="1">
      <c r="A176" s="210"/>
      <c r="B176" s="265" t="s">
        <v>1822</v>
      </c>
      <c r="C176" s="33"/>
      <c r="D176" s="265"/>
      <c r="E176" s="61">
        <f t="shared" ca="1" si="26"/>
        <v>0</v>
      </c>
      <c r="F176" s="62">
        <f t="shared" ca="1" si="26"/>
        <v>0</v>
      </c>
      <c r="J176" s="2" t="str">
        <f t="shared" ca="1" si="25"/>
        <v>##H</v>
      </c>
      <c r="K176" s="20"/>
      <c r="L176" s="271" t="s">
        <v>1881</v>
      </c>
      <c r="M176" s="24" t="s">
        <v>50</v>
      </c>
      <c r="P176" s="2"/>
      <c r="Q176" s="2"/>
      <c r="R176" s="2"/>
      <c r="S176" s="2"/>
      <c r="T176" s="2"/>
      <c r="U176" s="2"/>
    </row>
    <row r="177" spans="1:22" ht="15" customHeight="1">
      <c r="A177" s="210"/>
      <c r="B177" s="58" t="s">
        <v>1882</v>
      </c>
      <c r="C177" s="33"/>
      <c r="D177" s="58"/>
      <c r="E177" s="61">
        <f t="shared" ca="1" si="26"/>
        <v>0</v>
      </c>
      <c r="F177" s="62">
        <f t="shared" ca="1" si="26"/>
        <v>0</v>
      </c>
      <c r="J177" s="2" t="str">
        <f t="shared" ca="1" si="25"/>
        <v>##H</v>
      </c>
      <c r="K177" s="20"/>
      <c r="L177" s="271" t="s">
        <v>1883</v>
      </c>
      <c r="M177" s="24" t="s">
        <v>50</v>
      </c>
      <c r="P177" s="2"/>
      <c r="Q177" s="2"/>
      <c r="R177" s="2"/>
      <c r="S177" s="2"/>
      <c r="T177" s="2"/>
      <c r="U177" s="2"/>
    </row>
    <row r="178" spans="1:22" ht="15" customHeight="1">
      <c r="A178" s="210"/>
      <c r="B178" s="58" t="s">
        <v>1884</v>
      </c>
      <c r="C178" s="33"/>
      <c r="D178" s="58"/>
      <c r="E178" s="61">
        <f t="shared" ca="1" si="26"/>
        <v>0</v>
      </c>
      <c r="F178" s="62">
        <f t="shared" ca="1" si="26"/>
        <v>0</v>
      </c>
      <c r="J178" s="2" t="str">
        <f t="shared" ca="1" si="25"/>
        <v>##H</v>
      </c>
      <c r="K178" s="20"/>
      <c r="L178" s="271" t="s">
        <v>1885</v>
      </c>
      <c r="M178" s="24" t="s">
        <v>50</v>
      </c>
      <c r="P178" s="2"/>
      <c r="Q178" s="2"/>
      <c r="R178" s="2"/>
      <c r="S178" s="2"/>
      <c r="T178" s="2"/>
      <c r="U178" s="2"/>
    </row>
    <row r="179" spans="1:22" ht="15" hidden="1" customHeight="1">
      <c r="A179" s="210"/>
      <c r="B179" s="58" t="s">
        <v>1886</v>
      </c>
      <c r="C179" s="33"/>
      <c r="D179" s="58"/>
      <c r="E179" s="61">
        <f t="shared" ca="1" si="26"/>
        <v>0</v>
      </c>
      <c r="F179" s="62">
        <f t="shared" ca="1" si="26"/>
        <v>0</v>
      </c>
      <c r="J179" s="2" t="str">
        <f t="shared" ca="1" si="25"/>
        <v>##H</v>
      </c>
      <c r="K179" s="20"/>
      <c r="L179" s="271" t="s">
        <v>1887</v>
      </c>
      <c r="M179" s="24" t="s">
        <v>50</v>
      </c>
      <c r="P179" s="2"/>
      <c r="Q179" s="2"/>
      <c r="R179" s="2"/>
      <c r="S179" s="2"/>
      <c r="T179" s="2"/>
      <c r="U179" s="2"/>
    </row>
    <row r="180" spans="1:22" ht="15" hidden="1" customHeight="1">
      <c r="A180" s="210"/>
      <c r="B180" s="58" t="s">
        <v>1888</v>
      </c>
      <c r="C180" s="33"/>
      <c r="D180" s="1253"/>
      <c r="E180" s="61">
        <f t="shared" ca="1" si="26"/>
        <v>0</v>
      </c>
      <c r="F180" s="62">
        <f t="shared" ca="1" si="26"/>
        <v>0</v>
      </c>
      <c r="J180" s="2" t="str">
        <f t="shared" ca="1" si="25"/>
        <v>##H</v>
      </c>
      <c r="K180" s="20"/>
      <c r="L180" s="271" t="s">
        <v>1889</v>
      </c>
      <c r="M180" s="24" t="s">
        <v>50</v>
      </c>
      <c r="P180" s="2"/>
      <c r="Q180" s="2"/>
      <c r="R180" s="2"/>
      <c r="S180" s="2"/>
      <c r="T180" s="2"/>
      <c r="U180" s="2"/>
    </row>
    <row r="181" spans="1:22" ht="15" hidden="1" customHeight="1">
      <c r="A181" s="210"/>
      <c r="B181" s="58" t="s">
        <v>1890</v>
      </c>
      <c r="C181" s="33"/>
      <c r="D181" s="58"/>
      <c r="E181" s="61">
        <f t="shared" ca="1" si="26"/>
        <v>0</v>
      </c>
      <c r="F181" s="62">
        <f t="shared" ca="1" si="26"/>
        <v>0</v>
      </c>
      <c r="J181" s="2" t="str">
        <f t="shared" ca="1" si="25"/>
        <v>##H</v>
      </c>
      <c r="K181" s="20"/>
      <c r="L181" s="271" t="s">
        <v>1891</v>
      </c>
      <c r="M181" s="24" t="s">
        <v>50</v>
      </c>
      <c r="P181" s="2"/>
      <c r="Q181" s="2"/>
      <c r="R181" s="2"/>
      <c r="S181" s="2"/>
      <c r="T181" s="2"/>
      <c r="U181" s="2"/>
    </row>
    <row r="182" spans="1:22" ht="15" hidden="1" customHeight="1">
      <c r="A182" s="210"/>
      <c r="B182" s="58" t="s">
        <v>1600</v>
      </c>
      <c r="C182" s="33"/>
      <c r="D182" s="58"/>
      <c r="E182" s="61">
        <f t="shared" ca="1" si="26"/>
        <v>0</v>
      </c>
      <c r="F182" s="62">
        <f t="shared" ca="1" si="26"/>
        <v>0</v>
      </c>
      <c r="J182" s="2" t="str">
        <f t="shared" ca="1" si="25"/>
        <v>##H</v>
      </c>
      <c r="K182" s="20"/>
      <c r="L182" s="271" t="s">
        <v>1892</v>
      </c>
      <c r="M182" s="24" t="s">
        <v>50</v>
      </c>
      <c r="P182" s="2"/>
      <c r="Q182" s="2"/>
      <c r="R182" s="2"/>
      <c r="S182" s="2"/>
      <c r="T182" s="2"/>
      <c r="U182" s="2"/>
    </row>
    <row r="183" spans="1:22" ht="15" customHeight="1">
      <c r="A183" s="210"/>
      <c r="B183" s="58" t="s">
        <v>1893</v>
      </c>
      <c r="C183" s="33"/>
      <c r="D183" s="58"/>
      <c r="E183" s="61">
        <f t="shared" ca="1" si="26"/>
        <v>0</v>
      </c>
      <c r="F183" s="62">
        <f t="shared" ca="1" si="26"/>
        <v>0</v>
      </c>
      <c r="J183" s="2" t="str">
        <f t="shared" ca="1" si="25"/>
        <v>##H</v>
      </c>
      <c r="K183" s="20"/>
      <c r="L183" s="271" t="s">
        <v>1894</v>
      </c>
      <c r="M183" s="24" t="s">
        <v>50</v>
      </c>
      <c r="P183" s="2"/>
      <c r="Q183" s="2"/>
      <c r="R183" s="2"/>
      <c r="S183" s="2"/>
      <c r="T183" s="2"/>
      <c r="U183" s="2"/>
    </row>
    <row r="184" spans="1:22" ht="15" customHeight="1">
      <c r="A184" s="210"/>
      <c r="B184" s="1250" t="s">
        <v>1895</v>
      </c>
      <c r="C184" s="216"/>
      <c r="D184" s="1250"/>
      <c r="E184" s="69">
        <f ca="1">SUM(E150:E183)</f>
        <v>0</v>
      </c>
      <c r="F184" s="70">
        <f ca="1">SUM(F150:F183)</f>
        <v>0</v>
      </c>
      <c r="J184" s="2" t="str">
        <f t="shared" ca="1" si="25"/>
        <v>##H</v>
      </c>
      <c r="K184" s="20"/>
      <c r="L184" s="271"/>
      <c r="M184" s="24"/>
      <c r="N184" s="20"/>
      <c r="P184" s="2"/>
      <c r="Q184" s="2"/>
      <c r="R184" s="2"/>
      <c r="S184" s="2"/>
      <c r="T184" s="2"/>
      <c r="U184" s="2"/>
    </row>
    <row r="185" spans="1:22" ht="15" customHeight="1">
      <c r="A185" s="210"/>
      <c r="B185" s="21"/>
      <c r="C185" s="21"/>
      <c r="D185" s="21"/>
      <c r="E185" s="32"/>
      <c r="F185" s="32"/>
      <c r="G185" s="32"/>
      <c r="J185" s="20"/>
      <c r="K185" s="20"/>
      <c r="L185" s="271"/>
      <c r="N185" s="20"/>
      <c r="O185" s="20"/>
      <c r="P185" s="2"/>
      <c r="Q185" s="2"/>
      <c r="R185" s="2"/>
      <c r="S185" s="2"/>
      <c r="T185" s="2"/>
      <c r="U185" s="2"/>
      <c r="V185" s="385"/>
    </row>
    <row r="186" spans="1:22" ht="15" customHeight="1">
      <c r="A186" s="210"/>
      <c r="B186" s="1149">
        <f>NTA!F129</f>
        <v>50.1</v>
      </c>
      <c r="C186" s="1149" t="str">
        <f>NTA!C129</f>
        <v>Payment to Auditors</v>
      </c>
      <c r="E186" s="21"/>
      <c r="F186" s="1191" t="str">
        <f>+'Master Sheet'!$C$65</f>
        <v>(Amount in INR)</v>
      </c>
      <c r="H186" s="246"/>
      <c r="I186" s="220"/>
      <c r="J186" s="20"/>
      <c r="K186" s="20"/>
      <c r="L186" s="271"/>
      <c r="N186" s="20"/>
      <c r="O186" s="20"/>
      <c r="P186" s="2"/>
      <c r="Q186" s="2"/>
      <c r="R186" s="2"/>
      <c r="S186" s="2"/>
      <c r="T186" s="2"/>
      <c r="U186" s="2"/>
    </row>
    <row r="187" spans="1:22" ht="27.75" customHeight="1">
      <c r="A187" s="1264"/>
      <c r="B187" s="20"/>
      <c r="C187" s="1313" t="s">
        <v>500</v>
      </c>
      <c r="D187" s="1313"/>
      <c r="E187" s="1196" t="e">
        <f ca="1">PL_CY</f>
        <v>#NAME?</v>
      </c>
      <c r="F187" s="1197" t="e">
        <f ca="1">PL_PY</f>
        <v>#NAME?</v>
      </c>
      <c r="G187" s="210"/>
      <c r="I187" s="368"/>
      <c r="J187" s="20"/>
      <c r="K187" s="20"/>
      <c r="L187" s="271"/>
      <c r="N187" s="20"/>
      <c r="P187" s="2"/>
      <c r="Q187" s="2"/>
      <c r="R187" s="2"/>
      <c r="S187" s="2"/>
      <c r="T187" s="2"/>
      <c r="U187" s="2"/>
    </row>
    <row r="188" spans="1:22" ht="15" customHeight="1">
      <c r="A188" s="1264"/>
      <c r="B188" s="46"/>
      <c r="C188" s="81" t="s">
        <v>1896</v>
      </c>
      <c r="D188" s="386"/>
      <c r="E188" s="78"/>
      <c r="F188" s="79"/>
      <c r="J188" s="20"/>
      <c r="K188" s="20"/>
      <c r="L188" s="271"/>
      <c r="M188" s="432"/>
      <c r="P188" s="2"/>
      <c r="Q188" s="2"/>
      <c r="R188" s="2"/>
      <c r="S188" s="2"/>
      <c r="T188" s="2"/>
      <c r="U188" s="2"/>
      <c r="V188" s="2"/>
    </row>
    <row r="189" spans="1:22" ht="15" customHeight="1">
      <c r="A189" s="1264"/>
      <c r="B189" s="46"/>
      <c r="C189" s="223" t="s">
        <v>1897</v>
      </c>
      <c r="D189" s="386"/>
      <c r="E189" s="61">
        <f t="shared" ref="E189:F195" ca="1" si="27">IFERROR(INDEX(INDIRECT(VLOOKUP($M189,Source_Master,2,0),),MATCH(TEXT($L189,0),INDIRECT(VLOOKUP($M189,Source_Master,4,0)),0),MATCH(E$1,INDIRECT(VLOOKUP($M189,Source_Master,3,0),),0)),0)</f>
        <v>0</v>
      </c>
      <c r="F189" s="62">
        <f t="shared" ca="1" si="27"/>
        <v>0</v>
      </c>
      <c r="H189" s="210"/>
      <c r="J189" s="2" t="str">
        <f t="shared" ref="J189:J196" ca="1" si="28">IF(AND(E189=0,F189=0),"##H","")</f>
        <v>##H</v>
      </c>
      <c r="K189" s="123"/>
      <c r="L189" s="271" t="s">
        <v>1898</v>
      </c>
      <c r="M189" s="24" t="s">
        <v>51</v>
      </c>
      <c r="P189" s="2"/>
      <c r="Q189" s="2"/>
      <c r="R189" s="2"/>
      <c r="S189" s="2"/>
      <c r="T189" s="2"/>
      <c r="U189" s="2"/>
    </row>
    <row r="190" spans="1:22" ht="15" hidden="1" customHeight="1">
      <c r="A190" s="1264"/>
      <c r="B190" s="46"/>
      <c r="C190" s="223" t="s">
        <v>1899</v>
      </c>
      <c r="D190" s="386"/>
      <c r="E190" s="61">
        <f t="shared" ca="1" si="27"/>
        <v>0</v>
      </c>
      <c r="F190" s="62">
        <f t="shared" ca="1" si="27"/>
        <v>0</v>
      </c>
      <c r="H190" s="210"/>
      <c r="J190" s="2" t="str">
        <f t="shared" ca="1" si="28"/>
        <v>##H</v>
      </c>
      <c r="K190" s="20"/>
      <c r="L190" s="271" t="s">
        <v>1900</v>
      </c>
      <c r="M190" s="24" t="s">
        <v>51</v>
      </c>
      <c r="P190" s="2"/>
      <c r="Q190" s="2"/>
      <c r="R190" s="2"/>
      <c r="S190" s="2"/>
      <c r="T190" s="2"/>
      <c r="U190" s="2"/>
    </row>
    <row r="191" spans="1:22" ht="15" hidden="1" customHeight="1">
      <c r="A191" s="1264"/>
      <c r="B191" s="46"/>
      <c r="C191" s="223" t="s">
        <v>1901</v>
      </c>
      <c r="D191" s="386"/>
      <c r="E191" s="61">
        <f t="shared" ca="1" si="27"/>
        <v>0</v>
      </c>
      <c r="F191" s="62">
        <f t="shared" ca="1" si="27"/>
        <v>0</v>
      </c>
      <c r="H191" s="210"/>
      <c r="J191" s="2" t="str">
        <f t="shared" ca="1" si="28"/>
        <v>##H</v>
      </c>
      <c r="K191" s="20"/>
      <c r="L191" s="271"/>
      <c r="M191" s="24" t="s">
        <v>51</v>
      </c>
      <c r="P191" s="2"/>
      <c r="Q191" s="2"/>
      <c r="R191" s="2"/>
      <c r="S191" s="2"/>
      <c r="T191" s="2"/>
      <c r="U191" s="2"/>
    </row>
    <row r="192" spans="1:22" ht="15" hidden="1" customHeight="1">
      <c r="A192" s="1264"/>
      <c r="B192" s="46"/>
      <c r="C192" s="223" t="s">
        <v>1902</v>
      </c>
      <c r="D192" s="386"/>
      <c r="E192" s="61">
        <f t="shared" ca="1" si="27"/>
        <v>0</v>
      </c>
      <c r="F192" s="62">
        <f t="shared" ca="1" si="27"/>
        <v>0</v>
      </c>
      <c r="H192" s="210"/>
      <c r="J192" s="2" t="str">
        <f t="shared" ca="1" si="28"/>
        <v>##H</v>
      </c>
      <c r="K192" s="20"/>
      <c r="L192" s="271" t="s">
        <v>1903</v>
      </c>
      <c r="M192" s="24" t="s">
        <v>51</v>
      </c>
      <c r="P192" s="2"/>
      <c r="Q192" s="2"/>
      <c r="R192" s="2"/>
      <c r="S192" s="2"/>
      <c r="T192" s="2"/>
      <c r="U192" s="2"/>
    </row>
    <row r="193" spans="1:21" ht="15" customHeight="1">
      <c r="A193" s="1264"/>
      <c r="B193" s="46"/>
      <c r="C193" s="223" t="s">
        <v>1904</v>
      </c>
      <c r="D193" s="386"/>
      <c r="E193" s="61">
        <f t="shared" ca="1" si="27"/>
        <v>0</v>
      </c>
      <c r="F193" s="62">
        <f t="shared" ca="1" si="27"/>
        <v>0</v>
      </c>
      <c r="H193" s="210"/>
      <c r="J193" s="2" t="str">
        <f t="shared" ca="1" si="28"/>
        <v>##H</v>
      </c>
      <c r="K193" s="123"/>
      <c r="L193" s="271" t="s">
        <v>1905</v>
      </c>
      <c r="M193" s="24" t="s">
        <v>51</v>
      </c>
      <c r="P193" s="2"/>
      <c r="Q193" s="2"/>
      <c r="R193" s="2"/>
      <c r="S193" s="2"/>
      <c r="T193" s="2"/>
      <c r="U193" s="2"/>
    </row>
    <row r="194" spans="1:21" ht="15" customHeight="1">
      <c r="A194" s="1264"/>
      <c r="B194" s="46"/>
      <c r="C194" s="223" t="s">
        <v>1906</v>
      </c>
      <c r="D194" s="386"/>
      <c r="E194" s="61">
        <f t="shared" ca="1" si="27"/>
        <v>0</v>
      </c>
      <c r="F194" s="62">
        <f t="shared" ca="1" si="27"/>
        <v>0</v>
      </c>
      <c r="J194" s="2" t="str">
        <f t="shared" ca="1" si="28"/>
        <v>##H</v>
      </c>
      <c r="K194" s="123"/>
      <c r="L194" s="271" t="s">
        <v>1907</v>
      </c>
      <c r="M194" s="24" t="s">
        <v>51</v>
      </c>
      <c r="P194" s="2"/>
      <c r="Q194" s="2"/>
      <c r="R194" s="2"/>
      <c r="S194" s="2"/>
      <c r="T194" s="2"/>
      <c r="U194" s="2"/>
    </row>
    <row r="195" spans="1:21" ht="15" hidden="1" customHeight="1">
      <c r="A195" s="1264"/>
      <c r="B195" s="46"/>
      <c r="C195" s="81" t="s">
        <v>1908</v>
      </c>
      <c r="D195" s="386"/>
      <c r="E195" s="61">
        <f t="shared" ca="1" si="27"/>
        <v>0</v>
      </c>
      <c r="F195" s="62">
        <f t="shared" ca="1" si="27"/>
        <v>0</v>
      </c>
      <c r="J195" s="2" t="str">
        <f t="shared" ca="1" si="28"/>
        <v>##H</v>
      </c>
      <c r="K195" s="20"/>
      <c r="L195" s="271"/>
      <c r="M195" s="24" t="s">
        <v>51</v>
      </c>
      <c r="P195" s="2"/>
      <c r="Q195" s="2"/>
      <c r="R195" s="2"/>
      <c r="S195" s="2"/>
      <c r="T195" s="2"/>
      <c r="U195" s="2"/>
    </row>
    <row r="196" spans="1:21" ht="15" customHeight="1">
      <c r="A196" s="1264"/>
      <c r="B196" s="210" t="s">
        <v>1824</v>
      </c>
      <c r="C196" s="1250" t="s">
        <v>246</v>
      </c>
      <c r="D196" s="216"/>
      <c r="E196" s="69">
        <f ca="1">SUM(E189:E195)</f>
        <v>0</v>
      </c>
      <c r="F196" s="70">
        <f ca="1">SUM(F188:F195)</f>
        <v>0</v>
      </c>
      <c r="J196" s="2" t="str">
        <f t="shared" ca="1" si="28"/>
        <v>##H</v>
      </c>
      <c r="K196" s="20"/>
      <c r="L196" s="271"/>
      <c r="M196" s="24"/>
      <c r="N196" s="20"/>
      <c r="P196" s="2"/>
      <c r="Q196" s="2"/>
      <c r="R196" s="2"/>
      <c r="S196" s="2"/>
      <c r="T196" s="2"/>
      <c r="U196" s="2"/>
    </row>
    <row r="197" spans="1:21" ht="15" customHeight="1">
      <c r="A197" s="1264"/>
      <c r="B197" s="20"/>
      <c r="C197" s="20"/>
      <c r="D197" s="32"/>
      <c r="E197" s="32"/>
      <c r="F197" s="32"/>
      <c r="J197" s="20"/>
      <c r="K197" s="20"/>
      <c r="L197" s="271"/>
      <c r="N197" s="20"/>
      <c r="P197" s="2"/>
      <c r="Q197" s="2"/>
      <c r="R197" s="2"/>
      <c r="S197" s="2"/>
      <c r="T197" s="2"/>
      <c r="U197" s="2"/>
    </row>
    <row r="198" spans="1:21" ht="15" customHeight="1">
      <c r="A198" s="1264"/>
      <c r="C198" s="20"/>
      <c r="D198" s="1528"/>
      <c r="E198" s="20"/>
      <c r="H198" s="1574"/>
      <c r="J198" s="20"/>
      <c r="K198" s="20"/>
      <c r="L198" s="271"/>
      <c r="M198" s="24"/>
      <c r="N198" s="20"/>
      <c r="O198" s="20"/>
      <c r="P198" s="21"/>
      <c r="Q198" s="2"/>
      <c r="R198" s="2"/>
      <c r="S198" s="2"/>
    </row>
    <row r="199" spans="1:21" s="21" customFormat="1">
      <c r="A199" s="1264"/>
      <c r="B199" s="50"/>
      <c r="C199" s="20"/>
      <c r="D199" s="1528"/>
      <c r="E199" s="20"/>
      <c r="F199" s="20"/>
      <c r="G199" s="20"/>
      <c r="H199" s="1573"/>
      <c r="L199" s="29"/>
      <c r="M199" s="24"/>
      <c r="N199" s="20"/>
      <c r="O199" s="20"/>
    </row>
    <row r="200" spans="1:21" s="21" customFormat="1" ht="5.0999999999999996" customHeight="1">
      <c r="A200" s="1264"/>
      <c r="B200" s="50"/>
      <c r="C200" s="20"/>
      <c r="D200" s="1528"/>
      <c r="E200" s="20"/>
      <c r="F200" s="20"/>
      <c r="G200" s="20"/>
      <c r="H200" s="1569"/>
      <c r="L200" s="29"/>
      <c r="M200" s="24"/>
      <c r="N200" s="20"/>
      <c r="O200" s="20"/>
      <c r="P200" s="20"/>
    </row>
    <row r="201" spans="1:21">
      <c r="A201" s="1264"/>
      <c r="C201" s="20"/>
      <c r="D201" s="1528"/>
      <c r="E201" s="20"/>
      <c r="H201" s="2"/>
      <c r="J201" s="39"/>
      <c r="K201" s="39"/>
      <c r="M201" s="24"/>
      <c r="N201" s="20"/>
      <c r="O201" s="20"/>
    </row>
    <row r="202" spans="1:21">
      <c r="A202" s="1264"/>
      <c r="C202" s="20"/>
      <c r="D202" s="1528"/>
      <c r="E202" s="20"/>
      <c r="H202" s="2"/>
      <c r="J202" s="39"/>
      <c r="K202" s="39"/>
      <c r="M202" s="24"/>
      <c r="N202" s="20"/>
      <c r="O202" s="20"/>
    </row>
    <row r="203" spans="1:21">
      <c r="A203" s="1264"/>
      <c r="C203" s="20"/>
      <c r="D203" s="1528"/>
      <c r="E203" s="20"/>
      <c r="H203" s="2"/>
      <c r="J203" s="39"/>
      <c r="K203" s="39"/>
      <c r="M203" s="24"/>
      <c r="O203" s="20"/>
    </row>
    <row r="204" spans="1:21">
      <c r="A204" s="1264"/>
      <c r="E204" s="1528"/>
      <c r="H204" s="2"/>
      <c r="J204" s="39"/>
      <c r="K204" s="39"/>
    </row>
    <row r="205" spans="1:21">
      <c r="A205" s="1264"/>
      <c r="E205" s="1528"/>
      <c r="H205" s="2"/>
      <c r="J205" s="39"/>
      <c r="K205" s="39"/>
    </row>
    <row r="206" spans="1:21">
      <c r="A206" s="1264"/>
      <c r="E206" s="1528"/>
      <c r="I206" s="2"/>
      <c r="J206" s="20"/>
      <c r="K206" s="20"/>
      <c r="L206" s="271"/>
    </row>
  </sheetData>
  <sheetProtection algorithmName="SHA-512" hashValue="avBUQzPUYjrU2PB3IRBqRjkiuL/P2OVyRZ90H6sNeAsE2u9r0xxn5i3vjCk3OZLTqTLlRd3PJrBJIzKKFGqqsw==" saltValue="I22DxsLsh0NYrywdht8fkg==" spinCount="100000" sheet="1" objects="1" scenarios="1"/>
  <mergeCells count="21">
    <mergeCell ref="B8:D8"/>
    <mergeCell ref="C17:D17"/>
    <mergeCell ref="C33:D33"/>
    <mergeCell ref="C53:D53"/>
    <mergeCell ref="B59:D59"/>
    <mergeCell ref="C15:F15"/>
    <mergeCell ref="B149:D149"/>
    <mergeCell ref="C187:D187"/>
    <mergeCell ref="B41:F41"/>
    <mergeCell ref="C44:F44"/>
    <mergeCell ref="C45:F45"/>
    <mergeCell ref="C46:F46"/>
    <mergeCell ref="C47:F47"/>
    <mergeCell ref="C50:F50"/>
    <mergeCell ref="B76:D76"/>
    <mergeCell ref="B84:D84"/>
    <mergeCell ref="B92:D92"/>
    <mergeCell ref="B109:D109"/>
    <mergeCell ref="B120:D120"/>
    <mergeCell ref="B129:D129"/>
    <mergeCell ref="B142:D142"/>
  </mergeCells>
  <pageMargins left="0.5" right="0.5" top="0.5" bottom="0.5" header="0" footer="0"/>
  <pageSetup paperSize="9" scale="40" fitToHeight="0" orientation="portrait" r:id="rId1"/>
  <headerFooter alignWithMargins="0"/>
  <rowBreaks count="3" manualBreakCount="3">
    <brk id="50" max="6" man="1"/>
    <brk id="107" max="6" man="1"/>
    <brk id="147" max="6" man="1"/>
  </rowBreaks>
  <extLst>
    <ext xmlns:x14="http://schemas.microsoft.com/office/spreadsheetml/2009/9/main" uri="{CCE6A557-97BC-4b89-ADB6-D9C93CAAB3DF}">
      <x14:dataValidations xmlns:xm="http://schemas.microsoft.com/office/excel/2006/main" count="1">
        <x14:dataValidation type="list" allowBlank="1" showInputMessage="1" showErrorMessage="1" xr:uid="{17F16223-54DE-44B1-A7F6-53C4D0E68E9F}">
          <x14:formula1>
            <xm:f>'Master Sheet'!$C$37:$C$41</xm:f>
          </x14:formula1>
          <xm:sqref>M11 M189:M196 M150:M184 M143:M146 M19:M24 M121:M126 M110:M117 M94:M97 M60:M73 M34:M38 M26:M30 M130:M139 M81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7595A-13FC-4208-9DD8-D71544465D63}">
  <sheetPr codeName="Sheet31">
    <tabColor theme="5" tint="0.59999389629810485"/>
    <pageSetUpPr fitToPage="1"/>
  </sheetPr>
  <dimension ref="A1:W399"/>
  <sheetViews>
    <sheetView showGridLines="0" view="pageBreakPreview" zoomScaleNormal="100" zoomScaleSheetLayoutView="100" workbookViewId="0">
      <pane ySplit="2" topLeftCell="A3" activePane="bottomLeft" state="frozen"/>
      <selection pane="bottomLeft" activeCell="A3" sqref="A3"/>
    </sheetView>
  </sheetViews>
  <sheetFormatPr defaultColWidth="8.85546875" defaultRowHeight="13.15" outlineLevelRow="1" outlineLevelCol="2"/>
  <cols>
    <col min="1" max="1" customWidth="true" style="2" width="3.7109375"/>
    <col min="2" max="2" customWidth="true" style="2" width="5.28515625"/>
    <col min="3" max="3" customWidth="true" style="2" width="11.0"/>
    <col min="4" max="4" customWidth="true" style="2" width="34.5703125"/>
    <col min="5" max="5" customWidth="true" style="2" width="32.7109375"/>
    <col min="6" max="6" customWidth="true" style="2" width="18.28515625"/>
    <col min="7" max="7" customWidth="true" style="2" width="20.0"/>
    <col min="8" max="8" customWidth="true" style="2" width="18.28515625"/>
    <col min="9" max="9" customWidth="true" style="2" width="19.28515625"/>
    <col min="10" max="10" customWidth="true" style="2" width="3.28515625"/>
    <col min="11" max="11" customWidth="true" hidden="true" style="2" width="12.42578125" outlineLevel="1"/>
    <col min="12" max="13" customWidth="true" hidden="true" style="2" width="17.28515625" outlineLevel="1"/>
    <col min="14" max="14" customWidth="true" hidden="true" style="2" width="8.85546875" outlineLevel="1"/>
    <col min="15" max="19" customWidth="true" hidden="true" style="24" width="13.7109375" outlineLevel="2"/>
    <col min="20" max="20" customWidth="true" hidden="true" style="2" width="13.7109375" outlineLevel="2"/>
    <col min="21" max="26" customWidth="true" hidden="true" style="2" width="8.85546875" outlineLevel="1"/>
    <col min="27" max="27" style="2" width="8.85546875" collapsed="true"/>
    <col min="28" max="16384" style="2" width="8.85546875"/>
  </cols>
  <sheetData>
    <row r="1" spans="1:23" hidden="1" outlineLevel="1">
      <c r="G1" s="1595" t="str">
        <f>BS!C1</f>
        <v>7756|001|INR|Actual|Standalone</v>
      </c>
      <c r="I1" s="1198" t="str">
        <f>BS!D1</f>
        <v>7756|002|INR|Actual|Standalone</v>
      </c>
      <c r="M1" s="2" t="str">
        <f t="shared" ref="M1" si="0">IF(AND(G1=0,I1=0),"##H","")</f>
        <v/>
      </c>
    </row>
    <row r="2" spans="1:23" hidden="1" outlineLevel="1"/>
    <row r="3" spans="1:23" ht="17.45" collapsed="1">
      <c r="A3" s="1077" t="e">
        <f ca="1">Company</f>
        <v>#NAME?</v>
      </c>
      <c r="B3" s="721"/>
      <c r="C3" s="721"/>
    </row>
    <row r="4" spans="1:23" ht="15.6">
      <c r="A4" s="1078" t="e">
        <f ca="1">Note_Head</f>
        <v>#NAME?</v>
      </c>
      <c r="B4" s="1"/>
      <c r="C4" s="1"/>
    </row>
    <row r="7" spans="1:23">
      <c r="B7" s="1123">
        <f>NTA!F130</f>
        <v>50.2</v>
      </c>
      <c r="C7" s="1123" t="str">
        <f>NTA!C130</f>
        <v>Corporate Social Responsibility (CSR)</v>
      </c>
      <c r="I7" s="918" t="s">
        <v>1909</v>
      </c>
      <c r="K7" s="22"/>
      <c r="L7" s="22"/>
      <c r="N7" s="246" t="s">
        <v>969</v>
      </c>
      <c r="O7" s="998" t="s">
        <v>169</v>
      </c>
      <c r="P7" s="591" t="s">
        <v>492</v>
      </c>
      <c r="Q7" s="2"/>
      <c r="T7" s="24"/>
      <c r="U7" s="24"/>
      <c r="V7" s="24"/>
    </row>
    <row r="8" spans="1:23" hidden="1" outlineLevel="1">
      <c r="C8" s="1313" t="s">
        <v>500</v>
      </c>
      <c r="D8" s="1313"/>
      <c r="E8" s="1313"/>
      <c r="F8" s="1459" t="e">
        <f ca="1">PL_CY</f>
        <v>#NAME?</v>
      </c>
      <c r="G8" s="1459"/>
      <c r="H8" s="1460" t="e">
        <f ca="1">PL_PY</f>
        <v>#NAME?</v>
      </c>
      <c r="I8" s="1460"/>
      <c r="K8" s="22"/>
      <c r="L8" s="22"/>
      <c r="O8" s="295"/>
      <c r="P8" s="999" t="s">
        <v>492</v>
      </c>
      <c r="Q8" s="2"/>
      <c r="T8" s="24"/>
      <c r="U8" s="24"/>
      <c r="V8" s="24"/>
    </row>
    <row r="9" spans="1:23" hidden="1" outlineLevel="1">
      <c r="C9" s="58" t="s">
        <v>1910</v>
      </c>
      <c r="D9" s="20"/>
      <c r="E9" s="20"/>
      <c r="F9" s="1538"/>
      <c r="G9" s="78">
        <v>0</v>
      </c>
      <c r="H9" s="1528"/>
      <c r="I9" s="452">
        <v>0</v>
      </c>
      <c r="K9" s="22"/>
      <c r="L9" s="22"/>
      <c r="M9" s="2" t="str">
        <f t="shared" ref="M9:M14" si="1">IF(AND(G9=0,I9=0),"##H","")</f>
        <v>##H</v>
      </c>
      <c r="O9" s="295"/>
      <c r="P9" s="24" t="s">
        <v>492</v>
      </c>
      <c r="Q9" s="2"/>
      <c r="R9" s="271" t="s">
        <v>1911</v>
      </c>
      <c r="T9" s="24"/>
      <c r="U9" s="24"/>
      <c r="V9" s="24"/>
      <c r="W9" s="24" t="s">
        <v>51</v>
      </c>
    </row>
    <row r="10" spans="1:23" hidden="1" outlineLevel="1">
      <c r="C10" s="58" t="s">
        <v>1912</v>
      </c>
      <c r="D10" s="58"/>
      <c r="E10" s="58"/>
      <c r="F10" s="65"/>
      <c r="G10" s="65">
        <v>0</v>
      </c>
      <c r="H10" s="66"/>
      <c r="I10" s="452">
        <v>0</v>
      </c>
      <c r="K10" s="22"/>
      <c r="L10" s="22"/>
      <c r="M10" s="2" t="str">
        <f t="shared" si="1"/>
        <v>##H</v>
      </c>
      <c r="O10" s="295"/>
      <c r="P10" s="24" t="s">
        <v>492</v>
      </c>
      <c r="Q10" s="2"/>
      <c r="R10" s="271" t="s">
        <v>1913</v>
      </c>
      <c r="T10" s="24"/>
      <c r="U10" s="24"/>
      <c r="V10" s="24"/>
      <c r="W10" s="24" t="s">
        <v>51</v>
      </c>
    </row>
    <row r="11" spans="1:23" hidden="1" outlineLevel="1">
      <c r="C11" s="58" t="s">
        <v>1914</v>
      </c>
      <c r="D11" s="58"/>
      <c r="E11" s="1253"/>
      <c r="F11" s="453"/>
      <c r="G11" s="453">
        <v>0</v>
      </c>
      <c r="H11" s="476"/>
      <c r="I11" s="452">
        <v>0</v>
      </c>
      <c r="K11" s="22"/>
      <c r="L11" s="22"/>
      <c r="M11" s="2" t="str">
        <f t="shared" si="1"/>
        <v>##H</v>
      </c>
      <c r="O11" s="295"/>
      <c r="P11" s="24" t="s">
        <v>492</v>
      </c>
      <c r="Q11" s="2"/>
      <c r="R11" s="271" t="s">
        <v>1915</v>
      </c>
      <c r="T11" s="24"/>
      <c r="U11" s="24"/>
      <c r="V11" s="24"/>
      <c r="W11" s="24" t="s">
        <v>51</v>
      </c>
    </row>
    <row r="12" spans="1:23" hidden="1" outlineLevel="1">
      <c r="C12" s="67" t="s">
        <v>1916</v>
      </c>
      <c r="D12" s="58"/>
      <c r="E12" s="1253"/>
      <c r="F12" s="462"/>
      <c r="G12" s="462">
        <v>0</v>
      </c>
      <c r="H12" s="477"/>
      <c r="I12" s="452">
        <v>0</v>
      </c>
      <c r="K12" s="22"/>
      <c r="L12" s="22"/>
      <c r="M12" s="2" t="str">
        <f t="shared" si="1"/>
        <v>##H</v>
      </c>
      <c r="O12" s="295"/>
      <c r="P12" s="24" t="s">
        <v>492</v>
      </c>
      <c r="Q12" s="2"/>
      <c r="R12" s="271" t="s">
        <v>1917</v>
      </c>
      <c r="T12" s="24"/>
      <c r="U12" s="24"/>
      <c r="V12" s="24"/>
      <c r="W12" s="24" t="s">
        <v>51</v>
      </c>
    </row>
    <row r="13" spans="1:23" hidden="1" outlineLevel="1">
      <c r="C13" s="67" t="s">
        <v>1918</v>
      </c>
      <c r="D13" s="58"/>
      <c r="E13" s="1253"/>
      <c r="F13" s="462"/>
      <c r="G13" s="462">
        <v>0</v>
      </c>
      <c r="H13" s="477"/>
      <c r="I13" s="452">
        <v>0</v>
      </c>
      <c r="K13" s="22"/>
      <c r="L13" s="22"/>
      <c r="M13" s="2" t="str">
        <f t="shared" si="1"/>
        <v>##H</v>
      </c>
      <c r="O13" s="295"/>
      <c r="P13" s="24" t="s">
        <v>492</v>
      </c>
      <c r="Q13" s="2"/>
      <c r="R13" s="271" t="s">
        <v>1917</v>
      </c>
      <c r="T13" s="24"/>
      <c r="U13" s="24"/>
      <c r="V13" s="24"/>
      <c r="W13" s="24" t="s">
        <v>51</v>
      </c>
    </row>
    <row r="14" spans="1:23" hidden="1" outlineLevel="1">
      <c r="C14" s="177" t="s">
        <v>1919</v>
      </c>
      <c r="D14" s="177"/>
      <c r="E14" s="177"/>
      <c r="F14" s="388"/>
      <c r="G14" s="388">
        <v>0</v>
      </c>
      <c r="H14" s="484"/>
      <c r="I14" s="455">
        <v>0</v>
      </c>
      <c r="K14" s="22"/>
      <c r="L14" s="22"/>
      <c r="M14" s="2" t="str">
        <f t="shared" si="1"/>
        <v>##H</v>
      </c>
      <c r="O14" s="295"/>
      <c r="P14" s="24" t="s">
        <v>492</v>
      </c>
      <c r="Q14" s="2"/>
      <c r="R14" s="271" t="s">
        <v>1917</v>
      </c>
      <c r="T14" s="24"/>
      <c r="U14" s="24"/>
      <c r="V14" s="24"/>
      <c r="W14" s="24" t="s">
        <v>51</v>
      </c>
    </row>
    <row r="15" spans="1:23" hidden="1" outlineLevel="1">
      <c r="K15" s="22"/>
      <c r="L15" s="22"/>
      <c r="O15" s="295"/>
      <c r="Q15" s="2"/>
      <c r="T15" s="24"/>
      <c r="U15" s="24"/>
      <c r="V15" s="24"/>
    </row>
    <row r="16" spans="1:23" hidden="1" outlineLevel="1">
      <c r="C16" s="25" t="s">
        <v>1920</v>
      </c>
      <c r="K16" s="22"/>
      <c r="L16" s="22"/>
      <c r="O16" s="295"/>
      <c r="Q16" s="2"/>
      <c r="T16" s="24"/>
      <c r="U16" s="24"/>
      <c r="V16" s="24"/>
    </row>
    <row r="17" spans="3:23" hidden="1" outlineLevel="1">
      <c r="C17" s="15" t="s">
        <v>1921</v>
      </c>
      <c r="K17" s="22"/>
      <c r="L17" s="22"/>
      <c r="O17" s="295"/>
      <c r="Q17" s="2"/>
      <c r="T17" s="24"/>
      <c r="U17" s="24"/>
      <c r="V17" s="24"/>
    </row>
    <row r="18" spans="3:23" hidden="1" outlineLevel="1">
      <c r="C18" s="15"/>
      <c r="K18" s="22"/>
      <c r="L18" s="22"/>
      <c r="O18" s="295"/>
      <c r="Q18" s="2"/>
      <c r="T18" s="24"/>
      <c r="U18" s="24"/>
      <c r="V18" s="24"/>
    </row>
    <row r="19" spans="3:23" hidden="1" outlineLevel="1">
      <c r="C19" s="930" t="s">
        <v>30</v>
      </c>
      <c r="K19" s="22"/>
      <c r="L19" s="22"/>
      <c r="O19" s="295"/>
      <c r="P19" s="1199" t="str">
        <f ca="1">P20</f>
        <v>##H</v>
      </c>
      <c r="Q19" s="2"/>
      <c r="T19" s="24"/>
      <c r="U19" s="24"/>
      <c r="V19" s="24"/>
    </row>
    <row r="20" spans="3:23" ht="13.9" hidden="1" outlineLevel="1">
      <c r="C20" s="1461" t="s">
        <v>1922</v>
      </c>
      <c r="D20" s="1461"/>
      <c r="E20" s="1461"/>
      <c r="F20" s="1461"/>
      <c r="G20" s="1461"/>
      <c r="H20" s="1461"/>
      <c r="I20" s="1461"/>
      <c r="K20" s="22"/>
      <c r="L20" s="22"/>
      <c r="O20" s="295"/>
      <c r="P20" s="1199" t="str">
        <f ca="1">P21</f>
        <v>##H</v>
      </c>
      <c r="Q20" s="2"/>
      <c r="T20" s="24"/>
      <c r="U20" s="24"/>
      <c r="V20" s="24"/>
    </row>
    <row r="21" spans="3:23" ht="26.45" hidden="1" outlineLevel="1">
      <c r="C21" s="1462" t="e">
        <f ca="1">PPE_OP_BAL</f>
        <v>#NAME?</v>
      </c>
      <c r="D21" s="1463"/>
      <c r="E21" s="1000" t="s">
        <v>1923</v>
      </c>
      <c r="F21" s="1464" t="s">
        <v>1914</v>
      </c>
      <c r="G21" s="1464"/>
      <c r="H21" s="1465" t="e">
        <f ca="1">PPE_CL_BAL</f>
        <v>#NAME?</v>
      </c>
      <c r="I21" s="1466"/>
      <c r="K21" s="22"/>
      <c r="L21" s="22"/>
      <c r="O21" s="295"/>
      <c r="P21" s="1199" t="str">
        <f ca="1">P22</f>
        <v>##H</v>
      </c>
      <c r="Q21" s="2"/>
      <c r="T21" s="24"/>
      <c r="U21" s="24"/>
      <c r="V21" s="24"/>
    </row>
    <row r="22" spans="3:23" ht="26.45" hidden="1" outlineLevel="1">
      <c r="C22" s="1001" t="s">
        <v>1924</v>
      </c>
      <c r="D22" s="1002" t="s">
        <v>1925</v>
      </c>
      <c r="E22" s="1003"/>
      <c r="F22" s="1004" t="s">
        <v>1926</v>
      </c>
      <c r="G22" s="1004" t="s">
        <v>1927</v>
      </c>
      <c r="H22" s="1002" t="s">
        <v>1924</v>
      </c>
      <c r="I22" s="1005" t="s">
        <v>1925</v>
      </c>
      <c r="K22" s="22"/>
      <c r="L22" s="22"/>
      <c r="O22" s="295"/>
      <c r="P22" s="1199" t="str">
        <f ca="1">P23</f>
        <v>##H</v>
      </c>
      <c r="Q22" s="2"/>
      <c r="T22" s="24"/>
      <c r="U22" s="24"/>
      <c r="V22" s="24"/>
    </row>
    <row r="23" spans="3:23" hidden="1" outlineLevel="1">
      <c r="C23" s="1267">
        <f ca="1">H33</f>
        <v>0</v>
      </c>
      <c r="D23" s="1268">
        <f ca="1">I33</f>
        <v>0</v>
      </c>
      <c r="E23" s="1268">
        <f ca="1">IFERROR(INDEX(INDIRECT(VLOOKUP($W23,Source_Master,2,0),),MATCH(TEXT($T23,0),INDIRECT(VLOOKUP($W23,Source_Master,4,0)),0),MATCH(G$1,INDIRECT(VLOOKUP($W23,Source_Master,3,0),),0)),0)</f>
        <v>0</v>
      </c>
      <c r="F23" s="1268">
        <f ca="1">IFERROR(INDEX(INDIRECT(VLOOKUP($W23,Source_Master,2,0),),MATCH(TEXT($U23,0),INDIRECT(VLOOKUP($W23,Source_Master,4,0)),0),MATCH(G$1,INDIRECT(VLOOKUP($W23,Source_Master,3,0),),0)),0)</f>
        <v>0</v>
      </c>
      <c r="G23" s="1268">
        <f ca="1">IFERROR(INDEX(INDIRECT(VLOOKUP($W23,Source_Master,2,0),),MATCH(TEXT($V23,0),INDIRECT(VLOOKUP($W23,Source_Master,4,0)),0),MATCH(G$1,INDIRECT(VLOOKUP($W23,Source_Master,3,0),),0)),0)</f>
        <v>0</v>
      </c>
      <c r="H23" s="1268">
        <f ca="1">C23+E23-F23</f>
        <v>0</v>
      </c>
      <c r="I23" s="1020">
        <v>0</v>
      </c>
      <c r="K23" s="22"/>
      <c r="L23" s="22"/>
      <c r="O23" s="295"/>
      <c r="P23" s="1199" t="str">
        <f ca="1">IF(AND(C23=0,D23=0,E23=0,F23=0,G23=0),"##H","")</f>
        <v>##H</v>
      </c>
      <c r="Q23" s="2"/>
      <c r="R23" s="271" t="s">
        <v>1928</v>
      </c>
      <c r="S23" s="271" t="s">
        <v>1929</v>
      </c>
      <c r="T23" s="271" t="s">
        <v>1911</v>
      </c>
      <c r="U23" s="24" t="s">
        <v>1913</v>
      </c>
      <c r="V23" s="24" t="s">
        <v>1915</v>
      </c>
      <c r="W23" s="24" t="s">
        <v>51</v>
      </c>
    </row>
    <row r="24" spans="3:23" hidden="1" outlineLevel="1">
      <c r="K24" s="22"/>
      <c r="L24" s="22"/>
      <c r="O24" s="295"/>
      <c r="Q24" s="2"/>
      <c r="T24" s="24"/>
      <c r="U24" s="24"/>
      <c r="V24" s="24"/>
    </row>
    <row r="25" spans="3:23" ht="13.9" hidden="1" outlineLevel="1">
      <c r="C25" s="1461" t="s">
        <v>1930</v>
      </c>
      <c r="D25" s="1461"/>
      <c r="E25" s="1461"/>
      <c r="F25" s="1461"/>
      <c r="G25" s="1461"/>
      <c r="H25" s="1461"/>
      <c r="I25" s="1461"/>
      <c r="K25" s="22"/>
      <c r="L25" s="22"/>
      <c r="O25" s="295"/>
      <c r="P25" s="1199" t="str">
        <f ca="1">P26</f>
        <v>##H</v>
      </c>
      <c r="Q25" s="2"/>
      <c r="T25" s="24"/>
      <c r="U25" s="24"/>
      <c r="V25" s="24"/>
    </row>
    <row r="26" spans="3:23" ht="39.6" hidden="1" outlineLevel="1">
      <c r="C26" s="1462" t="e">
        <f ca="1">C21</f>
        <v>#NAME?</v>
      </c>
      <c r="D26" s="1463"/>
      <c r="E26" s="1000" t="s">
        <v>1931</v>
      </c>
      <c r="F26" s="1271" t="s">
        <v>1923</v>
      </c>
      <c r="G26" s="1271" t="s">
        <v>1914</v>
      </c>
      <c r="H26" s="1465" t="e">
        <f ca="1">H21</f>
        <v>#NAME?</v>
      </c>
      <c r="I26" s="1466"/>
      <c r="K26" s="22"/>
      <c r="L26" s="22"/>
      <c r="O26" s="295"/>
      <c r="P26" s="1199" t="str">
        <f ca="1">P27</f>
        <v>##H</v>
      </c>
      <c r="Q26" s="2"/>
      <c r="T26" s="24"/>
      <c r="U26" s="24"/>
      <c r="V26" s="24"/>
    </row>
    <row r="27" spans="3:23" hidden="1" outlineLevel="1">
      <c r="C27" s="1467">
        <f ca="1">H37</f>
        <v>0</v>
      </c>
      <c r="D27" s="1468"/>
      <c r="E27" s="1268">
        <f ca="1">IFERROR(INDEX(INDIRECT(VLOOKUP($W27,Source_Master,2,0),),MATCH(TEXT($S27,0),INDIRECT(VLOOKUP($W27,Source_Master,4,0)),0),MATCH(G$1,INDIRECT(VLOOKUP($W27,Source_Master,3,0),),0)),0)</f>
        <v>0</v>
      </c>
      <c r="F27" s="1268">
        <f ca="1">IFERROR(INDEX(INDIRECT(VLOOKUP($W27,Source_Master,2,0),),MATCH(TEXT($T27,0),INDIRECT(VLOOKUP($W27,Source_Master,4,0)),0),MATCH(G$1,INDIRECT(VLOOKUP($W27,Source_Master,3,0),),0)),0)</f>
        <v>0</v>
      </c>
      <c r="G27" s="1268">
        <f ca="1">IFERROR(INDEX(INDIRECT(VLOOKUP($W27,Source_Master,2,0),),MATCH(TEXT($U27,0),INDIRECT(VLOOKUP($W27,Source_Master,4,0)),0),MATCH(G$1,INDIRECT(VLOOKUP($W27,Source_Master,3,0),),0)),0)</f>
        <v>0</v>
      </c>
      <c r="H27" s="1469">
        <f ca="1">C27+E27+F27-G27</f>
        <v>0</v>
      </c>
      <c r="I27" s="1470"/>
      <c r="K27" s="22"/>
      <c r="L27" s="22"/>
      <c r="O27" s="295"/>
      <c r="P27" s="1199" t="str">
        <f ca="1">IF(AND(D27=0,E27=0,F27=0,G27=0),"##H","")</f>
        <v>##H</v>
      </c>
      <c r="Q27" s="2"/>
      <c r="R27" s="271" t="s">
        <v>1932</v>
      </c>
      <c r="S27" s="271" t="s">
        <v>1933</v>
      </c>
      <c r="T27" s="271" t="s">
        <v>1934</v>
      </c>
      <c r="U27" s="24" t="s">
        <v>1935</v>
      </c>
      <c r="V27" s="24"/>
      <c r="W27" s="24" t="s">
        <v>51</v>
      </c>
    </row>
    <row r="28" spans="3:23" hidden="1" outlineLevel="1">
      <c r="K28" s="22"/>
      <c r="L28" s="22"/>
      <c r="O28" s="295"/>
      <c r="Q28" s="2"/>
      <c r="T28" s="24"/>
      <c r="U28" s="24"/>
      <c r="V28" s="24"/>
    </row>
    <row r="29" spans="3:23" hidden="1" outlineLevel="1">
      <c r="C29" s="930" t="s">
        <v>31</v>
      </c>
      <c r="K29" s="22"/>
      <c r="L29" s="22"/>
      <c r="O29" s="295"/>
      <c r="P29" s="1199" t="str">
        <f ca="1">P30</f>
        <v>##H</v>
      </c>
      <c r="Q29" s="2"/>
      <c r="T29" s="24"/>
      <c r="U29" s="24"/>
      <c r="V29" s="24"/>
    </row>
    <row r="30" spans="3:23" ht="13.9" hidden="1" outlineLevel="1">
      <c r="C30" s="1461" t="s">
        <v>1922</v>
      </c>
      <c r="D30" s="1461"/>
      <c r="E30" s="1461"/>
      <c r="F30" s="1461"/>
      <c r="G30" s="1461"/>
      <c r="H30" s="1461"/>
      <c r="I30" s="1461"/>
      <c r="K30" s="22"/>
      <c r="L30" s="22"/>
      <c r="O30" s="295"/>
      <c r="P30" s="1199" t="str">
        <f ca="1">P31</f>
        <v>##H</v>
      </c>
      <c r="Q30" s="2"/>
      <c r="T30" s="24"/>
      <c r="U30" s="24"/>
      <c r="V30" s="24"/>
    </row>
    <row r="31" spans="3:23" ht="26.45" hidden="1" outlineLevel="1">
      <c r="C31" s="1471" t="e">
        <f ca="1">PPE_PVS_OP_BAL</f>
        <v>#NAME?</v>
      </c>
      <c r="D31" s="1472"/>
      <c r="E31" s="1006" t="s">
        <v>1923</v>
      </c>
      <c r="F31" s="1473" t="s">
        <v>1914</v>
      </c>
      <c r="G31" s="1473"/>
      <c r="H31" s="1474" t="e">
        <f ca="1">PPE_PVS_CL_BAL</f>
        <v>#NAME?</v>
      </c>
      <c r="I31" s="1475"/>
      <c r="K31" s="22"/>
      <c r="L31" s="22"/>
      <c r="O31" s="295"/>
      <c r="P31" s="1199" t="str">
        <f ca="1">P32</f>
        <v>##H</v>
      </c>
      <c r="Q31" s="2"/>
      <c r="T31" s="24"/>
      <c r="U31" s="24"/>
      <c r="V31" s="24"/>
    </row>
    <row r="32" spans="3:23" ht="26.45" hidden="1" outlineLevel="1">
      <c r="C32" s="1001" t="s">
        <v>1924</v>
      </c>
      <c r="D32" s="1002" t="s">
        <v>1925</v>
      </c>
      <c r="E32" s="1003"/>
      <c r="F32" s="1004" t="s">
        <v>1926</v>
      </c>
      <c r="G32" s="1004" t="s">
        <v>1927</v>
      </c>
      <c r="H32" s="1002" t="s">
        <v>1924</v>
      </c>
      <c r="I32" s="1005" t="s">
        <v>1925</v>
      </c>
      <c r="K32" s="22"/>
      <c r="L32" s="22"/>
      <c r="O32" s="295"/>
      <c r="P32" s="1199" t="str">
        <f ca="1">P33</f>
        <v>##H</v>
      </c>
      <c r="Q32" s="2"/>
      <c r="T32" s="24"/>
      <c r="U32" s="24"/>
      <c r="V32" s="24"/>
    </row>
    <row r="33" spans="2:23" hidden="1" outlineLevel="1">
      <c r="C33" s="1265">
        <f ca="1">IFERROR(INDEX(INDIRECT(VLOOKUP($W$33,Source_Master,2,0),),MATCH(TEXT(R$33,0),INDIRECT(VLOOKUP($W$33,Source_Master,4,0)),0),MATCH($I$1,INDIRECT(VLOOKUP($W$33,Source_Master,3,0),),0)),0)</f>
        <v>0</v>
      </c>
      <c r="D33" s="1266">
        <f ca="1">IFERROR(INDEX(INDIRECT(VLOOKUP($W$33,Source_Master,2,0),),MATCH(TEXT(S$33,0),INDIRECT(VLOOKUP($W$33,Source_Master,4,0)),0),MATCH($I$1,INDIRECT(VLOOKUP($W$33,Source_Master,3,0),),0)),0)</f>
        <v>0</v>
      </c>
      <c r="E33" s="1266">
        <f ca="1">IFERROR(INDEX(INDIRECT(VLOOKUP($W$33,Source_Master,2,0),),MATCH(TEXT(T$33,0),INDIRECT(VLOOKUP($W$33,Source_Master,4,0)),0),MATCH($I$1,INDIRECT(VLOOKUP($W$33,Source_Master,3,0),),0)),0)</f>
        <v>0</v>
      </c>
      <c r="F33" s="1266">
        <f ca="1">IFERROR(INDEX(INDIRECT(VLOOKUP($W$33,Source_Master,2,0),),MATCH(TEXT(U$33,0),INDIRECT(VLOOKUP($W$33,Source_Master,4,0)),0),MATCH($I$1,INDIRECT(VLOOKUP($W$33,Source_Master,3,0),),0)),0)</f>
        <v>0</v>
      </c>
      <c r="G33" s="1007">
        <f ca="1">IFERROR(INDEX(INDIRECT(VLOOKUP($W$33,Source_Master,2,0),),MATCH(TEXT(V$33,0),INDIRECT(VLOOKUP($W$33,Source_Master,4,0)),0),MATCH($I$1,INDIRECT(VLOOKUP($W$33,Source_Master,3,0),),0)),0)</f>
        <v>0</v>
      </c>
      <c r="H33" s="1266">
        <f ca="1">C33+E33-F33</f>
        <v>0</v>
      </c>
      <c r="I33" s="1266">
        <f ca="1">D33-G33</f>
        <v>0</v>
      </c>
      <c r="K33" s="22"/>
      <c r="L33" s="22"/>
      <c r="O33" s="295"/>
      <c r="P33" s="1199" t="str">
        <f ca="1">IF(AND(C33=0,D33=0,E33=0,F33=0,G33=0),"##H","")</f>
        <v>##H</v>
      </c>
      <c r="Q33" s="2"/>
      <c r="R33" s="271" t="s">
        <v>1928</v>
      </c>
      <c r="S33" s="271" t="s">
        <v>1929</v>
      </c>
      <c r="T33" s="271" t="s">
        <v>1911</v>
      </c>
      <c r="U33" s="271" t="s">
        <v>1913</v>
      </c>
      <c r="V33" s="271" t="s">
        <v>1915</v>
      </c>
      <c r="W33" s="24" t="s">
        <v>51</v>
      </c>
    </row>
    <row r="34" spans="2:23" hidden="1" outlineLevel="1">
      <c r="K34" s="22"/>
      <c r="L34" s="22"/>
      <c r="O34" s="295"/>
      <c r="Q34" s="2"/>
      <c r="T34" s="24"/>
      <c r="U34" s="24"/>
      <c r="V34" s="24"/>
    </row>
    <row r="35" spans="2:23" ht="13.9" hidden="1" outlineLevel="1">
      <c r="C35" s="1461" t="s">
        <v>1930</v>
      </c>
      <c r="D35" s="1461"/>
      <c r="E35" s="1461"/>
      <c r="F35" s="1461"/>
      <c r="G35" s="1461"/>
      <c r="H35" s="1461"/>
      <c r="I35" s="1461"/>
      <c r="K35" s="22"/>
      <c r="L35" s="22"/>
      <c r="O35" s="295"/>
      <c r="P35" s="1199" t="str">
        <f ca="1">P36</f>
        <v>##H</v>
      </c>
      <c r="Q35" s="2"/>
      <c r="T35" s="24"/>
      <c r="U35" s="24"/>
      <c r="V35" s="24"/>
    </row>
    <row r="36" spans="2:23" ht="39.6" hidden="1" outlineLevel="1">
      <c r="C36" s="1471" t="e">
        <f ca="1">C31</f>
        <v>#NAME?</v>
      </c>
      <c r="D36" s="1472"/>
      <c r="E36" s="1006" t="s">
        <v>1931</v>
      </c>
      <c r="F36" s="1270" t="s">
        <v>1923</v>
      </c>
      <c r="G36" s="1270" t="s">
        <v>1914</v>
      </c>
      <c r="H36" s="1474" t="e">
        <f ca="1">PPE_PVS_CL_BAL</f>
        <v>#NAME?</v>
      </c>
      <c r="I36" s="1475"/>
      <c r="K36" s="22"/>
      <c r="L36" s="22"/>
      <c r="O36" s="295"/>
      <c r="P36" s="1199" t="str">
        <f ca="1">P37</f>
        <v>##H</v>
      </c>
      <c r="Q36" s="2"/>
      <c r="T36" s="24"/>
      <c r="U36" s="24"/>
      <c r="V36" s="24"/>
    </row>
    <row r="37" spans="2:23" hidden="1" outlineLevel="1">
      <c r="C37" s="1483">
        <f ca="1">IFERROR(INDEX(INDIRECT(VLOOKUP($W$37,Source_Master,2,0),),MATCH(TEXT(R$37,0),INDIRECT(VLOOKUP($W$37,Source_Master,4,0)),0),MATCH($I$1,INDIRECT(VLOOKUP($W$37,Source_Master,3,0),),0)),0)</f>
        <v>0</v>
      </c>
      <c r="D37" s="1484">
        <v>0</v>
      </c>
      <c r="E37" s="1265">
        <f ca="1">IFERROR(INDEX(INDIRECT(VLOOKUP($W$37,Source_Master,2,0),),MATCH(TEXT(S$37,0),INDIRECT(VLOOKUP($W$37,Source_Master,4,0)),0),MATCH($I$1,INDIRECT(VLOOKUP($W$37,Source_Master,3,0),),0)),0)</f>
        <v>0</v>
      </c>
      <c r="F37" s="1266">
        <f ca="1">IFERROR(INDEX(INDIRECT(VLOOKUP($W37,Source_Master,2,0),),MATCH(TEXT(T$37,0),INDIRECT(VLOOKUP($W37,Source_Master,4,0)),0),MATCH($I$1,INDIRECT(VLOOKUP($W37,Source_Master,3,0),),0)),0)</f>
        <v>0</v>
      </c>
      <c r="G37" s="1266">
        <f ca="1">IFERROR(INDEX(INDIRECT(VLOOKUP($W37,Source_Master,2,0),),MATCH(TEXT(U$37,0),INDIRECT(VLOOKUP($W37,Source_Master,4,0)),0),MATCH($I$1,INDIRECT(VLOOKUP($W37,Source_Master,3,0),),0)),0)</f>
        <v>0</v>
      </c>
      <c r="H37" s="1485">
        <f ca="1">C37+E37+F37-G37</f>
        <v>0</v>
      </c>
      <c r="I37" s="1486"/>
      <c r="K37" s="22"/>
      <c r="L37" s="22"/>
      <c r="O37" s="295"/>
      <c r="P37" s="1199" t="str">
        <f ca="1">IF(AND(D37=0,E37=0,F37=0,G37=0),"##H","")</f>
        <v>##H</v>
      </c>
      <c r="Q37" s="2"/>
      <c r="R37" s="271" t="s">
        <v>1932</v>
      </c>
      <c r="S37" s="271" t="s">
        <v>1933</v>
      </c>
      <c r="T37" s="271" t="s">
        <v>1934</v>
      </c>
      <c r="U37" s="271" t="s">
        <v>1935</v>
      </c>
      <c r="V37" s="24"/>
      <c r="W37" s="24" t="s">
        <v>51</v>
      </c>
    </row>
    <row r="38" spans="2:23" collapsed="1">
      <c r="K38" s="22"/>
      <c r="L38" s="22"/>
      <c r="O38" s="295"/>
      <c r="Q38" s="2"/>
      <c r="T38" s="24"/>
      <c r="U38" s="24"/>
      <c r="V38" s="24"/>
    </row>
    <row r="39" spans="2:23">
      <c r="B39" s="292" t="s">
        <v>1936</v>
      </c>
      <c r="C39" s="292"/>
      <c r="D39" s="292"/>
      <c r="I39" s="289" t="s">
        <v>1909</v>
      </c>
      <c r="K39" s="22"/>
      <c r="L39" s="22"/>
      <c r="N39" s="22"/>
      <c r="O39" s="295" t="s">
        <v>1937</v>
      </c>
      <c r="P39" s="271" t="s">
        <v>1938</v>
      </c>
      <c r="Q39" s="295"/>
      <c r="R39" s="295"/>
      <c r="T39" s="24"/>
      <c r="U39" s="24"/>
      <c r="V39" s="24"/>
    </row>
    <row r="40" spans="2:23">
      <c r="B40" s="1313" t="s">
        <v>1939</v>
      </c>
      <c r="C40" s="1313"/>
      <c r="D40" s="1313"/>
      <c r="E40" s="1313"/>
      <c r="F40" s="1459" t="e">
        <f ca="1">PL_CY</f>
        <v>#NAME?</v>
      </c>
      <c r="G40" s="1459"/>
      <c r="H40" s="1460" t="e">
        <f ca="1">PL_PY</f>
        <v>#NAME?</v>
      </c>
      <c r="I40" s="1460"/>
      <c r="K40" s="22"/>
      <c r="L40" s="22"/>
      <c r="O40" s="295"/>
      <c r="P40" s="24" t="s">
        <v>1938</v>
      </c>
      <c r="Q40" s="2"/>
      <c r="T40" s="24"/>
      <c r="U40" s="24"/>
      <c r="V40" s="24"/>
    </row>
    <row r="41" spans="2:23">
      <c r="B41" s="20" t="s">
        <v>1940</v>
      </c>
      <c r="C41" s="20"/>
      <c r="D41" s="20"/>
      <c r="E41" s="20"/>
      <c r="F41" s="1538"/>
      <c r="G41" s="1596">
        <f t="shared" ref="G41:G46" ca="1" si="2">IFERROR(INDEX(INDIRECT(VLOOKUP($W41,Source_Master,2,0),),MATCH(TEXT($R41,0),INDIRECT(VLOOKUP($W41,Source_Master,4,0)),0),MATCH(G$1,INDIRECT(VLOOKUP($W41,Source_Master,3,0),),0)),0)</f>
        <v>0</v>
      </c>
      <c r="H41" s="1545"/>
      <c r="I41" s="1597">
        <f t="shared" ref="I41:I46" ca="1" si="3">IFERROR(INDEX(INDIRECT(VLOOKUP($W41,Source_Master,2,0),),MATCH(TEXT($R41,0),INDIRECT(VLOOKUP($W41,Source_Master,4,0)),0),MATCH(I$1,INDIRECT(VLOOKUP($W41,Source_Master,3,0),),0)),0)</f>
        <v>0</v>
      </c>
      <c r="K41" s="22"/>
      <c r="L41" s="22"/>
      <c r="O41" s="295"/>
      <c r="P41" s="24" t="s">
        <v>1938</v>
      </c>
      <c r="Q41" s="2"/>
      <c r="R41" s="24" t="s">
        <v>1941</v>
      </c>
      <c r="T41" s="24"/>
      <c r="U41" s="24"/>
      <c r="V41" s="24"/>
      <c r="W41" s="24" t="s">
        <v>51</v>
      </c>
    </row>
    <row r="42" spans="2:23">
      <c r="B42" s="58" t="s">
        <v>1942</v>
      </c>
      <c r="C42" s="58"/>
      <c r="D42" s="58"/>
      <c r="E42" s="58"/>
      <c r="F42" s="65"/>
      <c r="G42" s="342">
        <f t="shared" ca="1" si="2"/>
        <v>0</v>
      </c>
      <c r="H42" s="452"/>
      <c r="I42" s="719">
        <f t="shared" ca="1" si="3"/>
        <v>0</v>
      </c>
      <c r="K42" s="22"/>
      <c r="L42" s="22"/>
      <c r="O42" s="295"/>
      <c r="P42" s="24" t="s">
        <v>1938</v>
      </c>
      <c r="Q42" s="2"/>
      <c r="R42" s="271" t="s">
        <v>1943</v>
      </c>
      <c r="S42" s="271"/>
      <c r="T42" s="24"/>
      <c r="U42" s="24"/>
      <c r="V42" s="24"/>
      <c r="W42" s="24" t="s">
        <v>51</v>
      </c>
    </row>
    <row r="43" spans="2:23">
      <c r="B43" s="1347" t="s">
        <v>1944</v>
      </c>
      <c r="C43" s="1347"/>
      <c r="D43" s="1347"/>
      <c r="E43" s="1347"/>
      <c r="F43" s="453"/>
      <c r="G43" s="935">
        <f t="shared" ca="1" si="2"/>
        <v>0</v>
      </c>
      <c r="H43" s="452"/>
      <c r="I43" s="719">
        <f t="shared" ca="1" si="3"/>
        <v>0</v>
      </c>
      <c r="K43" s="22"/>
      <c r="L43" s="22"/>
      <c r="O43" s="295"/>
      <c r="P43" s="1199" t="str">
        <f ca="1">IF(AND(G43=0,I43=0),"##H","")</f>
        <v>##H</v>
      </c>
      <c r="Q43" s="2"/>
      <c r="R43" s="271" t="s">
        <v>1945</v>
      </c>
      <c r="S43" s="271"/>
      <c r="T43" s="24"/>
      <c r="U43" s="24"/>
      <c r="V43" s="24"/>
      <c r="W43" s="24" t="s">
        <v>51</v>
      </c>
    </row>
    <row r="44" spans="2:23">
      <c r="B44" s="58" t="s">
        <v>1946</v>
      </c>
      <c r="C44" s="58"/>
      <c r="D44" s="58"/>
      <c r="E44" s="58"/>
      <c r="F44" s="453"/>
      <c r="G44" s="935">
        <f t="shared" ca="1" si="2"/>
        <v>0</v>
      </c>
      <c r="H44" s="452"/>
      <c r="I44" s="719">
        <f t="shared" ca="1" si="3"/>
        <v>0</v>
      </c>
      <c r="K44" s="22"/>
      <c r="L44" s="22"/>
      <c r="O44" s="295"/>
      <c r="P44" s="24" t="s">
        <v>1938</v>
      </c>
      <c r="Q44" s="2"/>
      <c r="R44" s="271" t="s">
        <v>1947</v>
      </c>
      <c r="S44" s="271"/>
      <c r="T44" s="24"/>
      <c r="U44" s="24"/>
      <c r="V44" s="24"/>
      <c r="W44" s="24" t="s">
        <v>51</v>
      </c>
    </row>
    <row r="45" spans="2:23">
      <c r="B45" s="58" t="s">
        <v>1948</v>
      </c>
      <c r="C45" s="58"/>
      <c r="D45" s="58"/>
      <c r="E45" s="58"/>
      <c r="F45" s="453"/>
      <c r="G45" s="935">
        <f t="shared" ca="1" si="2"/>
        <v>0</v>
      </c>
      <c r="H45" s="452"/>
      <c r="I45" s="719">
        <f t="shared" ca="1" si="3"/>
        <v>0</v>
      </c>
      <c r="K45" s="22"/>
      <c r="L45" s="22"/>
      <c r="O45" s="295"/>
      <c r="P45" s="24" t="s">
        <v>1938</v>
      </c>
      <c r="Q45" s="2"/>
      <c r="R45" s="271" t="s">
        <v>1949</v>
      </c>
      <c r="S45" s="271"/>
      <c r="T45" s="24"/>
      <c r="U45" s="24"/>
      <c r="V45" s="24"/>
      <c r="W45" s="24" t="s">
        <v>51</v>
      </c>
    </row>
    <row r="46" spans="2:23">
      <c r="B46" s="1334" t="s">
        <v>1950</v>
      </c>
      <c r="C46" s="1334"/>
      <c r="D46" s="1334"/>
      <c r="E46" s="1334"/>
      <c r="F46" s="462"/>
      <c r="G46" s="936">
        <f t="shared" ca="1" si="2"/>
        <v>0</v>
      </c>
      <c r="H46" s="463"/>
      <c r="I46" s="938">
        <f t="shared" ca="1" si="3"/>
        <v>0</v>
      </c>
      <c r="K46" s="22"/>
      <c r="L46" s="22"/>
      <c r="O46" s="295"/>
      <c r="P46" s="24" t="s">
        <v>1938</v>
      </c>
      <c r="Q46" s="2"/>
      <c r="R46" s="271" t="s">
        <v>1951</v>
      </c>
      <c r="S46" s="271"/>
      <c r="T46" s="24"/>
      <c r="U46" s="24"/>
      <c r="V46" s="24"/>
      <c r="W46" s="24" t="s">
        <v>51</v>
      </c>
    </row>
    <row r="47" spans="2:23">
      <c r="B47" s="1008"/>
      <c r="C47" s="1008"/>
      <c r="D47" s="179"/>
      <c r="E47" s="179"/>
      <c r="F47" s="1009"/>
      <c r="G47" s="1009"/>
      <c r="H47" s="179"/>
      <c r="I47" s="179"/>
      <c r="K47" s="22"/>
      <c r="L47" s="22"/>
      <c r="O47" s="295"/>
      <c r="Q47" s="2"/>
      <c r="R47" s="271"/>
      <c r="T47" s="24"/>
      <c r="U47" s="24"/>
      <c r="V47" s="24"/>
    </row>
    <row r="48" spans="2:23">
      <c r="B48" s="1487" t="s">
        <v>1952</v>
      </c>
      <c r="C48" s="1487"/>
      <c r="D48" s="1487"/>
      <c r="E48" s="1487"/>
      <c r="F48" s="1487"/>
      <c r="G48" s="1487"/>
      <c r="H48" s="1487"/>
      <c r="I48" s="1487"/>
      <c r="K48" s="22"/>
      <c r="L48" s="22"/>
      <c r="O48" s="295"/>
      <c r="Q48" s="2"/>
      <c r="T48" s="24"/>
      <c r="U48" s="24"/>
      <c r="V48" s="24"/>
    </row>
    <row r="49" spans="2:23">
      <c r="K49" s="22"/>
      <c r="L49" s="22"/>
      <c r="O49" s="295"/>
      <c r="Q49" s="2"/>
      <c r="T49" s="24"/>
      <c r="U49" s="24"/>
      <c r="V49" s="24"/>
    </row>
    <row r="50" spans="2:23">
      <c r="B50" s="292" t="s">
        <v>1953</v>
      </c>
      <c r="C50" s="292"/>
      <c r="D50" s="292"/>
      <c r="K50" s="22"/>
      <c r="L50" s="22"/>
      <c r="N50" s="22" t="s">
        <v>1954</v>
      </c>
      <c r="O50" s="295" t="s">
        <v>169</v>
      </c>
      <c r="P50" s="271" t="s">
        <v>1938</v>
      </c>
      <c r="Q50" s="2"/>
      <c r="T50" s="24"/>
      <c r="U50" s="24"/>
      <c r="V50" s="24"/>
    </row>
    <row r="51" spans="2:23">
      <c r="B51" s="1416" t="s">
        <v>1955</v>
      </c>
      <c r="C51" s="1416"/>
      <c r="D51" s="1416"/>
      <c r="E51" s="1416"/>
      <c r="F51" s="1416"/>
      <c r="G51" s="1416"/>
      <c r="H51" s="1416"/>
      <c r="I51" s="1416"/>
      <c r="K51" s="22"/>
      <c r="L51" s="22"/>
      <c r="O51" s="295" t="s">
        <v>169</v>
      </c>
      <c r="P51" s="271" t="s">
        <v>1938</v>
      </c>
      <c r="Q51" s="2"/>
      <c r="T51" s="24"/>
      <c r="U51" s="24"/>
      <c r="V51" s="24"/>
    </row>
    <row r="52" spans="2:23">
      <c r="B52" s="15" t="s">
        <v>1956</v>
      </c>
      <c r="D52" s="15"/>
      <c r="K52" s="22"/>
      <c r="L52" s="22"/>
      <c r="O52" s="295" t="s">
        <v>169</v>
      </c>
      <c r="P52" s="271" t="s">
        <v>1938</v>
      </c>
      <c r="Q52" s="2"/>
      <c r="T52" s="24"/>
      <c r="U52" s="24"/>
      <c r="V52" s="24"/>
    </row>
    <row r="53" spans="2:23">
      <c r="B53" s="15" t="s">
        <v>1957</v>
      </c>
      <c r="K53" s="22"/>
      <c r="L53" s="22"/>
      <c r="O53" s="295" t="s">
        <v>169</v>
      </c>
      <c r="P53" s="271" t="s">
        <v>1938</v>
      </c>
      <c r="Q53" s="2"/>
      <c r="T53" s="24"/>
      <c r="U53" s="24"/>
      <c r="V53" s="24"/>
    </row>
    <row r="54" spans="2:23">
      <c r="I54" s="289" t="s">
        <v>1909</v>
      </c>
      <c r="K54" s="22"/>
      <c r="L54" s="22"/>
      <c r="O54" s="295" t="s">
        <v>169</v>
      </c>
      <c r="P54" s="271" t="s">
        <v>1938</v>
      </c>
      <c r="Q54" s="2"/>
      <c r="T54" s="24"/>
      <c r="U54" s="24"/>
      <c r="V54" s="24"/>
    </row>
    <row r="55" spans="2:23" ht="13.15" customHeight="1">
      <c r="C55" s="1476" t="s">
        <v>1958</v>
      </c>
      <c r="D55" s="1433"/>
      <c r="E55" s="1274" t="s">
        <v>1959</v>
      </c>
      <c r="F55" s="1477" t="e">
        <f ca="1">BS_CY</f>
        <v>#NAME?</v>
      </c>
      <c r="G55" s="1478"/>
      <c r="H55" s="1477" t="e">
        <f ca="1">BS_PY</f>
        <v>#NAME?</v>
      </c>
      <c r="I55" s="1479"/>
      <c r="K55" s="22"/>
      <c r="L55" s="22"/>
      <c r="O55" s="295"/>
      <c r="P55" s="24" t="s">
        <v>1938</v>
      </c>
      <c r="Q55" s="2"/>
      <c r="T55" s="24"/>
      <c r="U55" s="24"/>
      <c r="V55" s="24"/>
    </row>
    <row r="56" spans="2:23">
      <c r="C56" s="1480" t="s">
        <v>1960</v>
      </c>
      <c r="D56" s="1481"/>
      <c r="E56" s="1010" t="s">
        <v>1961</v>
      </c>
      <c r="F56" s="1011"/>
      <c r="G56" s="1022">
        <f ca="1">IFERROR(INDEX(INDIRECT(VLOOKUP($W41,Source_Master,2,0),),MATCH(TEXT($R56,0),INDIRECT(VLOOKUP($W41,Source_Master,4,0)),0),MATCH(G$1,INDIRECT(VLOOKUP($W41,Source_Master,3,0),),0)),0)</f>
        <v>0</v>
      </c>
      <c r="H56" s="1598"/>
      <c r="I56" s="1599">
        <f ca="1">IFERROR(INDEX(INDIRECT(VLOOKUP($W41,Source_Master,2,0),),MATCH(TEXT($R56,0),INDIRECT(VLOOKUP($W41,Source_Master,4,0)),0),MATCH(I$1,INDIRECT(VLOOKUP($W41,Source_Master,3,0),),0)),0)</f>
        <v>0</v>
      </c>
      <c r="K56" s="22"/>
      <c r="L56" s="22"/>
      <c r="O56" s="295"/>
      <c r="P56" s="24" t="s">
        <v>1938</v>
      </c>
      <c r="Q56" s="2"/>
      <c r="R56" s="271" t="s">
        <v>1962</v>
      </c>
      <c r="T56" s="24"/>
      <c r="U56" s="24"/>
      <c r="V56" s="24"/>
      <c r="W56" s="24" t="s">
        <v>51</v>
      </c>
    </row>
    <row r="57" spans="2:23">
      <c r="C57" s="1480" t="s">
        <v>1963</v>
      </c>
      <c r="D57" s="1481"/>
      <c r="E57" s="1012" t="s">
        <v>1964</v>
      </c>
      <c r="F57" s="453"/>
      <c r="G57" s="935">
        <f ca="1">IFERROR(INDEX(INDIRECT(VLOOKUP($W42,Source_Master,2,0),),MATCH(TEXT($R57,0),INDIRECT(VLOOKUP($W42,Source_Master,4,0)),0),MATCH(G$1,INDIRECT(VLOOKUP($W42,Source_Master,3,0),),0)),0)</f>
        <v>0</v>
      </c>
      <c r="H57" s="476"/>
      <c r="I57" s="1023">
        <f ca="1">IFERROR(INDEX(INDIRECT(VLOOKUP($W42,Source_Master,2,0),),MATCH(TEXT($R57,0),INDIRECT(VLOOKUP($W42,Source_Master,4,0)),0),MATCH(I$1,INDIRECT(VLOOKUP($W42,Source_Master,3,0),),0)),0)</f>
        <v>0</v>
      </c>
      <c r="K57" s="22"/>
      <c r="L57" s="22"/>
      <c r="O57" s="295"/>
      <c r="P57" s="1199" t="str">
        <f t="shared" ref="P57" ca="1" si="4">IF(AND(G57=0,I57=0),"##H","")</f>
        <v>##H</v>
      </c>
      <c r="Q57" s="2"/>
      <c r="R57" s="271" t="s">
        <v>1965</v>
      </c>
      <c r="T57" s="24"/>
      <c r="U57" s="24"/>
      <c r="V57" s="24"/>
      <c r="W57" s="24" t="s">
        <v>51</v>
      </c>
    </row>
    <row r="58" spans="2:23">
      <c r="C58" s="1482" t="s">
        <v>1966</v>
      </c>
      <c r="D58" s="1355"/>
      <c r="E58" s="1013" t="s">
        <v>1967</v>
      </c>
      <c r="F58" s="453"/>
      <c r="G58" s="935">
        <f ca="1">IFERROR(INDEX(INDIRECT(VLOOKUP($W43,Source_Master,2,0),),MATCH(TEXT($R58,0),INDIRECT(VLOOKUP($W43,Source_Master,4,0)),0),MATCH(G$1,INDIRECT(VLOOKUP($W43,Source_Master,3,0),),0)),0)</f>
        <v>0</v>
      </c>
      <c r="H58" s="476"/>
      <c r="I58" s="1023">
        <f ca="1">IFERROR(INDEX(INDIRECT(VLOOKUP($W43,Source_Master,2,0),),MATCH(TEXT($R58,0),INDIRECT(VLOOKUP($W43,Source_Master,4,0)),0),MATCH(I$1,INDIRECT(VLOOKUP($W43,Source_Master,3,0),),0)),0)</f>
        <v>0</v>
      </c>
      <c r="K58" s="22"/>
      <c r="L58" s="22"/>
      <c r="O58" s="295"/>
      <c r="P58" s="24" t="s">
        <v>1938</v>
      </c>
      <c r="Q58" s="2"/>
      <c r="R58" s="271" t="s">
        <v>1968</v>
      </c>
      <c r="T58" s="24"/>
      <c r="U58" s="24"/>
      <c r="V58" s="24"/>
      <c r="W58" s="24" t="s">
        <v>51</v>
      </c>
    </row>
    <row r="59" spans="2:23">
      <c r="C59" s="1482" t="s">
        <v>1969</v>
      </c>
      <c r="D59" s="1355"/>
      <c r="E59" s="1012" t="s">
        <v>1970</v>
      </c>
      <c r="F59" s="453"/>
      <c r="G59" s="935">
        <f ca="1">IFERROR(INDEX(INDIRECT(VLOOKUP($W44,Source_Master,2,0),),MATCH(TEXT($R59,0),INDIRECT(VLOOKUP($W44,Source_Master,4,0)),0),MATCH(G$1,INDIRECT(VLOOKUP($W44,Source_Master,3,0),),0)),0)</f>
        <v>0</v>
      </c>
      <c r="H59" s="476"/>
      <c r="I59" s="1023">
        <f ca="1">IFERROR(INDEX(INDIRECT(VLOOKUP($W44,Source_Master,2,0),),MATCH(TEXT($R59,0),INDIRECT(VLOOKUP($W44,Source_Master,4,0)),0),MATCH(I$1,INDIRECT(VLOOKUP($W44,Source_Master,3,0),),0)),0)</f>
        <v>0</v>
      </c>
      <c r="K59" s="22"/>
      <c r="L59" s="22"/>
      <c r="O59" s="295"/>
      <c r="P59" s="24" t="s">
        <v>1938</v>
      </c>
      <c r="Q59" s="2"/>
      <c r="R59" s="271" t="s">
        <v>1971</v>
      </c>
      <c r="T59" s="24"/>
      <c r="U59" s="24"/>
      <c r="V59" s="24"/>
      <c r="W59" s="24" t="s">
        <v>51</v>
      </c>
    </row>
    <row r="60" spans="2:23">
      <c r="D60" s="20"/>
      <c r="E60" s="20"/>
      <c r="F60" s="47"/>
      <c r="G60" s="47"/>
      <c r="H60" s="47"/>
      <c r="I60" s="20"/>
      <c r="K60" s="22"/>
      <c r="L60" s="22"/>
      <c r="O60" s="295"/>
      <c r="Q60" s="2"/>
      <c r="T60" s="24"/>
      <c r="U60" s="24"/>
      <c r="V60" s="24"/>
    </row>
    <row r="61" spans="2:23">
      <c r="C61" s="1420" t="s">
        <v>1972</v>
      </c>
      <c r="D61" s="1420"/>
      <c r="E61" s="1420"/>
      <c r="F61" s="1420"/>
      <c r="G61" s="1420"/>
      <c r="H61" s="1420"/>
      <c r="I61" s="1420"/>
      <c r="K61" s="22"/>
      <c r="L61" s="22"/>
      <c r="O61" s="295" t="s">
        <v>169</v>
      </c>
      <c r="P61" s="271" t="s">
        <v>1938</v>
      </c>
      <c r="Q61" s="2"/>
      <c r="T61" s="24"/>
      <c r="U61" s="24"/>
      <c r="V61" s="24"/>
    </row>
    <row r="66" spans="1:20">
      <c r="A66" s="1123">
        <f>NTA!F165</f>
        <v>53</v>
      </c>
      <c r="B66" s="1123" t="str">
        <f>NTA!C165</f>
        <v>Capital Commitments</v>
      </c>
      <c r="C66" s="292"/>
      <c r="D66" s="292"/>
      <c r="I66" s="1124" t="str">
        <f>'Master Sheet'!C65</f>
        <v>(Amount in INR)</v>
      </c>
      <c r="K66" s="22"/>
      <c r="L66" s="22"/>
      <c r="M66" s="22"/>
      <c r="N66" s="295"/>
      <c r="O66" s="295"/>
      <c r="P66" s="295"/>
      <c r="Q66" s="295"/>
      <c r="R66" s="295"/>
      <c r="S66" s="246"/>
    </row>
    <row r="67" spans="1:20" ht="27.75" customHeight="1">
      <c r="B67" s="1313" t="s">
        <v>500</v>
      </c>
      <c r="C67" s="1313"/>
      <c r="D67" s="1313"/>
      <c r="E67" s="1313"/>
      <c r="F67" s="1417" t="e">
        <f ca="1">F55</f>
        <v>#NAME?</v>
      </c>
      <c r="G67" s="1417"/>
      <c r="H67" s="1418" t="e">
        <f ca="1">H55</f>
        <v>#NAME?</v>
      </c>
      <c r="I67" s="1418"/>
    </row>
    <row r="68" spans="1:20" ht="30" customHeight="1">
      <c r="B68" s="1430" t="s">
        <v>1973</v>
      </c>
      <c r="C68" s="1430"/>
      <c r="D68" s="1430"/>
      <c r="E68" s="1430"/>
      <c r="F68" s="1600"/>
      <c r="G68" s="1601">
        <f ca="1">IFERROR(INDEX(INDIRECT(VLOOKUP($T68,Source_Master,2,0),),MATCH(TEXT($O68,0),INDIRECT(VLOOKUP($T68,Source_Master,4,0)),0),MATCH(G$1,INDIRECT(VLOOKUP($T68,Source_Master,3,0),),0)),0)</f>
        <v>0</v>
      </c>
      <c r="H68" s="1598"/>
      <c r="I68" s="1597">
        <f ca="1">IFERROR(INDEX(INDIRECT(VLOOKUP($T68,Source_Master,2,0),),MATCH(TEXT($O68,0),INDIRECT(VLOOKUP($T68,Source_Master,4,0)),0),MATCH(I$1,INDIRECT(VLOOKUP($T68,Source_Master,3,0),),0)),0)</f>
        <v>0</v>
      </c>
      <c r="M68" s="2" t="str">
        <f t="shared" ref="M68:M71" ca="1" si="5">IF(AND(G68=0,I68=0),"##H","")</f>
        <v>##H</v>
      </c>
      <c r="O68" s="271"/>
      <c r="T68" s="24"/>
    </row>
    <row r="69" spans="1:20" ht="15" customHeight="1">
      <c r="B69" s="1431" t="s">
        <v>1974</v>
      </c>
      <c r="C69" s="1431"/>
      <c r="D69" s="1431"/>
      <c r="E69" s="1431"/>
      <c r="F69" s="453"/>
      <c r="G69" s="935">
        <f ca="1">IFERROR(INDEX(INDIRECT(VLOOKUP($T69,Source_Master,2,0),),MATCH(TEXT($O69,0),INDIRECT(VLOOKUP($T69,Source_Master,4,0)),0),MATCH(G$1,INDIRECT(VLOOKUP($T69,Source_Master,3,0),),0)),0)</f>
        <v>0</v>
      </c>
      <c r="H69" s="476"/>
      <c r="I69" s="719">
        <f ca="1">IFERROR(INDEX(INDIRECT(VLOOKUP($T69,Source_Master,2,0),),MATCH(TEXT($O69,0),INDIRECT(VLOOKUP($T69,Source_Master,4,0)),0),MATCH(I$1,INDIRECT(VLOOKUP($T69,Source_Master,3,0),),0)),0)</f>
        <v>0</v>
      </c>
      <c r="K69" s="22"/>
      <c r="M69" s="2" t="str">
        <f t="shared" ca="1" si="5"/>
        <v>##H</v>
      </c>
      <c r="O69" s="271" t="s">
        <v>1975</v>
      </c>
      <c r="T69" s="24" t="s">
        <v>51</v>
      </c>
    </row>
    <row r="70" spans="1:20" ht="15" customHeight="1">
      <c r="B70" s="1431" t="s">
        <v>1665</v>
      </c>
      <c r="C70" s="1431"/>
      <c r="D70" s="1431"/>
      <c r="E70" s="1431"/>
      <c r="F70" s="462"/>
      <c r="G70" s="936">
        <f ca="1">IFERROR(INDEX(INDIRECT(VLOOKUP($T70,Source_Master,2,0),),MATCH(TEXT($O70,0),INDIRECT(VLOOKUP($T70,Source_Master,4,0)),0),MATCH(G$1,INDIRECT(VLOOKUP($T70,Source_Master,3,0),),0)),0)</f>
        <v>0</v>
      </c>
      <c r="H70" s="477"/>
      <c r="I70" s="938">
        <f ca="1">IFERROR(INDEX(INDIRECT(VLOOKUP($T70,Source_Master,2,0),),MATCH(TEXT($O70,0),INDIRECT(VLOOKUP($T70,Source_Master,4,0)),0),MATCH(I$1,INDIRECT(VLOOKUP($T70,Source_Master,3,0),),0)),0)</f>
        <v>0</v>
      </c>
      <c r="K70" s="22"/>
      <c r="M70" s="2" t="str">
        <f t="shared" ca="1" si="5"/>
        <v>##H</v>
      </c>
      <c r="O70" s="271" t="s">
        <v>1976</v>
      </c>
      <c r="T70" s="24" t="s">
        <v>51</v>
      </c>
    </row>
    <row r="71" spans="1:20" ht="15" customHeight="1">
      <c r="B71" s="1432" t="s">
        <v>246</v>
      </c>
      <c r="C71" s="1432"/>
      <c r="D71" s="1432"/>
      <c r="E71" s="1432"/>
      <c r="F71" s="464"/>
      <c r="G71" s="937">
        <f ca="1">SUM(G69:G70)</f>
        <v>0</v>
      </c>
      <c r="H71" s="485"/>
      <c r="I71" s="939">
        <f ca="1">SUM(I69:I70)</f>
        <v>0</v>
      </c>
      <c r="M71" s="2" t="str">
        <f t="shared" ca="1" si="5"/>
        <v>##H</v>
      </c>
    </row>
    <row r="72" spans="1:20" ht="16.5" customHeight="1">
      <c r="B72" s="1244"/>
      <c r="C72" s="1244"/>
      <c r="D72" s="1244"/>
      <c r="E72" s="1244"/>
      <c r="F72" s="1600"/>
      <c r="G72" s="1600"/>
      <c r="H72" s="1598"/>
      <c r="I72" s="1545"/>
    </row>
    <row r="73" spans="1:20" ht="16.5" customHeight="1">
      <c r="B73" s="1043" t="e">
        <f ca="1">"(i) Estimated amount of contracts remaining to be executed on capital account (net of advances) and not provided for as at "&amp;Current_Date&amp;" is Rs. Nil. (previous year: Rs. Nil)"</f>
        <v>#NAME?</v>
      </c>
      <c r="C73" s="1244"/>
      <c r="D73" s="1244"/>
      <c r="E73" s="1244"/>
      <c r="F73" s="1600"/>
      <c r="G73" s="1600"/>
      <c r="H73" s="1598"/>
      <c r="I73" s="1545"/>
      <c r="K73" s="22"/>
    </row>
    <row r="74" spans="1:20" ht="16.5" customHeight="1">
      <c r="B74" s="1043" t="e">
        <f ca="1">"(ii) Other Commitments as at "&amp;Current_Date&amp;" is Rs. Nil (Previous Year Rs. Nil)."</f>
        <v>#NAME?</v>
      </c>
      <c r="C74" s="1244"/>
      <c r="D74" s="1244"/>
      <c r="E74" s="1244"/>
      <c r="F74" s="1600"/>
      <c r="G74" s="1600"/>
      <c r="H74" s="1598"/>
      <c r="I74" s="1545"/>
      <c r="K74" s="22"/>
    </row>
    <row r="76" spans="1:20">
      <c r="A76" s="1123">
        <f>NTA!F166</f>
        <v>54</v>
      </c>
      <c r="B76" s="1123" t="str">
        <f>NTA!C166</f>
        <v>Contingent Liabilities</v>
      </c>
      <c r="C76" s="292"/>
      <c r="D76" s="292"/>
      <c r="I76" s="1124" t="str">
        <f>'Master Sheet'!C65</f>
        <v>(Amount in INR)</v>
      </c>
      <c r="K76" s="22"/>
      <c r="L76" s="22"/>
      <c r="M76" s="22"/>
      <c r="N76" s="295"/>
      <c r="O76" s="295"/>
      <c r="P76" s="295"/>
      <c r="Q76" s="295"/>
      <c r="R76" s="295"/>
    </row>
    <row r="77" spans="1:20" ht="23.25" customHeight="1">
      <c r="B77" s="1313" t="s">
        <v>500</v>
      </c>
      <c r="C77" s="1313"/>
      <c r="D77" s="1313"/>
      <c r="E77" s="1313"/>
      <c r="F77" s="1417" t="e">
        <f ca="1">BS_CY</f>
        <v>#NAME?</v>
      </c>
      <c r="G77" s="1417"/>
      <c r="H77" s="1418" t="e">
        <f ca="1">BS_PY</f>
        <v>#NAME?</v>
      </c>
      <c r="I77" s="1418"/>
    </row>
    <row r="78" spans="1:20" ht="15.75" customHeight="1">
      <c r="B78" s="58" t="s">
        <v>1977</v>
      </c>
      <c r="C78" s="58"/>
      <c r="D78" s="58"/>
      <c r="E78" s="58"/>
      <c r="F78" s="462"/>
      <c r="G78" s="1601">
        <f ca="1">IFERROR(INDEX(INDIRECT(VLOOKUP($T78,Source_Master,2,0),),MATCH(TEXT($O78,0),INDIRECT(VLOOKUP($T78,Source_Master,4,0)),0),MATCH(G$1,INDIRECT(VLOOKUP($T78,Source_Master,3,0),),0)),0)</f>
        <v>0</v>
      </c>
      <c r="H78" s="1598"/>
      <c r="I78" s="1597">
        <f ca="1">IFERROR(INDEX(INDIRECT(VLOOKUP($T78,Source_Master,2,0),),MATCH(TEXT($O78,0),INDIRECT(VLOOKUP($T78,Source_Master,4,0)),0),MATCH(I$1,INDIRECT(VLOOKUP($T78,Source_Master,3,0),),0)),0)</f>
        <v>0</v>
      </c>
      <c r="M78" s="2" t="str">
        <f t="shared" ref="M78:M79" ca="1" si="6">IF(AND(G78=0,I78=0),"##H","")</f>
        <v>##H</v>
      </c>
      <c r="O78" s="271" t="s">
        <v>1978</v>
      </c>
      <c r="T78" s="24" t="s">
        <v>51</v>
      </c>
    </row>
    <row r="79" spans="1:20" ht="17.25" customHeight="1">
      <c r="B79" s="202" t="s">
        <v>1979</v>
      </c>
      <c r="C79" s="206"/>
      <c r="D79" s="202"/>
      <c r="E79" s="206"/>
      <c r="F79" s="927"/>
      <c r="G79" s="940">
        <f ca="1">IFERROR(INDEX(INDIRECT(VLOOKUP($T79,Source_Master,2,0),),MATCH(TEXT($O79,0),INDIRECT(VLOOKUP($T79,Source_Master,4,0)),0),MATCH(G$1,INDIRECT(VLOOKUP($T79,Source_Master,3,0),),0)),0)</f>
        <v>0</v>
      </c>
      <c r="H79" s="928"/>
      <c r="I79" s="864">
        <f ca="1">IFERROR(INDEX(INDIRECT(VLOOKUP($T79,Source_Master,2,0),),MATCH(TEXT($O79,0),INDIRECT(VLOOKUP($T79,Source_Master,4,0)),0),MATCH(I$1,INDIRECT(VLOOKUP($T79,Source_Master,3,0),),0)),0)</f>
        <v>0</v>
      </c>
      <c r="M79" s="2" t="str">
        <f t="shared" ca="1" si="6"/>
        <v>##H</v>
      </c>
      <c r="O79" s="271" t="s">
        <v>1980</v>
      </c>
      <c r="T79" s="24" t="s">
        <v>51</v>
      </c>
    </row>
    <row r="80" spans="1:20" ht="13.5" customHeight="1">
      <c r="D80" s="25"/>
    </row>
    <row r="81" spans="1:20" ht="13.5" customHeight="1">
      <c r="B81" s="1045" t="e">
        <f ca="1">"Contingent liabilities as at "&amp;Current_Date&amp;" is Rs. Nil (previous year: Rs. Nil)"</f>
        <v>#NAME?</v>
      </c>
      <c r="D81" s="25"/>
      <c r="K81" s="22"/>
    </row>
    <row r="82" spans="1:20" ht="15" customHeight="1">
      <c r="D82" s="25"/>
    </row>
    <row r="83" spans="1:20" ht="12" customHeight="1">
      <c r="B83" s="25" t="s">
        <v>1167</v>
      </c>
    </row>
    <row r="84" spans="1:20" ht="27" customHeight="1">
      <c r="B84" s="1416" t="s">
        <v>1981</v>
      </c>
      <c r="C84" s="1416"/>
      <c r="D84" s="1416"/>
      <c r="E84" s="1416"/>
      <c r="F84" s="1416"/>
      <c r="G84" s="1416"/>
      <c r="H84" s="1416"/>
      <c r="I84" s="1416"/>
    </row>
    <row r="85" spans="1:20" ht="27" customHeight="1">
      <c r="B85" s="1416" t="s">
        <v>1982</v>
      </c>
      <c r="C85" s="1416"/>
      <c r="D85" s="1416"/>
      <c r="E85" s="1416"/>
      <c r="F85" s="1416"/>
      <c r="G85" s="1416"/>
      <c r="H85" s="1416"/>
      <c r="I85" s="1416"/>
    </row>
    <row r="87" spans="1:20">
      <c r="A87" s="1123">
        <f>NTA!F167</f>
        <v>55</v>
      </c>
      <c r="B87" s="1123" t="str">
        <f>NTA!C167</f>
        <v>Employee Benefits</v>
      </c>
      <c r="C87" s="292"/>
      <c r="D87" s="292"/>
    </row>
    <row r="88" spans="1:20" ht="8.25" customHeight="1"/>
    <row r="89" spans="1:20">
      <c r="B89" s="1123">
        <f>NTA!F168</f>
        <v>55.1</v>
      </c>
      <c r="C89" s="1123" t="str">
        <f>NTA!C168</f>
        <v>Defined Contribution plans</v>
      </c>
      <c r="K89" s="22"/>
      <c r="L89" s="22"/>
      <c r="M89" s="22"/>
      <c r="N89" s="295"/>
      <c r="O89" s="295"/>
      <c r="P89" s="295"/>
      <c r="Q89" s="295"/>
      <c r="R89" s="295"/>
      <c r="S89" s="246"/>
    </row>
    <row r="90" spans="1:20" ht="45" customHeight="1">
      <c r="B90" s="32" t="s">
        <v>674</v>
      </c>
      <c r="C90" s="1416" t="s">
        <v>1983</v>
      </c>
      <c r="D90" s="1416"/>
      <c r="E90" s="1416"/>
      <c r="F90" s="1416"/>
      <c r="G90" s="1416"/>
      <c r="H90" s="1416"/>
      <c r="I90" s="1416"/>
    </row>
    <row r="91" spans="1:20" ht="27" customHeight="1">
      <c r="B91" s="32" t="s">
        <v>692</v>
      </c>
      <c r="C91" s="1425" t="e">
        <f ca="1">"The Company has 18 employees on rolls as on "&amp;Current_Date&amp;" and the Company has made a provision for Gratuity of Rs.0.06 Crore during the current year. However, no actual valuation of the liability has been ascertained during the year."</f>
        <v>#NAME?</v>
      </c>
      <c r="D91" s="1425"/>
      <c r="E91" s="1425"/>
      <c r="F91" s="1425"/>
      <c r="G91" s="1425"/>
      <c r="H91" s="1425"/>
      <c r="I91" s="1425"/>
      <c r="K91" s="246"/>
    </row>
    <row r="92" spans="1:20">
      <c r="B92" s="805" t="s">
        <v>849</v>
      </c>
      <c r="C92" s="15" t="s">
        <v>1984</v>
      </c>
      <c r="I92" s="1124" t="str">
        <f>'Master Sheet'!C65</f>
        <v>(Amount in INR)</v>
      </c>
    </row>
    <row r="93" spans="1:20" ht="29.25" customHeight="1">
      <c r="A93" s="28"/>
      <c r="B93" s="28"/>
      <c r="C93" s="1313" t="s">
        <v>500</v>
      </c>
      <c r="D93" s="1313"/>
      <c r="E93" s="1313"/>
      <c r="F93" s="1417" t="e">
        <f ca="1">PL_CY</f>
        <v>#NAME?</v>
      </c>
      <c r="G93" s="1417"/>
      <c r="H93" s="1418" t="e">
        <f ca="1">PL_PY</f>
        <v>#NAME?</v>
      </c>
      <c r="I93" s="1418"/>
    </row>
    <row r="94" spans="1:20" ht="15" customHeight="1">
      <c r="B94" s="20"/>
      <c r="C94" s="1054" t="str">
        <f>"Included under 'Contributions to Provident and Other Funds' (Refer Note "&amp;'NT PL1'!A119&amp;")"</f>
        <v>Included under 'Contributions to Provident and Other Funds' (Refer Note 47)</v>
      </c>
      <c r="D94" s="20"/>
      <c r="E94" s="20"/>
      <c r="F94" s="1528"/>
      <c r="G94" s="1538"/>
      <c r="H94" s="1528"/>
      <c r="I94" s="1545"/>
    </row>
    <row r="95" spans="1:20" ht="15" customHeight="1">
      <c r="B95" s="20"/>
      <c r="C95" s="223" t="s">
        <v>1985</v>
      </c>
      <c r="D95" s="58"/>
      <c r="E95" s="58"/>
      <c r="F95" s="65"/>
      <c r="G95" s="342">
        <f ca="1">IFERROR(INDEX(INDIRECT(VLOOKUP($T95,Source_Master,2,0),),MATCH(TEXT($O95,0),INDIRECT(VLOOKUP($T95,Source_Master,4,0)),0),MATCH(G$1,INDIRECT(VLOOKUP($T95,Source_Master,3,0),),0)),0)</f>
        <v>0</v>
      </c>
      <c r="H95" s="66"/>
      <c r="I95" s="719">
        <f ca="1">IFERROR(INDEX(INDIRECT(VLOOKUP($T95,Source_Master,2,0),),MATCH(TEXT($O95,0),INDIRECT(VLOOKUP($T95,Source_Master,4,0)),0),MATCH(I$1,INDIRECT(VLOOKUP($T95,Source_Master,3,0),),0)),0)</f>
        <v>0</v>
      </c>
      <c r="M95" s="2" t="str">
        <f ca="1">IF(AND(G95=0,I95=0),"##H","")</f>
        <v>##H</v>
      </c>
      <c r="O95" s="271" t="s">
        <v>1986</v>
      </c>
      <c r="T95" s="24" t="s">
        <v>51</v>
      </c>
    </row>
    <row r="96" spans="1:20" ht="15" customHeight="1">
      <c r="B96" s="253"/>
      <c r="C96" s="1170" t="str">
        <f>"Included under 'Staff Welfare Expenses' (Refer Note "&amp;'NT PL1'!A119&amp;")"</f>
        <v>Included under 'Staff Welfare Expenses' (Refer Note 47)</v>
      </c>
      <c r="D96" s="58"/>
      <c r="E96" s="1253"/>
      <c r="F96" s="453"/>
      <c r="G96" s="453"/>
      <c r="H96" s="476"/>
      <c r="I96" s="452"/>
    </row>
    <row r="97" spans="2:20" ht="15" customHeight="1">
      <c r="B97" s="20"/>
      <c r="C97" s="223" t="s">
        <v>1987</v>
      </c>
      <c r="D97" s="58"/>
      <c r="E97" s="58"/>
      <c r="F97" s="462"/>
      <c r="G97" s="936">
        <f ca="1">IFERROR(INDEX(INDIRECT(VLOOKUP($T97,Source_Master,2,0),),MATCH(TEXT($O97,0),INDIRECT(VLOOKUP($T97,Source_Master,4,0)),0),MATCH(G$1,INDIRECT(VLOOKUP($T97,Source_Master,3,0),),0)),0)</f>
        <v>0</v>
      </c>
      <c r="H97" s="477"/>
      <c r="I97" s="938">
        <f ca="1">IFERROR(INDEX(INDIRECT(VLOOKUP($T97,Source_Master,2,0),),MATCH(TEXT($O97,0),INDIRECT(VLOOKUP($T97,Source_Master,4,0)),0),MATCH(I$1,INDIRECT(VLOOKUP($T97,Source_Master,3,0),),0)),0)</f>
        <v>0</v>
      </c>
      <c r="M97" s="2" t="str">
        <f t="shared" ref="M97:M98" ca="1" si="7">IF(AND(G97=0,I97=0),"##H","")</f>
        <v>##H</v>
      </c>
      <c r="O97" s="271" t="s">
        <v>1988</v>
      </c>
      <c r="T97" s="24" t="s">
        <v>51</v>
      </c>
    </row>
    <row r="98" spans="2:20" ht="15" customHeight="1">
      <c r="B98" s="20"/>
      <c r="C98" s="216" t="s">
        <v>246</v>
      </c>
      <c r="D98" s="177"/>
      <c r="E98" s="177"/>
      <c r="F98" s="464"/>
      <c r="G98" s="937">
        <f ca="1">G95+G97</f>
        <v>0</v>
      </c>
      <c r="H98" s="464"/>
      <c r="I98" s="939">
        <f ca="1">I95+I97</f>
        <v>0</v>
      </c>
      <c r="M98" s="2" t="str">
        <f t="shared" ca="1" si="7"/>
        <v>##H</v>
      </c>
    </row>
    <row r="100" spans="2:20">
      <c r="B100" s="1149">
        <f>NTA!F169</f>
        <v>55.2</v>
      </c>
      <c r="C100" s="1149" t="str">
        <f>NTA!C169</f>
        <v>Compensated Absences</v>
      </c>
      <c r="I100" s="1124" t="str">
        <f>'Master Sheet'!C65</f>
        <v>(Amount in INR)</v>
      </c>
      <c r="K100" s="22"/>
      <c r="L100" s="22"/>
      <c r="M100" s="22"/>
      <c r="N100" s="295"/>
    </row>
    <row r="101" spans="2:20" ht="30.75" customHeight="1">
      <c r="B101" s="117"/>
      <c r="C101" s="1313" t="s">
        <v>500</v>
      </c>
      <c r="D101" s="1313"/>
      <c r="E101" s="1313"/>
      <c r="F101" s="1417" t="e">
        <f ca="1">PL_CY</f>
        <v>#NAME?</v>
      </c>
      <c r="G101" s="1417"/>
      <c r="H101" s="1418" t="e">
        <f ca="1">PL_PY</f>
        <v>#NAME?</v>
      </c>
      <c r="I101" s="1418"/>
    </row>
    <row r="102" spans="2:20" ht="15" customHeight="1">
      <c r="C102" s="1043" t="str">
        <f>"Included under 'Salaries and Bonus' (Refer Note "&amp;'NT PL1'!A119&amp;")"</f>
        <v>Included under 'Salaries and Bonus' (Refer Note 47)</v>
      </c>
      <c r="D102" s="20"/>
      <c r="E102" s="20"/>
      <c r="F102" s="1538"/>
      <c r="G102" s="1596">
        <f ca="1">IFERROR(INDEX(INDIRECT(VLOOKUP($T102,Source_Master,2,0),),MATCH(TEXT($O102,0),INDIRECT(VLOOKUP($T102,Source_Master,4,0)),0),MATCH(G$1,INDIRECT(VLOOKUP($T102,Source_Master,3,0),),0)),0)</f>
        <v>0</v>
      </c>
      <c r="H102" s="1528"/>
      <c r="I102" s="1597">
        <f ca="1">IFERROR(INDEX(INDIRECT(VLOOKUP($T102,Source_Master,2,0),),MATCH(TEXT($O102,0),INDIRECT(VLOOKUP($T102,Source_Master,4,0)),0),MATCH(I$1,INDIRECT(VLOOKUP($T102,Source_Master,3,0),),0)),0)</f>
        <v>0</v>
      </c>
      <c r="M102" s="2" t="str">
        <f t="shared" ref="M102:M105" ca="1" si="8">IF(AND(G102=0,I102=0),"##H","")</f>
        <v>##H</v>
      </c>
      <c r="O102" s="271" t="s">
        <v>1989</v>
      </c>
      <c r="T102" s="24" t="s">
        <v>51</v>
      </c>
    </row>
    <row r="103" spans="2:20" ht="15" customHeight="1">
      <c r="C103" s="68" t="s">
        <v>1990</v>
      </c>
      <c r="D103" s="58"/>
      <c r="E103" s="58"/>
      <c r="F103" s="65"/>
      <c r="G103" s="342">
        <f ca="1">SUM(G104:G105)</f>
        <v>0</v>
      </c>
      <c r="H103" s="66"/>
      <c r="I103" s="719">
        <f ca="1">SUM(I104:I105)</f>
        <v>0</v>
      </c>
      <c r="M103" s="2" t="str">
        <f t="shared" ca="1" si="8"/>
        <v>##H</v>
      </c>
    </row>
    <row r="104" spans="2:20" ht="15" customHeight="1">
      <c r="C104" s="1200" t="str">
        <f>"Current portion of the above (Refer Note "&amp;'NT BS2'!A149&amp;")"</f>
        <v>Current portion of the above (Refer Note 40)</v>
      </c>
      <c r="D104" s="243"/>
      <c r="E104" s="20"/>
      <c r="F104" s="1538"/>
      <c r="G104" s="1596">
        <f ca="1">'NT BS2'!H153</f>
        <v>0</v>
      </c>
      <c r="H104" s="1528"/>
      <c r="I104" s="1597">
        <f ca="1">'NT BS2'!J153</f>
        <v>0</v>
      </c>
      <c r="M104" s="2" t="str">
        <f t="shared" ca="1" si="8"/>
        <v>##H</v>
      </c>
    </row>
    <row r="105" spans="2:20" ht="15" customHeight="1">
      <c r="C105" s="1201" t="str">
        <f>"Non - current portion of the above (Refer Note "&amp;'NT BS2'!A21&amp;")"</f>
        <v>Non - current portion of the above (Refer Note 31)</v>
      </c>
      <c r="D105" s="343"/>
      <c r="E105" s="177"/>
      <c r="F105" s="454"/>
      <c r="G105" s="345">
        <f ca="1">'NT BS2'!H25</f>
        <v>0</v>
      </c>
      <c r="H105" s="478"/>
      <c r="I105" s="941">
        <f ca="1">'NT BS2'!J25</f>
        <v>0</v>
      </c>
      <c r="M105" s="2" t="str">
        <f t="shared" ca="1" si="8"/>
        <v>##H</v>
      </c>
    </row>
    <row r="107" spans="2:20">
      <c r="C107" s="15" t="s">
        <v>1991</v>
      </c>
      <c r="I107" s="1124" t="str">
        <f>'Master Sheet'!$C$65</f>
        <v>(Amount in INR)</v>
      </c>
    </row>
    <row r="108" spans="2:20" ht="31.5" customHeight="1">
      <c r="C108" s="1313" t="s">
        <v>500</v>
      </c>
      <c r="D108" s="1313"/>
      <c r="E108" s="1313"/>
      <c r="F108" s="1417" t="e">
        <f ca="1">PL_CY</f>
        <v>#NAME?</v>
      </c>
      <c r="G108" s="1417"/>
      <c r="H108" s="1418" t="e">
        <f ca="1">PL_PY</f>
        <v>#NAME?</v>
      </c>
      <c r="I108" s="1418"/>
    </row>
    <row r="109" spans="2:20" ht="15" customHeight="1">
      <c r="C109" s="20" t="s">
        <v>1992</v>
      </c>
      <c r="D109" s="20"/>
      <c r="E109" s="20"/>
      <c r="F109" s="1538"/>
      <c r="G109" s="1596">
        <f ca="1">IFERROR(INDEX(INDIRECT(VLOOKUP($T109,Source_Master,2,0),),MATCH(TEXT($O109,0),INDIRECT(VLOOKUP($T109,Source_Master,4,0)),0),MATCH(G$1,INDIRECT(VLOOKUP($T109,Source_Master,3,0),),0)),0)</f>
        <v>0</v>
      </c>
      <c r="H109" s="1528"/>
      <c r="I109" s="1597">
        <f ca="1">IFERROR(INDEX(INDIRECT(VLOOKUP($T109,Source_Master,2,0),),MATCH(TEXT($O109,0),INDIRECT(VLOOKUP($T109,Source_Master,4,0)),0),MATCH(I$1,INDIRECT(VLOOKUP($T109,Source_Master,3,0),),0)),0)</f>
        <v>0</v>
      </c>
      <c r="M109" s="2" t="str">
        <f t="shared" ref="M109:M110" ca="1" si="9">IF(AND(G109=0,I109=0),"##H","")</f>
        <v>##H</v>
      </c>
      <c r="O109" s="271" t="s">
        <v>1993</v>
      </c>
      <c r="T109" s="24" t="s">
        <v>51</v>
      </c>
    </row>
    <row r="110" spans="2:20" ht="15" customHeight="1">
      <c r="C110" s="177" t="s">
        <v>1994</v>
      </c>
      <c r="D110" s="177"/>
      <c r="E110" s="177"/>
      <c r="F110" s="454"/>
      <c r="G110" s="345">
        <f ca="1">IFERROR(INDEX(INDIRECT(VLOOKUP($T110,Source_Master,2,0),),MATCH(TEXT($O110,0),INDIRECT(VLOOKUP($T110,Source_Master,4,0)),0),MATCH(G$1,INDIRECT(VLOOKUP($T110,Source_Master,3,0),),0)),0)</f>
        <v>0</v>
      </c>
      <c r="H110" s="478"/>
      <c r="I110" s="941">
        <f ca="1">IFERROR(INDEX(INDIRECT(VLOOKUP($T110,Source_Master,2,0),),MATCH(TEXT($O110,0),INDIRECT(VLOOKUP($T110,Source_Master,4,0)),0),MATCH(I$1,INDIRECT(VLOOKUP($T110,Source_Master,3,0),),0)),0)</f>
        <v>0</v>
      </c>
      <c r="M110" s="2" t="str">
        <f t="shared" ca="1" si="9"/>
        <v>##H</v>
      </c>
      <c r="O110" s="271" t="s">
        <v>1995</v>
      </c>
      <c r="T110" s="24" t="s">
        <v>51</v>
      </c>
    </row>
    <row r="112" spans="2:20">
      <c r="B112" s="1134">
        <f>NTA!F170</f>
        <v>55.300000000000004</v>
      </c>
      <c r="C112" s="1134" t="str">
        <f>NTA!C170</f>
        <v>Defined benefit plans</v>
      </c>
      <c r="K112" s="22"/>
      <c r="L112" s="22"/>
      <c r="M112" s="22"/>
      <c r="N112" s="295"/>
      <c r="O112" s="295"/>
      <c r="P112" s="295"/>
      <c r="Q112" s="295"/>
      <c r="R112" s="295"/>
      <c r="S112" s="246"/>
    </row>
    <row r="113" spans="2:20" ht="6.75" customHeight="1"/>
    <row r="114" spans="2:20" ht="56.25" customHeight="1">
      <c r="C114" s="1416" t="s">
        <v>1996</v>
      </c>
      <c r="D114" s="1420"/>
      <c r="E114" s="1420"/>
      <c r="F114" s="1420"/>
      <c r="G114" s="1420"/>
      <c r="H114" s="1420"/>
      <c r="I114" s="1420"/>
    </row>
    <row r="115" spans="2:20" ht="44.25" customHeight="1">
      <c r="C115" s="1425" t="e">
        <f ca="1">"In respect of the plan, the most recent actuarial valuation of the plan assets and the present value of the defined benefit obligation were carried out as at "&amp;Current_Date&amp;" by M/s Kapadia Actuaries and Consultants for the entire group. The present value of the defined benefit obligation, and the related current service cost and paid service cost, were measured using the projected unit cost credit method."</f>
        <v>#NAME?</v>
      </c>
      <c r="D115" s="1426"/>
      <c r="E115" s="1426"/>
      <c r="F115" s="1426"/>
      <c r="G115" s="1426"/>
      <c r="H115" s="1426"/>
      <c r="I115" s="1426"/>
    </row>
    <row r="116" spans="2:20" ht="30" customHeight="1">
      <c r="C116" s="1416" t="s">
        <v>1997</v>
      </c>
      <c r="D116" s="1420"/>
      <c r="E116" s="1420"/>
      <c r="F116" s="1420"/>
      <c r="G116" s="1420"/>
      <c r="H116" s="1420"/>
      <c r="I116" s="1420"/>
      <c r="K116" s="246"/>
    </row>
    <row r="117" spans="2:20" ht="28.5" customHeight="1">
      <c r="B117" s="32" t="s">
        <v>674</v>
      </c>
      <c r="C117" s="1309" t="s">
        <v>1998</v>
      </c>
      <c r="D117" s="1309"/>
      <c r="E117" s="1309"/>
      <c r="F117" s="1309"/>
      <c r="G117" s="1309"/>
      <c r="H117" s="201"/>
      <c r="I117" s="1124" t="str">
        <f>'Master Sheet'!$C$65</f>
        <v>(Amount in INR)</v>
      </c>
      <c r="K117" s="295"/>
      <c r="L117" s="295"/>
      <c r="M117" s="295"/>
      <c r="N117" s="295"/>
      <c r="O117" s="295"/>
      <c r="P117" s="295"/>
      <c r="Q117" s="295"/>
      <c r="R117" s="295"/>
      <c r="S117" s="295"/>
    </row>
    <row r="118" spans="2:20" ht="27" customHeight="1">
      <c r="C118" s="1314" t="s">
        <v>500</v>
      </c>
      <c r="D118" s="1314"/>
      <c r="E118" s="1314"/>
      <c r="F118" s="1417" t="e">
        <f ca="1">BS_CY</f>
        <v>#NAME?</v>
      </c>
      <c r="G118" s="1417"/>
      <c r="H118" s="1418" t="e">
        <f ca="1">BS_PY</f>
        <v>#NAME?</v>
      </c>
      <c r="I118" s="1418"/>
    </row>
    <row r="119" spans="2:20" ht="27" customHeight="1">
      <c r="C119" s="1423" t="s">
        <v>1999</v>
      </c>
      <c r="D119" s="1423"/>
      <c r="E119" s="1423"/>
      <c r="F119" s="467"/>
      <c r="G119" s="467"/>
      <c r="H119" s="481"/>
      <c r="I119" s="468"/>
    </row>
    <row r="120" spans="2:20" ht="15" customHeight="1">
      <c r="C120" s="58" t="s">
        <v>2000</v>
      </c>
      <c r="D120" s="58"/>
      <c r="E120" s="58"/>
      <c r="F120" s="65"/>
      <c r="G120" s="65"/>
      <c r="H120" s="66"/>
      <c r="I120" s="452"/>
    </row>
    <row r="121" spans="2:20" ht="15" customHeight="1">
      <c r="C121" s="223" t="s">
        <v>2001</v>
      </c>
      <c r="D121" s="58"/>
      <c r="E121" s="58"/>
      <c r="F121" s="65"/>
      <c r="G121" s="342">
        <f ca="1">IFERROR(INDEX(INDIRECT(VLOOKUP($T121,Source_Master,2,0),),MATCH(TEXT($O121,0),INDIRECT(VLOOKUP($T121,Source_Master,4,0)),0),MATCH(G$1,INDIRECT(VLOOKUP($T121,Source_Master,3,0),),0)),0)</f>
        <v>0</v>
      </c>
      <c r="H121" s="66"/>
      <c r="I121" s="719">
        <f ca="1">IFERROR(INDEX(INDIRECT(VLOOKUP($T121,Source_Master,2,0),),MATCH(TEXT($O121,0),INDIRECT(VLOOKUP($T121,Source_Master,4,0)),0),MATCH(I$1,INDIRECT(VLOOKUP($T121,Source_Master,3,0),),0)),0)</f>
        <v>0</v>
      </c>
      <c r="M121" s="2" t="str">
        <f ca="1">IF(AND(G121=0,I121=0),"##H","")</f>
        <v>##H</v>
      </c>
      <c r="O121" s="271" t="s">
        <v>2002</v>
      </c>
      <c r="T121" s="24" t="s">
        <v>51</v>
      </c>
    </row>
    <row r="122" spans="2:20" ht="15" customHeight="1">
      <c r="C122" s="223" t="s">
        <v>2003</v>
      </c>
      <c r="D122" s="58"/>
      <c r="E122" s="58"/>
      <c r="F122" s="65"/>
      <c r="G122" s="65"/>
      <c r="H122" s="66"/>
      <c r="I122" s="452"/>
      <c r="M122" s="2" t="str">
        <f t="shared" ref="M122" si="10">IF(AND(G122=0,I122=0),"##H","")</f>
        <v>##H</v>
      </c>
    </row>
    <row r="123" spans="2:20" ht="15" customHeight="1">
      <c r="C123" s="223" t="s">
        <v>2004</v>
      </c>
      <c r="D123" s="58"/>
      <c r="E123" s="58"/>
      <c r="F123" s="466"/>
      <c r="G123" s="401">
        <f ca="1">IFERROR(INDEX(INDIRECT(VLOOKUP($T123,Source_Master,2,0),),MATCH(TEXT($O123,0),INDIRECT(VLOOKUP($T123,Source_Master,4,0)),0),MATCH(G$1,INDIRECT(VLOOKUP($T123,Source_Master,3,0),),0)),0)</f>
        <v>0</v>
      </c>
      <c r="H123" s="479"/>
      <c r="I123" s="938">
        <f ca="1">IFERROR(INDEX(INDIRECT(VLOOKUP($T123,Source_Master,2,0),),MATCH(TEXT($O123,0),INDIRECT(VLOOKUP($T123,Source_Master,4,0)),0),MATCH(I$1,INDIRECT(VLOOKUP($T123,Source_Master,3,0),),0)),0)</f>
        <v>0</v>
      </c>
      <c r="M123" s="2" t="str">
        <f t="shared" ref="M123:M124" ca="1" si="11">IF(AND(G123=0,I123=0),"##H","")</f>
        <v>##H</v>
      </c>
      <c r="O123" s="929" t="s">
        <v>2005</v>
      </c>
      <c r="T123" s="24" t="s">
        <v>51</v>
      </c>
    </row>
    <row r="124" spans="2:20" ht="15" customHeight="1">
      <c r="C124" s="33" t="s">
        <v>2006</v>
      </c>
      <c r="D124" s="58"/>
      <c r="E124" s="58"/>
      <c r="F124" s="469"/>
      <c r="G124" s="942">
        <f ca="1">SUM(G121:G123)</f>
        <v>0</v>
      </c>
      <c r="H124" s="480"/>
      <c r="I124" s="939">
        <f ca="1">SUM(I121:I123)</f>
        <v>0</v>
      </c>
      <c r="M124" s="2" t="str">
        <f t="shared" ca="1" si="11"/>
        <v>##H</v>
      </c>
    </row>
    <row r="125" spans="2:20">
      <c r="C125" s="58"/>
      <c r="D125" s="58"/>
      <c r="E125" s="58"/>
      <c r="F125" s="467"/>
      <c r="G125" s="467"/>
      <c r="H125" s="481"/>
      <c r="I125" s="468"/>
    </row>
    <row r="126" spans="2:20" ht="15" customHeight="1">
      <c r="C126" s="33" t="s">
        <v>2007</v>
      </c>
      <c r="D126" s="58"/>
      <c r="E126" s="58"/>
      <c r="F126" s="65"/>
      <c r="G126" s="65"/>
      <c r="H126" s="66"/>
      <c r="I126" s="452"/>
    </row>
    <row r="127" spans="2:20" ht="15" customHeight="1">
      <c r="C127" s="223" t="s">
        <v>2008</v>
      </c>
      <c r="D127" s="58"/>
      <c r="E127" s="58"/>
      <c r="F127" s="65"/>
      <c r="G127" s="342">
        <f ca="1">IFERROR(INDEX(INDIRECT(VLOOKUP($T127,Source_Master,2,0),),MATCH(TEXT($O127,0),INDIRECT(VLOOKUP($T127,Source_Master,4,0)),0),MATCH(G$1,INDIRECT(VLOOKUP($T127,Source_Master,3,0),),0)),0)</f>
        <v>0</v>
      </c>
      <c r="H127" s="66"/>
      <c r="I127" s="719">
        <f ca="1">IFERROR(INDEX(INDIRECT(VLOOKUP($T127,Source_Master,2,0),),MATCH(TEXT($O127,0),INDIRECT(VLOOKUP($T127,Source_Master,4,0)),0),MATCH(I$1,INDIRECT(VLOOKUP($T127,Source_Master,3,0),),0)),0)</f>
        <v>0</v>
      </c>
      <c r="M127" s="2" t="str">
        <f t="shared" ref="M127:M131" ca="1" si="12">IF(AND(G127=0,I127=0),"##H","")</f>
        <v>##H</v>
      </c>
      <c r="O127" s="271" t="s">
        <v>2009</v>
      </c>
      <c r="T127" s="24" t="s">
        <v>51</v>
      </c>
    </row>
    <row r="128" spans="2:20" ht="15" customHeight="1">
      <c r="C128" s="223" t="s">
        <v>2010</v>
      </c>
      <c r="D128" s="58"/>
      <c r="E128" s="58"/>
      <c r="F128" s="65"/>
      <c r="G128" s="342">
        <f ca="1">IFERROR(INDEX(INDIRECT(VLOOKUP($T128,Source_Master,2,0),),MATCH(TEXT($O128,0),INDIRECT(VLOOKUP($T128,Source_Master,4,0)),0),MATCH(G$1,INDIRECT(VLOOKUP($T128,Source_Master,3,0),),0)),0)</f>
        <v>0</v>
      </c>
      <c r="H128" s="66"/>
      <c r="I128" s="719">
        <f ca="1">IFERROR(INDEX(INDIRECT(VLOOKUP($T128,Source_Master,2,0),),MATCH(TEXT($O128,0),INDIRECT(VLOOKUP($T128,Source_Master,4,0)),0),MATCH(I$1,INDIRECT(VLOOKUP($T128,Source_Master,3,0),),0)),0)</f>
        <v>0</v>
      </c>
      <c r="M128" s="2" t="str">
        <f t="shared" ca="1" si="12"/>
        <v>##H</v>
      </c>
      <c r="O128" s="271" t="s">
        <v>2011</v>
      </c>
      <c r="T128" s="24" t="s">
        <v>51</v>
      </c>
    </row>
    <row r="129" spans="2:20" ht="15" customHeight="1">
      <c r="C129" s="223" t="s">
        <v>2012</v>
      </c>
      <c r="D129" s="58"/>
      <c r="E129" s="58"/>
      <c r="F129" s="65"/>
      <c r="G129" s="342">
        <f ca="1">IFERROR(INDEX(INDIRECT(VLOOKUP($T129,Source_Master,2,0),),MATCH(TEXT($O129,0),INDIRECT(VLOOKUP($T129,Source_Master,4,0)),0),MATCH(G$1,INDIRECT(VLOOKUP($T129,Source_Master,3,0),),0)),0)</f>
        <v>0</v>
      </c>
      <c r="H129" s="66"/>
      <c r="I129" s="719">
        <f ca="1">IFERROR(INDEX(INDIRECT(VLOOKUP($T129,Source_Master,2,0),),MATCH(TEXT($O129,0),INDIRECT(VLOOKUP($T129,Source_Master,4,0)),0),MATCH(I$1,INDIRECT(VLOOKUP($T129,Source_Master,3,0),),0)),0)</f>
        <v>0</v>
      </c>
      <c r="M129" s="2" t="str">
        <f t="shared" ca="1" si="12"/>
        <v>##H</v>
      </c>
      <c r="O129" s="271" t="s">
        <v>2013</v>
      </c>
      <c r="T129" s="24" t="s">
        <v>51</v>
      </c>
    </row>
    <row r="130" spans="2:20" ht="15" customHeight="1">
      <c r="C130" s="223" t="s">
        <v>2014</v>
      </c>
      <c r="D130" s="58"/>
      <c r="E130" s="58"/>
      <c r="F130" s="466"/>
      <c r="G130" s="401">
        <f ca="1">IFERROR(INDEX(INDIRECT(VLOOKUP($T130,Source_Master,2,0),),MATCH(TEXT($O130,0),INDIRECT(VLOOKUP($T130,Source_Master,4,0)),0),MATCH(G$1,INDIRECT(VLOOKUP($T130,Source_Master,3,0),),0)),0)</f>
        <v>0</v>
      </c>
      <c r="H130" s="479"/>
      <c r="I130" s="938">
        <f ca="1">IFERROR(INDEX(INDIRECT(VLOOKUP($T130,Source_Master,2,0),),MATCH(TEXT($O130,0),INDIRECT(VLOOKUP($T130,Source_Master,4,0)),0),MATCH(I$1,INDIRECT(VLOOKUP($T130,Source_Master,3,0),),0)),0)</f>
        <v>0</v>
      </c>
      <c r="M130" s="2" t="str">
        <f t="shared" ca="1" si="12"/>
        <v>##H</v>
      </c>
      <c r="O130" s="271" t="s">
        <v>2015</v>
      </c>
      <c r="T130" s="24" t="s">
        <v>51</v>
      </c>
    </row>
    <row r="131" spans="2:20" ht="15" customHeight="1">
      <c r="C131" s="33" t="s">
        <v>2016</v>
      </c>
      <c r="D131" s="58"/>
      <c r="E131" s="58"/>
      <c r="F131" s="469"/>
      <c r="G131" s="942">
        <f ca="1">SUM(G127:G130)</f>
        <v>0</v>
      </c>
      <c r="H131" s="480"/>
      <c r="I131" s="939">
        <f ca="1">SUM(I127:I130)</f>
        <v>0</v>
      </c>
      <c r="M131" s="2" t="str">
        <f t="shared" ca="1" si="12"/>
        <v>##H</v>
      </c>
    </row>
    <row r="132" spans="2:20">
      <c r="C132" s="33"/>
      <c r="D132" s="58"/>
      <c r="E132" s="58"/>
      <c r="F132" s="1538"/>
      <c r="G132" s="1538"/>
      <c r="H132" s="1528"/>
      <c r="I132" s="1545"/>
    </row>
    <row r="133" spans="2:20" ht="27" customHeight="1">
      <c r="C133" s="1424" t="s">
        <v>2017</v>
      </c>
      <c r="D133" s="1424"/>
      <c r="E133" s="1424"/>
      <c r="F133" s="470"/>
      <c r="G133" s="943">
        <f ca="1">G124+G131</f>
        <v>0</v>
      </c>
      <c r="H133" s="482"/>
      <c r="I133" s="944">
        <f ca="1">I124+I131</f>
        <v>0</v>
      </c>
      <c r="M133" s="2" t="str">
        <f ca="1">IF(AND(G133=0,I133=0),"##H","")</f>
        <v>##H</v>
      </c>
    </row>
    <row r="134" spans="2:20">
      <c r="C134" s="20"/>
      <c r="D134" s="243"/>
      <c r="E134" s="20"/>
      <c r="F134" s="1538"/>
      <c r="G134" s="1538"/>
      <c r="H134" s="1538"/>
      <c r="I134" s="1545"/>
    </row>
    <row r="135" spans="2:20" ht="28.5" customHeight="1">
      <c r="C135" s="1425" t="str">
        <f>"(i) The current service cost and interest expense for the year are included in Note "&amp;'NT PL1'!A119&amp;" - 'Employee Benefit Expenses' in the Statement of Profit &amp; Loss under the line item 'Contribution to Provident and Other Funds'"</f>
        <v>(i) The current service cost and interest expense for the year are included in Note 47 - 'Employee Benefit Expenses' in the Statement of Profit &amp; Loss under the line item 'Contribution to Provident and Other Funds'</v>
      </c>
      <c r="D135" s="1425"/>
      <c r="E135" s="1425"/>
      <c r="F135" s="1425"/>
      <c r="G135" s="1425"/>
      <c r="H135" s="1425"/>
      <c r="I135" s="1425"/>
    </row>
    <row r="136" spans="2:20">
      <c r="C136" s="15" t="s">
        <v>2018</v>
      </c>
    </row>
    <row r="138" spans="2:20">
      <c r="B138" s="805" t="s">
        <v>692</v>
      </c>
      <c r="C138" s="1309" t="s">
        <v>2019</v>
      </c>
      <c r="D138" s="1309"/>
      <c r="E138" s="1309"/>
      <c r="F138" s="1309"/>
      <c r="G138" s="1309"/>
      <c r="I138" s="1124" t="str">
        <f>'Master Sheet'!$C$65</f>
        <v>(Amount in INR)</v>
      </c>
      <c r="K138" s="22"/>
      <c r="L138" s="22"/>
      <c r="M138" s="22"/>
      <c r="N138" s="295"/>
      <c r="O138" s="295"/>
      <c r="P138" s="295"/>
      <c r="Q138" s="295"/>
      <c r="R138" s="295"/>
      <c r="S138" s="246"/>
    </row>
    <row r="139" spans="2:20" ht="25.5" customHeight="1">
      <c r="C139" s="1313" t="s">
        <v>500</v>
      </c>
      <c r="D139" s="1313"/>
      <c r="E139" s="1313"/>
      <c r="F139" s="1417" t="e">
        <f ca="1">BS_CY</f>
        <v>#NAME?</v>
      </c>
      <c r="G139" s="1417"/>
      <c r="H139" s="1418" t="e">
        <f ca="1">BS_PY</f>
        <v>#NAME?</v>
      </c>
      <c r="I139" s="1418"/>
    </row>
    <row r="140" spans="2:20" ht="15" customHeight="1">
      <c r="C140" s="21" t="s">
        <v>2020</v>
      </c>
      <c r="D140" s="20"/>
      <c r="E140" s="20"/>
      <c r="F140" s="1538"/>
      <c r="G140" s="1538"/>
      <c r="H140" s="1528"/>
      <c r="I140" s="1545"/>
    </row>
    <row r="141" spans="2:20" ht="15" customHeight="1">
      <c r="C141" s="58" t="s">
        <v>2021</v>
      </c>
      <c r="D141" s="58"/>
      <c r="E141" s="58"/>
      <c r="F141" s="65"/>
      <c r="G141" s="342">
        <f ca="1">G163</f>
        <v>0</v>
      </c>
      <c r="H141" s="66"/>
      <c r="I141" s="719">
        <f ca="1">I163</f>
        <v>0</v>
      </c>
      <c r="M141" s="2" t="str">
        <f t="shared" ref="M141:M143" ca="1" si="13">IF(AND(G141=0,I141=0),"##H","")</f>
        <v>##H</v>
      </c>
    </row>
    <row r="142" spans="2:20" ht="15" customHeight="1">
      <c r="C142" s="58" t="s">
        <v>2022</v>
      </c>
      <c r="D142" s="58"/>
      <c r="E142" s="58"/>
      <c r="F142" s="65"/>
      <c r="G142" s="342">
        <f ca="1">G179</f>
        <v>0</v>
      </c>
      <c r="H142" s="66"/>
      <c r="I142" s="719">
        <f ca="1">I179</f>
        <v>0</v>
      </c>
      <c r="M142" s="2" t="str">
        <f t="shared" ca="1" si="13"/>
        <v>##H</v>
      </c>
    </row>
    <row r="143" spans="2:20" ht="15" customHeight="1">
      <c r="C143" s="33" t="s">
        <v>1990</v>
      </c>
      <c r="D143" s="58"/>
      <c r="E143" s="58"/>
      <c r="F143" s="471"/>
      <c r="G143" s="945">
        <f ca="1">G141-G142</f>
        <v>0</v>
      </c>
      <c r="H143" s="483"/>
      <c r="I143" s="946">
        <f ca="1">I141-I142</f>
        <v>0</v>
      </c>
      <c r="M143" s="2" t="str">
        <f t="shared" ca="1" si="13"/>
        <v>##H</v>
      </c>
    </row>
    <row r="144" spans="2:20" ht="15" customHeight="1">
      <c r="C144" s="243" t="s">
        <v>2023</v>
      </c>
      <c r="D144" s="243"/>
      <c r="E144" s="20"/>
      <c r="F144" s="1538"/>
      <c r="G144" s="1538"/>
      <c r="H144" s="1528"/>
      <c r="I144" s="1528"/>
    </row>
    <row r="145" spans="2:20" ht="15" customHeight="1">
      <c r="C145" s="343" t="s">
        <v>2024</v>
      </c>
      <c r="D145" s="343"/>
      <c r="E145" s="177"/>
      <c r="F145" s="454"/>
      <c r="G145" s="345">
        <f ca="1">'NT BS2'!H24</f>
        <v>0</v>
      </c>
      <c r="H145" s="478"/>
      <c r="I145" s="941">
        <f ca="1">'NT BS2'!J24</f>
        <v>0</v>
      </c>
      <c r="M145" s="2" t="str">
        <f ca="1">IF(AND(G145=0,I145=0),"##H","")</f>
        <v>##H</v>
      </c>
    </row>
    <row r="147" spans="2:20">
      <c r="B147" s="805" t="s">
        <v>849</v>
      </c>
      <c r="C147" s="25" t="s">
        <v>2025</v>
      </c>
      <c r="I147" s="1124" t="str">
        <f>'Master Sheet'!C65</f>
        <v>(Amount in INR)</v>
      </c>
      <c r="K147" s="22"/>
      <c r="L147" s="22"/>
      <c r="M147" s="22"/>
      <c r="N147" s="295"/>
      <c r="O147" s="295"/>
      <c r="P147" s="295"/>
      <c r="Q147" s="295"/>
      <c r="R147" s="295"/>
      <c r="S147" s="246"/>
    </row>
    <row r="148" spans="2:20" ht="25.5" customHeight="1">
      <c r="C148" s="1313" t="s">
        <v>500</v>
      </c>
      <c r="D148" s="1313"/>
      <c r="E148" s="1313"/>
      <c r="F148" s="1417" t="e">
        <f ca="1">BS_CY</f>
        <v>#NAME?</v>
      </c>
      <c r="G148" s="1417"/>
      <c r="H148" s="1418" t="e">
        <f ca="1">BS_PY</f>
        <v>#NAME?</v>
      </c>
      <c r="I148" s="1418"/>
    </row>
    <row r="149" spans="2:20" ht="15" customHeight="1">
      <c r="C149" s="33" t="s">
        <v>2026</v>
      </c>
      <c r="D149" s="356"/>
      <c r="E149" s="356"/>
      <c r="F149" s="467"/>
      <c r="G149" s="404">
        <f ca="1">I163</f>
        <v>0</v>
      </c>
      <c r="H149" s="481"/>
      <c r="I149" s="947">
        <f ca="1">IFERROR(INDEX(INDIRECT(VLOOKUP($T149,Source_Master,2,0),),MATCH(TEXT($O149,0),INDIRECT(VLOOKUP($T149,Source_Master,4,0)),0),MATCH(I$1,INDIRECT(VLOOKUP($T149,Source_Master,3,0),),0)),0)</f>
        <v>0</v>
      </c>
      <c r="M149" s="2" t="str">
        <f ca="1">IF(AND(G149=0,I149=0),"##H","")</f>
        <v>##H</v>
      </c>
      <c r="O149" s="271" t="s">
        <v>2027</v>
      </c>
      <c r="T149" s="24" t="s">
        <v>51</v>
      </c>
    </row>
    <row r="150" spans="2:20" ht="15" customHeight="1">
      <c r="C150" s="58" t="s">
        <v>2028</v>
      </c>
      <c r="D150" s="58"/>
      <c r="E150" s="58"/>
      <c r="F150" s="65"/>
      <c r="G150" s="65"/>
      <c r="H150" s="66"/>
      <c r="I150" s="452"/>
    </row>
    <row r="151" spans="2:20" ht="15" customHeight="1">
      <c r="C151" s="223" t="s">
        <v>2001</v>
      </c>
      <c r="D151" s="58"/>
      <c r="E151" s="58"/>
      <c r="F151" s="65"/>
      <c r="G151" s="342">
        <f ca="1">G121</f>
        <v>0</v>
      </c>
      <c r="H151" s="66"/>
      <c r="I151" s="719">
        <f ca="1">I121</f>
        <v>0</v>
      </c>
      <c r="M151" s="2" t="str">
        <f ca="1">IF(AND(G151=0,I151=0),"##H","")</f>
        <v>##H</v>
      </c>
      <c r="O151" s="24" t="s">
        <v>2029</v>
      </c>
    </row>
    <row r="152" spans="2:20" ht="15" customHeight="1">
      <c r="C152" s="223" t="s">
        <v>2030</v>
      </c>
      <c r="D152" s="58"/>
      <c r="E152" s="58"/>
      <c r="F152" s="65"/>
      <c r="G152" s="65"/>
      <c r="H152" s="66"/>
      <c r="I152" s="452"/>
    </row>
    <row r="153" spans="2:20" ht="15" customHeight="1">
      <c r="C153" s="223" t="s">
        <v>2031</v>
      </c>
      <c r="D153" s="58"/>
      <c r="E153" s="58"/>
      <c r="F153" s="65"/>
      <c r="G153" s="342">
        <f ca="1">G123</f>
        <v>0</v>
      </c>
      <c r="H153" s="66"/>
      <c r="I153" s="719">
        <f ca="1">I123</f>
        <v>0</v>
      </c>
      <c r="M153" s="2" t="str">
        <f t="shared" ref="M153:M154" ca="1" si="14">IF(AND(G153=0,I153=0),"##H","")</f>
        <v>##H</v>
      </c>
    </row>
    <row r="154" spans="2:20" ht="15" customHeight="1">
      <c r="C154" s="223" t="s">
        <v>1524</v>
      </c>
      <c r="D154" s="58"/>
      <c r="E154" s="58"/>
      <c r="F154" s="65"/>
      <c r="G154" s="342">
        <f ca="1">IFERROR(INDEX(INDIRECT(VLOOKUP($T154,Source_Master,2,0),),MATCH(TEXT($O154,0),INDIRECT(VLOOKUP($T154,Source_Master,4,0)),0),MATCH(G$1,INDIRECT(VLOOKUP($T154,Source_Master,3,0),),0)),0)</f>
        <v>0</v>
      </c>
      <c r="H154" s="66"/>
      <c r="I154" s="719">
        <f ca="1">IFERROR(INDEX(INDIRECT(VLOOKUP($T154,Source_Master,2,0),),MATCH(TEXT($O154,0),INDIRECT(VLOOKUP($T154,Source_Master,4,0)),0),MATCH(I$1,INDIRECT(VLOOKUP($T154,Source_Master,3,0),),0)),0)</f>
        <v>0</v>
      </c>
      <c r="M154" s="2" t="str">
        <f t="shared" ca="1" si="14"/>
        <v>##H</v>
      </c>
      <c r="O154" s="271" t="s">
        <v>2032</v>
      </c>
      <c r="T154" s="24" t="s">
        <v>51</v>
      </c>
    </row>
    <row r="155" spans="2:20" ht="15" customHeight="1">
      <c r="C155" s="58" t="s">
        <v>2033</v>
      </c>
      <c r="D155" s="58"/>
      <c r="E155" s="58"/>
      <c r="F155" s="65"/>
      <c r="G155" s="65"/>
      <c r="H155" s="66"/>
      <c r="I155" s="452"/>
    </row>
    <row r="156" spans="2:20" ht="15" customHeight="1">
      <c r="C156" s="223" t="s">
        <v>2034</v>
      </c>
      <c r="D156" s="58"/>
      <c r="E156" s="58"/>
      <c r="F156" s="65"/>
      <c r="G156" s="65"/>
      <c r="H156" s="66"/>
      <c r="I156" s="452"/>
    </row>
    <row r="157" spans="2:20" ht="15" customHeight="1">
      <c r="C157" s="67" t="s">
        <v>2035</v>
      </c>
      <c r="D157" s="58"/>
      <c r="E157" s="58"/>
      <c r="F157" s="65"/>
      <c r="G157" s="65"/>
      <c r="H157" s="66"/>
      <c r="I157" s="452"/>
    </row>
    <row r="158" spans="2:20" ht="15" customHeight="1">
      <c r="C158" s="636" t="s">
        <v>2036</v>
      </c>
      <c r="D158" s="58"/>
      <c r="E158" s="58"/>
      <c r="F158" s="65"/>
      <c r="G158" s="342">
        <f ca="1">IFERROR(INDEX(INDIRECT(VLOOKUP($T158,Source_Master,2,0),),MATCH(TEXT($O158,0),INDIRECT(VLOOKUP($T158,Source_Master,4,0)),0),MATCH(G$1,INDIRECT(VLOOKUP($T158,Source_Master,3,0),),0)),0)</f>
        <v>0</v>
      </c>
      <c r="H158" s="66"/>
      <c r="I158" s="719">
        <f ca="1">IFERROR(INDEX(INDIRECT(VLOOKUP($T158,Source_Master,2,0),),MATCH(TEXT($O158,0),INDIRECT(VLOOKUP($T158,Source_Master,4,0)),0),MATCH(I$1,INDIRECT(VLOOKUP($T158,Source_Master,3,0),),0)),0)</f>
        <v>0</v>
      </c>
      <c r="M158" s="2" t="str">
        <f t="shared" ref="M158:M160" ca="1" si="15">IF(AND(G158=0,I158=0),"##H","")</f>
        <v>##H</v>
      </c>
      <c r="O158" s="271" t="s">
        <v>2037</v>
      </c>
      <c r="T158" s="24" t="s">
        <v>51</v>
      </c>
    </row>
    <row r="159" spans="2:20" ht="15" customHeight="1">
      <c r="C159" s="636" t="s">
        <v>2038</v>
      </c>
      <c r="D159" s="58"/>
      <c r="E159" s="58"/>
      <c r="F159" s="65"/>
      <c r="G159" s="342">
        <f ca="1">IFERROR(INDEX(INDIRECT(VLOOKUP($T159,Source_Master,2,0),),MATCH(TEXT($O159,0),INDIRECT(VLOOKUP($T159,Source_Master,4,0)),0),MATCH(G$1,INDIRECT(VLOOKUP($T159,Source_Master,3,0),),0)),0)</f>
        <v>0</v>
      </c>
      <c r="H159" s="66"/>
      <c r="I159" s="719">
        <f ca="1">IFERROR(INDEX(INDIRECT(VLOOKUP($T159,Source_Master,2,0),),MATCH(TEXT($O159,0),INDIRECT(VLOOKUP($T159,Source_Master,4,0)),0),MATCH(I$1,INDIRECT(VLOOKUP($T159,Source_Master,3,0),),0)),0)</f>
        <v>0</v>
      </c>
      <c r="M159" s="2" t="str">
        <f t="shared" ca="1" si="15"/>
        <v>##H</v>
      </c>
      <c r="O159" s="271" t="s">
        <v>2039</v>
      </c>
      <c r="T159" s="24" t="s">
        <v>51</v>
      </c>
    </row>
    <row r="160" spans="2:20" ht="15" customHeight="1">
      <c r="C160" s="636" t="s">
        <v>2040</v>
      </c>
      <c r="D160" s="58"/>
      <c r="E160" s="58"/>
      <c r="F160" s="65"/>
      <c r="G160" s="342">
        <f ca="1">IFERROR(INDEX(INDIRECT(VLOOKUP($T160,Source_Master,2,0),),MATCH(TEXT($O160,0),INDIRECT(VLOOKUP($T160,Source_Master,4,0)),0),MATCH(G$1,INDIRECT(VLOOKUP($T160,Source_Master,3,0),),0)),0)</f>
        <v>0</v>
      </c>
      <c r="H160" s="66"/>
      <c r="I160" s="719">
        <f ca="1">IFERROR(INDEX(INDIRECT(VLOOKUP($T160,Source_Master,2,0),),MATCH(TEXT($O160,0),INDIRECT(VLOOKUP($T160,Source_Master,4,0)),0),MATCH(I$1,INDIRECT(VLOOKUP($T160,Source_Master,3,0),),0)),0)</f>
        <v>0</v>
      </c>
      <c r="M160" s="2" t="str">
        <f t="shared" ca="1" si="15"/>
        <v>##H</v>
      </c>
      <c r="O160" s="271" t="s">
        <v>2041</v>
      </c>
      <c r="T160" s="24" t="s">
        <v>51</v>
      </c>
    </row>
    <row r="161" spans="2:20" ht="15" customHeight="1">
      <c r="C161" s="223" t="s">
        <v>2042</v>
      </c>
      <c r="D161" s="58"/>
      <c r="E161" s="58"/>
      <c r="F161" s="65"/>
      <c r="G161" s="65"/>
      <c r="H161" s="66"/>
      <c r="I161" s="452"/>
      <c r="O161" s="271" t="s">
        <v>2043</v>
      </c>
      <c r="T161" s="24" t="s">
        <v>51</v>
      </c>
    </row>
    <row r="162" spans="2:20" ht="15" customHeight="1">
      <c r="C162" s="223"/>
      <c r="D162" s="58"/>
      <c r="E162" s="58"/>
      <c r="F162" s="1538"/>
      <c r="G162" s="1538"/>
      <c r="H162" s="1528"/>
      <c r="I162" s="1545"/>
    </row>
    <row r="163" spans="2:20" ht="15" customHeight="1">
      <c r="C163" s="216" t="s">
        <v>2044</v>
      </c>
      <c r="D163" s="177"/>
      <c r="E163" s="177"/>
      <c r="F163" s="469"/>
      <c r="G163" s="942">
        <f ca="1">SUM(G149:G162)</f>
        <v>0</v>
      </c>
      <c r="H163" s="480"/>
      <c r="I163" s="939">
        <f ca="1">SUM(I149:I162)</f>
        <v>0</v>
      </c>
      <c r="M163" s="2" t="str">
        <f ca="1">IF(AND(G163=0,I163=0),"##H","")</f>
        <v>##H</v>
      </c>
    </row>
    <row r="165" spans="2:20">
      <c r="B165" s="805" t="s">
        <v>707</v>
      </c>
      <c r="C165" s="25" t="s">
        <v>2045</v>
      </c>
      <c r="I165" s="1124" t="str">
        <f>'Master Sheet'!C65</f>
        <v>(Amount in INR)</v>
      </c>
      <c r="K165" s="22"/>
      <c r="L165" s="22"/>
      <c r="M165" s="22"/>
      <c r="N165" s="295"/>
      <c r="O165" s="295"/>
      <c r="P165" s="295"/>
      <c r="Q165" s="295"/>
      <c r="R165" s="295"/>
      <c r="S165" s="246"/>
    </row>
    <row r="166" spans="2:20" ht="27.75" customHeight="1">
      <c r="C166" s="1313" t="s">
        <v>500</v>
      </c>
      <c r="D166" s="1313"/>
      <c r="E166" s="1313"/>
      <c r="F166" s="1417" t="e">
        <f ca="1">BS_CY</f>
        <v>#NAME?</v>
      </c>
      <c r="G166" s="1417"/>
      <c r="H166" s="1418" t="e">
        <f ca="1">BS_PY</f>
        <v>#NAME?</v>
      </c>
      <c r="I166" s="1418"/>
    </row>
    <row r="167" spans="2:20" ht="15" customHeight="1">
      <c r="C167" s="33" t="s">
        <v>2046</v>
      </c>
      <c r="D167" s="356"/>
      <c r="E167" s="356"/>
      <c r="F167" s="467"/>
      <c r="G167" s="404">
        <f ca="1">I179</f>
        <v>0</v>
      </c>
      <c r="H167" s="481"/>
      <c r="I167" s="947">
        <f ca="1">IFERROR(INDEX(INDIRECT(VLOOKUP($T167,Source_Master,2,0),),MATCH(TEXT($O167,0),INDIRECT(VLOOKUP($T167,Source_Master,4,0)),0),MATCH(I$1,INDIRECT(VLOOKUP($T167,Source_Master,3,0),),0)),0)</f>
        <v>0</v>
      </c>
      <c r="M167" s="2" t="str">
        <f ca="1">IF(AND(G167=0,I167=0),"##H","")</f>
        <v>##H</v>
      </c>
      <c r="O167" s="271" t="s">
        <v>2047</v>
      </c>
      <c r="T167" s="24" t="s">
        <v>51</v>
      </c>
    </row>
    <row r="168" spans="2:20" ht="15" customHeight="1">
      <c r="C168" s="58" t="s">
        <v>2048</v>
      </c>
      <c r="D168" s="58"/>
      <c r="E168" s="58"/>
      <c r="F168" s="65"/>
      <c r="G168" s="65"/>
      <c r="H168" s="66"/>
      <c r="I168" s="452"/>
    </row>
    <row r="169" spans="2:20" ht="15" customHeight="1">
      <c r="C169" s="223" t="s">
        <v>2028</v>
      </c>
      <c r="D169" s="58"/>
      <c r="E169" s="58"/>
      <c r="F169" s="65"/>
      <c r="G169" s="65"/>
      <c r="H169" s="66"/>
      <c r="I169" s="452"/>
    </row>
    <row r="170" spans="2:20" ht="15" customHeight="1">
      <c r="C170" s="67" t="s">
        <v>2049</v>
      </c>
      <c r="D170" s="58"/>
      <c r="E170" s="58"/>
      <c r="F170" s="65"/>
      <c r="G170" s="342">
        <f ca="1">IFERROR(INDEX(INDIRECT(VLOOKUP($T170,Source_Master,2,0),),MATCH(TEXT($O170,0),INDIRECT(VLOOKUP($T170,Source_Master,4,0)),0),MATCH(G$1,INDIRECT(VLOOKUP($T170,Source_Master,3,0),),0)),0)</f>
        <v>0</v>
      </c>
      <c r="H170" s="66"/>
      <c r="I170" s="719">
        <f ca="1">IFERROR(INDEX(INDIRECT(VLOOKUP($T170,Source_Master,2,0),),MATCH(TEXT($O170,0),INDIRECT(VLOOKUP($T170,Source_Master,4,0)),0),MATCH(I$1,INDIRECT(VLOOKUP($T170,Source_Master,3,0),),0)),0)</f>
        <v>0</v>
      </c>
      <c r="M170" s="2" t="str">
        <f ca="1">IF(AND(G170=0,I170=0),"##H","")</f>
        <v>##H</v>
      </c>
      <c r="O170" s="1021" t="s">
        <v>2050</v>
      </c>
      <c r="T170" s="24" t="s">
        <v>51</v>
      </c>
    </row>
    <row r="171" spans="2:20" ht="15" customHeight="1">
      <c r="C171" s="223" t="s">
        <v>2033</v>
      </c>
      <c r="D171" s="58"/>
      <c r="E171" s="58"/>
      <c r="F171" s="65"/>
      <c r="G171" s="65"/>
      <c r="H171" s="66"/>
      <c r="I171" s="452"/>
    </row>
    <row r="172" spans="2:20" ht="15" customHeight="1">
      <c r="C172" s="223" t="s">
        <v>2034</v>
      </c>
      <c r="D172" s="58"/>
      <c r="E172" s="58"/>
      <c r="F172" s="65"/>
      <c r="G172" s="65"/>
      <c r="H172" s="66"/>
      <c r="I172" s="452"/>
    </row>
    <row r="173" spans="2:20" ht="15" customHeight="1">
      <c r="C173" s="67" t="s">
        <v>2051</v>
      </c>
      <c r="D173" s="58"/>
      <c r="E173" s="58"/>
      <c r="F173" s="65"/>
      <c r="G173" s="342">
        <f ca="1">IFERROR(INDEX(INDIRECT(VLOOKUP($T173,Source_Master,2,0),),MATCH(TEXT($O173,0),INDIRECT(VLOOKUP($T173,Source_Master,4,0)),0),MATCH(G$1,INDIRECT(VLOOKUP($T173,Source_Master,3,0),),0)),0)</f>
        <v>0</v>
      </c>
      <c r="H173" s="66"/>
      <c r="I173" s="719">
        <f ca="1">IFERROR(INDEX(INDIRECT(VLOOKUP($T173,Source_Master,2,0),),MATCH(TEXT($O173,0),INDIRECT(VLOOKUP($T173,Source_Master,4,0)),0),MATCH(I$1,INDIRECT(VLOOKUP($T173,Source_Master,3,0),),0)),0)</f>
        <v>0</v>
      </c>
      <c r="M173" s="2" t="str">
        <f t="shared" ref="M173:M177" ca="1" si="16">IF(AND(G173=0,I173=0),"##H","")</f>
        <v>##H</v>
      </c>
      <c r="O173" s="271" t="s">
        <v>2052</v>
      </c>
      <c r="T173" s="24" t="s">
        <v>51</v>
      </c>
    </row>
    <row r="174" spans="2:20" ht="15" customHeight="1">
      <c r="C174" s="67" t="s">
        <v>2008</v>
      </c>
      <c r="D174" s="58"/>
      <c r="E174" s="58"/>
      <c r="F174" s="65"/>
      <c r="G174" s="342">
        <f ca="1">IFERROR(INDEX(INDIRECT(VLOOKUP($T174,Source_Master,2,0),),MATCH(TEXT($O174,0),INDIRECT(VLOOKUP($T174,Source_Master,4,0)),0),MATCH(G$1,INDIRECT(VLOOKUP($T174,Source_Master,3,0),),0)),0)</f>
        <v>0</v>
      </c>
      <c r="H174" s="66"/>
      <c r="I174" s="719">
        <f ca="1">IFERROR(INDEX(INDIRECT(VLOOKUP($T174,Source_Master,2,0),),MATCH(TEXT($O174,0),INDIRECT(VLOOKUP($T174,Source_Master,4,0)),0),MATCH(I$1,INDIRECT(VLOOKUP($T174,Source_Master,3,0),),0)),0)</f>
        <v>0</v>
      </c>
      <c r="M174" s="2" t="str">
        <f t="shared" ca="1" si="16"/>
        <v>##H</v>
      </c>
      <c r="O174" s="271" t="s">
        <v>2053</v>
      </c>
      <c r="T174" s="24" t="s">
        <v>51</v>
      </c>
    </row>
    <row r="175" spans="2:20" ht="15" customHeight="1">
      <c r="C175" s="67" t="s">
        <v>1665</v>
      </c>
      <c r="D175" s="58"/>
      <c r="E175" s="58"/>
      <c r="F175" s="65"/>
      <c r="G175" s="342">
        <f ca="1">IFERROR(INDEX(INDIRECT(VLOOKUP($T175,Source_Master,2,0),),MATCH(TEXT($O175,0),INDIRECT(VLOOKUP($T175,Source_Master,4,0)),0),MATCH(G$1,INDIRECT(VLOOKUP($T175,Source_Master,3,0),),0)),0)</f>
        <v>0</v>
      </c>
      <c r="H175" s="66"/>
      <c r="I175" s="719">
        <f ca="1">IFERROR(INDEX(INDIRECT(VLOOKUP($T175,Source_Master,2,0),),MATCH(TEXT($O175,0),INDIRECT(VLOOKUP($T175,Source_Master,4,0)),0),MATCH(I$1,INDIRECT(VLOOKUP($T175,Source_Master,3,0),),0)),0)</f>
        <v>0</v>
      </c>
      <c r="M175" s="2" t="str">
        <f t="shared" ca="1" si="16"/>
        <v>##H</v>
      </c>
      <c r="O175" s="271">
        <v>0</v>
      </c>
      <c r="T175" s="24" t="s">
        <v>51</v>
      </c>
    </row>
    <row r="176" spans="2:20" ht="15" customHeight="1">
      <c r="C176" s="68" t="s">
        <v>2054</v>
      </c>
      <c r="D176" s="223"/>
      <c r="E176" s="58"/>
      <c r="F176" s="65"/>
      <c r="G176" s="342">
        <f ca="1">IFERROR(INDEX(INDIRECT(VLOOKUP($T176,Source_Master,2,0),),MATCH(TEXT($O176,0),INDIRECT(VLOOKUP($T176,Source_Master,4,0)),0),MATCH(G$1,INDIRECT(VLOOKUP($T176,Source_Master,3,0),),0)),0)</f>
        <v>0</v>
      </c>
      <c r="H176" s="66"/>
      <c r="I176" s="719">
        <f ca="1">IFERROR(INDEX(INDIRECT(VLOOKUP($T176,Source_Master,2,0),),MATCH(TEXT($O176,0),INDIRECT(VLOOKUP($T176,Source_Master,4,0)),0),MATCH(I$1,INDIRECT(VLOOKUP($T176,Source_Master,3,0),),0)),0)</f>
        <v>0</v>
      </c>
      <c r="M176" s="2" t="str">
        <f t="shared" ca="1" si="16"/>
        <v>##H</v>
      </c>
      <c r="O176" s="271" t="s">
        <v>2055</v>
      </c>
      <c r="T176" s="24" t="s">
        <v>51</v>
      </c>
    </row>
    <row r="177" spans="2:20" ht="15" customHeight="1">
      <c r="C177" s="68" t="s">
        <v>2042</v>
      </c>
      <c r="D177" s="223"/>
      <c r="E177" s="58"/>
      <c r="F177" s="65"/>
      <c r="G177" s="342">
        <f ca="1">IFERROR(INDEX(INDIRECT(VLOOKUP($T177,Source_Master,2,0),),MATCH(TEXT($O177,0),INDIRECT(VLOOKUP($T177,Source_Master,4,0)),0),MATCH(G$1,INDIRECT(VLOOKUP($T177,Source_Master,3,0),),0)),0)</f>
        <v>0</v>
      </c>
      <c r="H177" s="66"/>
      <c r="I177" s="719">
        <f ca="1">IFERROR(INDEX(INDIRECT(VLOOKUP($T177,Source_Master,2,0),),MATCH(TEXT($O177,0),INDIRECT(VLOOKUP($T177,Source_Master,4,0)),0),MATCH(I$1,INDIRECT(VLOOKUP($T177,Source_Master,3,0),),0)),0)</f>
        <v>0</v>
      </c>
      <c r="M177" s="2" t="str">
        <f t="shared" ca="1" si="16"/>
        <v>##H</v>
      </c>
      <c r="O177" s="271" t="s">
        <v>2056</v>
      </c>
      <c r="T177" s="24" t="s">
        <v>51</v>
      </c>
    </row>
    <row r="178" spans="2:20" ht="15" customHeight="1">
      <c r="C178" s="81"/>
      <c r="D178" s="223"/>
      <c r="E178" s="58"/>
      <c r="F178" s="65"/>
      <c r="G178" s="65"/>
      <c r="H178" s="66"/>
      <c r="I178" s="452"/>
    </row>
    <row r="179" spans="2:20" ht="15" customHeight="1">
      <c r="C179" s="216" t="s">
        <v>2057</v>
      </c>
      <c r="D179" s="177"/>
      <c r="E179" s="177"/>
      <c r="F179" s="469"/>
      <c r="G179" s="942">
        <f ca="1">SUM(G167:G178)</f>
        <v>0</v>
      </c>
      <c r="H179" s="480"/>
      <c r="I179" s="939">
        <f ca="1">SUM(I167:I178)</f>
        <v>0</v>
      </c>
      <c r="M179" s="2" t="str">
        <f ca="1">IF(AND(G179=0,I179=0),"##H","")</f>
        <v>##H</v>
      </c>
    </row>
    <row r="181" spans="2:20">
      <c r="B181" s="805" t="s">
        <v>2058</v>
      </c>
      <c r="C181" s="25" t="s">
        <v>2059</v>
      </c>
      <c r="I181" s="1124" t="str">
        <f>'Master Sheet'!C65</f>
        <v>(Amount in INR)</v>
      </c>
      <c r="K181" s="22"/>
      <c r="L181" s="22"/>
      <c r="M181" s="22"/>
      <c r="N181" s="295"/>
      <c r="O181" s="295"/>
    </row>
    <row r="182" spans="2:20" ht="28.5" customHeight="1">
      <c r="C182" s="1313" t="s">
        <v>500</v>
      </c>
      <c r="D182" s="1313"/>
      <c r="E182" s="1313"/>
      <c r="F182" s="1417" t="e">
        <f ca="1">BS_CY</f>
        <v>#NAME?</v>
      </c>
      <c r="G182" s="1417"/>
      <c r="H182" s="1418" t="e">
        <f ca="1">BS_PY</f>
        <v>#NAME?</v>
      </c>
      <c r="I182" s="1418"/>
    </row>
    <row r="183" spans="2:20" ht="15" customHeight="1">
      <c r="C183" s="20" t="s">
        <v>2060</v>
      </c>
      <c r="D183" s="20"/>
      <c r="E183" s="20"/>
      <c r="F183" s="1538"/>
      <c r="G183" s="1538"/>
      <c r="H183" s="1528"/>
      <c r="I183" s="1545"/>
    </row>
    <row r="184" spans="2:20" ht="15" customHeight="1">
      <c r="C184" s="343" t="s">
        <v>2061</v>
      </c>
      <c r="D184" s="177"/>
      <c r="E184" s="177"/>
      <c r="F184" s="454"/>
      <c r="G184" s="345">
        <f ca="1">G179</f>
        <v>0</v>
      </c>
      <c r="H184" s="478"/>
      <c r="I184" s="941">
        <f ca="1">I179</f>
        <v>0</v>
      </c>
      <c r="M184" s="2" t="str">
        <f ca="1">IF(AND(G184=0,I184=0),"##H","")</f>
        <v>##H</v>
      </c>
    </row>
    <row r="185" spans="2:20" ht="7.5" customHeight="1"/>
    <row r="186" spans="2:20" ht="24" customHeight="1">
      <c r="C186" s="1416" t="s">
        <v>2062</v>
      </c>
      <c r="D186" s="1420"/>
      <c r="E186" s="1420"/>
      <c r="F186" s="1420"/>
      <c r="G186" s="1420"/>
      <c r="H186" s="1420"/>
      <c r="I186" s="1420"/>
    </row>
    <row r="188" spans="2:20">
      <c r="B188" s="805" t="s">
        <v>719</v>
      </c>
      <c r="C188" s="1045" t="e">
        <f ca="1">"The Actual return on plan asset for the year ended "&amp;Current_Date&amp;" was Rs.0.24 lakhs ( For the year ended - "&amp;Previous_Date&amp;": Rs. 0.19 Crores)."</f>
        <v>#NAME?</v>
      </c>
      <c r="K188" s="22"/>
      <c r="L188" s="22"/>
      <c r="M188" s="22"/>
      <c r="N188" s="295"/>
      <c r="O188" s="295"/>
    </row>
    <row r="190" spans="2:20">
      <c r="B190" s="805" t="s">
        <v>725</v>
      </c>
      <c r="C190" s="25" t="s">
        <v>2063</v>
      </c>
      <c r="K190" s="22"/>
      <c r="L190" s="22"/>
      <c r="M190" s="22"/>
      <c r="N190" s="295"/>
      <c r="O190" s="295"/>
      <c r="P190" s="295"/>
      <c r="Q190" s="295"/>
      <c r="R190" s="295"/>
      <c r="S190" s="246"/>
    </row>
    <row r="191" spans="2:20" ht="6.75" customHeight="1"/>
    <row r="192" spans="2:20">
      <c r="C192" s="930" t="s">
        <v>2064</v>
      </c>
    </row>
    <row r="193" spans="3:20" ht="27" customHeight="1">
      <c r="C193" s="1416" t="s">
        <v>2065</v>
      </c>
      <c r="D193" s="1420"/>
      <c r="E193" s="1420"/>
      <c r="F193" s="1420"/>
      <c r="G193" s="1420"/>
      <c r="H193" s="1420"/>
      <c r="I193" s="1420"/>
    </row>
    <row r="194" spans="3:20">
      <c r="C194" s="930" t="s">
        <v>2066</v>
      </c>
    </row>
    <row r="195" spans="3:20">
      <c r="C195" s="1416" t="s">
        <v>2067</v>
      </c>
      <c r="D195" s="1420"/>
      <c r="E195" s="1420"/>
      <c r="F195" s="1420"/>
      <c r="G195" s="1420"/>
      <c r="H195" s="1420"/>
      <c r="I195" s="1420"/>
    </row>
    <row r="196" spans="3:20">
      <c r="C196" s="930" t="s">
        <v>2068</v>
      </c>
    </row>
    <row r="197" spans="3:20" ht="29.25" customHeight="1">
      <c r="C197" s="1416" t="s">
        <v>2069</v>
      </c>
      <c r="D197" s="1420"/>
      <c r="E197" s="1420"/>
      <c r="F197" s="1420"/>
      <c r="G197" s="1420"/>
      <c r="H197" s="1420"/>
      <c r="I197" s="1420"/>
    </row>
    <row r="198" spans="3:20">
      <c r="C198" s="930" t="s">
        <v>2070</v>
      </c>
    </row>
    <row r="199" spans="3:20" ht="29.25" customHeight="1">
      <c r="C199" s="1416" t="s">
        <v>2071</v>
      </c>
      <c r="D199" s="1420"/>
      <c r="E199" s="1420"/>
      <c r="F199" s="1420"/>
      <c r="G199" s="1420"/>
      <c r="H199" s="1420"/>
      <c r="I199" s="1420"/>
    </row>
    <row r="201" spans="3:20">
      <c r="C201" s="25" t="s">
        <v>2072</v>
      </c>
      <c r="I201" s="289"/>
    </row>
    <row r="202" spans="3:20" ht="26.25" customHeight="1">
      <c r="C202" s="1313" t="s">
        <v>500</v>
      </c>
      <c r="D202" s="1313"/>
      <c r="E202" s="1313"/>
      <c r="F202" s="1417" t="e">
        <f ca="1">BS_CY</f>
        <v>#NAME?</v>
      </c>
      <c r="G202" s="1417"/>
      <c r="H202" s="1418" t="e">
        <f ca="1">BS_PY</f>
        <v>#NAME?</v>
      </c>
      <c r="I202" s="1418"/>
    </row>
    <row r="203" spans="3:20" ht="15" customHeight="1">
      <c r="C203" s="20" t="s">
        <v>2073</v>
      </c>
      <c r="D203" s="20"/>
      <c r="E203" s="20"/>
      <c r="F203" s="1538"/>
      <c r="G203" s="342">
        <f ca="1">IFERROR(INDEX(INDIRECT(VLOOKUP($T203,Source_Master,2,0),),MATCH(TEXT($O203,0),INDIRECT(VLOOKUP($T203,Source_Master,4,0)),0),MATCH(G$1,INDIRECT(VLOOKUP($T203,Source_Master,3,0),),0)),0)</f>
        <v>0</v>
      </c>
      <c r="H203" s="1528"/>
      <c r="I203" s="1597">
        <f ca="1">IFERROR(INDEX(INDIRECT(VLOOKUP($T203,Source_Master,2,0),),MATCH(TEXT($O203,0),INDIRECT(VLOOKUP($T203,Source_Master,4,0)),0),MATCH(I$1,INDIRECT(VLOOKUP($T203,Source_Master,3,0),),0)),0)</f>
        <v>0</v>
      </c>
      <c r="M203" s="2" t="str">
        <f t="shared" ref="M203:M206" ca="1" si="17">IF(AND(G203=0,I203=0),"##H","")</f>
        <v>##H</v>
      </c>
      <c r="O203" s="271" t="s">
        <v>2074</v>
      </c>
      <c r="T203" s="24" t="s">
        <v>51</v>
      </c>
    </row>
    <row r="204" spans="3:20" ht="15" customHeight="1">
      <c r="C204" s="58" t="s">
        <v>2075</v>
      </c>
      <c r="D204" s="223"/>
      <c r="E204" s="58"/>
      <c r="F204" s="65"/>
      <c r="G204" s="342">
        <f ca="1">IFERROR(INDEX(INDIRECT(VLOOKUP($T204,Source_Master,2,0),),MATCH(TEXT($O204,0),INDIRECT(VLOOKUP($T204,Source_Master,4,0)),0),MATCH(G$1,INDIRECT(VLOOKUP($T204,Source_Master,3,0),),0)),0)</f>
        <v>0</v>
      </c>
      <c r="H204" s="66"/>
      <c r="I204" s="719">
        <f ca="1">IFERROR(INDEX(INDIRECT(VLOOKUP($T204,Source_Master,2,0),),MATCH(TEXT($O204,0),INDIRECT(VLOOKUP($T204,Source_Master,4,0)),0),MATCH(I$1,INDIRECT(VLOOKUP($T204,Source_Master,3,0),),0)),0)</f>
        <v>0</v>
      </c>
      <c r="M204" s="2" t="str">
        <f t="shared" ca="1" si="17"/>
        <v>##H</v>
      </c>
      <c r="O204" s="271" t="s">
        <v>2076</v>
      </c>
      <c r="T204" s="24" t="s">
        <v>51</v>
      </c>
    </row>
    <row r="205" spans="3:20" ht="15" customHeight="1">
      <c r="C205" s="58" t="s">
        <v>2049</v>
      </c>
      <c r="D205" s="58"/>
      <c r="E205" s="1253"/>
      <c r="F205" s="453"/>
      <c r="G205" s="935">
        <f ca="1">IFERROR(INDEX(INDIRECT(VLOOKUP($T205,Source_Master,2,0),),MATCH(TEXT($O205,0),INDIRECT(VLOOKUP($T205,Source_Master,4,0)),0),MATCH(G$1,INDIRECT(VLOOKUP($T205,Source_Master,3,0),),0)),0)</f>
        <v>0</v>
      </c>
      <c r="H205" s="476"/>
      <c r="I205" s="719">
        <f ca="1">IFERROR(INDEX(INDIRECT(VLOOKUP($T205,Source_Master,2,0),),MATCH(TEXT($O205,0),INDIRECT(VLOOKUP($T205,Source_Master,4,0)),0),MATCH(I$1,INDIRECT(VLOOKUP($T205,Source_Master,3,0),),0)),0)</f>
        <v>0</v>
      </c>
      <c r="M205" s="2" t="str">
        <f t="shared" ca="1" si="17"/>
        <v>##H</v>
      </c>
      <c r="O205" s="271" t="s">
        <v>2077</v>
      </c>
      <c r="T205" s="24" t="s">
        <v>51</v>
      </c>
    </row>
    <row r="206" spans="3:20" ht="15" customHeight="1">
      <c r="C206" s="58" t="s">
        <v>2078</v>
      </c>
      <c r="D206" s="58"/>
      <c r="E206" s="1253"/>
      <c r="F206" s="462"/>
      <c r="G206" s="936">
        <f ca="1">IFERROR(INDEX(INDIRECT(VLOOKUP($T206,Source_Master,2,0),),MATCH(TEXT($O206,0),INDIRECT(VLOOKUP($T206,Source_Master,4,0)),0),MATCH(G$1,INDIRECT(VLOOKUP($T206,Source_Master,3,0),),0)),0)</f>
        <v>0</v>
      </c>
      <c r="H206" s="477"/>
      <c r="I206" s="938">
        <f ca="1">IFERROR(INDEX(INDIRECT(VLOOKUP($T206,Source_Master,2,0),),MATCH(TEXT($O206,0),INDIRECT(VLOOKUP($T206,Source_Master,4,0)),0),MATCH(I$1,INDIRECT(VLOOKUP($T206,Source_Master,3,0),),0)),0)</f>
        <v>0</v>
      </c>
      <c r="M206" s="2" t="str">
        <f t="shared" ca="1" si="17"/>
        <v>##H</v>
      </c>
      <c r="O206" s="271" t="s">
        <v>2079</v>
      </c>
      <c r="T206" s="24" t="s">
        <v>51</v>
      </c>
    </row>
    <row r="207" spans="3:20" ht="26.25" customHeight="1">
      <c r="C207" s="200" t="s">
        <v>2080</v>
      </c>
      <c r="D207" s="472"/>
      <c r="E207" s="200"/>
      <c r="F207" s="1414" t="s">
        <v>2081</v>
      </c>
      <c r="G207" s="1414"/>
      <c r="H207" s="1415" t="s">
        <v>2081</v>
      </c>
      <c r="I207" s="1415"/>
    </row>
    <row r="208" spans="3:20">
      <c r="C208" s="38"/>
      <c r="D208" s="229"/>
      <c r="E208" s="229"/>
      <c r="F208" s="474"/>
      <c r="G208" s="474"/>
      <c r="H208" s="474"/>
      <c r="I208" s="473"/>
    </row>
    <row r="209" spans="3:20" ht="14.25" customHeight="1">
      <c r="C209" s="1311" t="s">
        <v>2082</v>
      </c>
      <c r="D209" s="1311"/>
      <c r="E209" s="1311"/>
      <c r="F209" s="1311"/>
      <c r="G209" s="1311"/>
      <c r="H209" s="1311"/>
      <c r="I209" s="1311"/>
    </row>
    <row r="210" spans="3:20">
      <c r="C210" s="1311" t="s">
        <v>2083</v>
      </c>
      <c r="D210" s="1311"/>
      <c r="E210" s="1311"/>
      <c r="F210" s="1311"/>
      <c r="G210" s="1311"/>
      <c r="H210" s="1311"/>
      <c r="I210" s="1311"/>
    </row>
    <row r="211" spans="3:20" ht="26.25" customHeight="1">
      <c r="C211" s="1416" t="s">
        <v>2084</v>
      </c>
      <c r="D211" s="1416"/>
      <c r="E211" s="1416"/>
      <c r="F211" s="1416"/>
      <c r="G211" s="1416"/>
      <c r="H211" s="1416"/>
      <c r="I211" s="1416"/>
    </row>
    <row r="213" spans="3:20">
      <c r="C213" s="389" t="s">
        <v>2085</v>
      </c>
    </row>
    <row r="214" spans="3:20" ht="55.5" customHeight="1">
      <c r="C214" s="1416" t="s">
        <v>2086</v>
      </c>
      <c r="D214" s="1420"/>
      <c r="E214" s="1420"/>
      <c r="F214" s="1420"/>
      <c r="G214" s="1420"/>
      <c r="H214" s="1420"/>
      <c r="I214" s="1420"/>
    </row>
    <row r="215" spans="3:20">
      <c r="I215" s="1202" t="str">
        <f>'Master Sheet'!C65</f>
        <v>(Amount in INR)</v>
      </c>
    </row>
    <row r="216" spans="3:20" ht="28.5" customHeight="1">
      <c r="C216" s="1313" t="s">
        <v>2087</v>
      </c>
      <c r="D216" s="1313"/>
      <c r="E216" s="1313"/>
      <c r="F216" s="1417" t="e">
        <f ca="1">BS_CY</f>
        <v>#NAME?</v>
      </c>
      <c r="G216" s="1417"/>
      <c r="H216" s="1418" t="e">
        <f ca="1">BS_PY</f>
        <v>#NAME?</v>
      </c>
      <c r="I216" s="1418"/>
    </row>
    <row r="217" spans="3:20">
      <c r="C217" s="33"/>
      <c r="D217" s="356"/>
      <c r="E217" s="356"/>
      <c r="F217" s="467"/>
      <c r="G217" s="467"/>
      <c r="H217" s="481"/>
      <c r="I217" s="468"/>
    </row>
    <row r="218" spans="3:20" ht="15" customHeight="1">
      <c r="C218" s="33" t="s">
        <v>2088</v>
      </c>
      <c r="D218" s="33"/>
      <c r="E218" s="58"/>
      <c r="F218" s="65"/>
      <c r="G218" s="65"/>
      <c r="H218" s="66"/>
      <c r="I218" s="452"/>
    </row>
    <row r="219" spans="3:20" ht="15" customHeight="1">
      <c r="C219" s="223" t="s">
        <v>2089</v>
      </c>
      <c r="D219" s="223"/>
      <c r="E219" s="58"/>
      <c r="F219" s="65"/>
      <c r="G219" s="342">
        <f ca="1">IFERROR(INDEX(INDIRECT(VLOOKUP($T219,Source_Master,2,0),),MATCH(TEXT($O219,0),INDIRECT(VLOOKUP($T219,Source_Master,4,0)),0),MATCH(G$1,INDIRECT(VLOOKUP($T219,Source_Master,3,0),),0)),0)</f>
        <v>0</v>
      </c>
      <c r="H219" s="66"/>
      <c r="I219" s="719">
        <f ca="1">IFERROR(INDEX(INDIRECT(VLOOKUP($T219,Source_Master,2,0),),MATCH(TEXT($O219,0),INDIRECT(VLOOKUP($T219,Source_Master,4,0)),0),MATCH(I$1,INDIRECT(VLOOKUP($T219,Source_Master,3,0),),0)),0)</f>
        <v>0</v>
      </c>
      <c r="M219" s="2" t="str">
        <f t="shared" ref="M219:M220" ca="1" si="18">IF(AND(G219=0,I219=0),"##H","")</f>
        <v>##H</v>
      </c>
      <c r="O219" s="271" t="s">
        <v>2090</v>
      </c>
      <c r="T219" s="24" t="s">
        <v>51</v>
      </c>
    </row>
    <row r="220" spans="3:20" ht="15" customHeight="1">
      <c r="C220" s="223" t="s">
        <v>2091</v>
      </c>
      <c r="D220" s="223"/>
      <c r="E220" s="58"/>
      <c r="F220" s="65"/>
      <c r="G220" s="342">
        <f ca="1">IFERROR(INDEX(INDIRECT(VLOOKUP($T220,Source_Master,2,0),),MATCH(TEXT($O220,0),INDIRECT(VLOOKUP($T220,Source_Master,4,0)),0),MATCH(G$1,INDIRECT(VLOOKUP($T220,Source_Master,3,0),),0)),0)</f>
        <v>0</v>
      </c>
      <c r="H220" s="66"/>
      <c r="I220" s="719">
        <f ca="1">IFERROR(INDEX(INDIRECT(VLOOKUP($T220,Source_Master,2,0),),MATCH(TEXT($O220,0),INDIRECT(VLOOKUP($T220,Source_Master,4,0)),0),MATCH(I$1,INDIRECT(VLOOKUP($T220,Source_Master,3,0),),0)),0)</f>
        <v>0</v>
      </c>
      <c r="M220" s="2" t="str">
        <f t="shared" ca="1" si="18"/>
        <v>##H</v>
      </c>
      <c r="O220" s="271" t="s">
        <v>2092</v>
      </c>
      <c r="T220" s="24" t="s">
        <v>51</v>
      </c>
    </row>
    <row r="221" spans="3:20" ht="15" customHeight="1">
      <c r="C221" s="58"/>
      <c r="D221" s="58"/>
      <c r="E221" s="58"/>
      <c r="F221" s="65"/>
      <c r="G221" s="65"/>
      <c r="H221" s="66"/>
      <c r="I221" s="452"/>
    </row>
    <row r="222" spans="3:20" ht="15" customHeight="1">
      <c r="C222" s="33" t="s">
        <v>2093</v>
      </c>
      <c r="D222" s="33"/>
      <c r="E222" s="58"/>
      <c r="F222" s="65"/>
      <c r="G222" s="65"/>
      <c r="H222" s="66"/>
      <c r="I222" s="452"/>
    </row>
    <row r="223" spans="3:20" ht="15" customHeight="1">
      <c r="C223" s="223" t="s">
        <v>2089</v>
      </c>
      <c r="D223" s="223"/>
      <c r="E223" s="58"/>
      <c r="F223" s="65"/>
      <c r="G223" s="342">
        <f ca="1">IFERROR(INDEX(INDIRECT(VLOOKUP($T223,Source_Master,2,0),),MATCH(TEXT($O223,0),INDIRECT(VLOOKUP($T223,Source_Master,4,0)),0),MATCH(G$1,INDIRECT(VLOOKUP($T223,Source_Master,3,0),),0)),0)</f>
        <v>0</v>
      </c>
      <c r="H223" s="66"/>
      <c r="I223" s="719">
        <f ca="1">IFERROR(INDEX(INDIRECT(VLOOKUP($T223,Source_Master,2,0),),MATCH(TEXT($O223,0),INDIRECT(VLOOKUP($T223,Source_Master,4,0)),0),MATCH(I$1,INDIRECT(VLOOKUP($T223,Source_Master,3,0),),0)),0)</f>
        <v>0</v>
      </c>
      <c r="M223" s="2" t="str">
        <f t="shared" ref="M223:M224" ca="1" si="19">IF(AND(G223=0,I223=0),"##H","")</f>
        <v>##H</v>
      </c>
      <c r="O223" s="271" t="s">
        <v>2094</v>
      </c>
      <c r="T223" s="24" t="s">
        <v>51</v>
      </c>
    </row>
    <row r="224" spans="3:20" ht="15" customHeight="1">
      <c r="C224" s="223" t="s">
        <v>2091</v>
      </c>
      <c r="D224" s="223"/>
      <c r="E224" s="58"/>
      <c r="F224" s="65"/>
      <c r="G224" s="342">
        <f ca="1">IFERROR(INDEX(INDIRECT(VLOOKUP($T224,Source_Master,2,0),),MATCH(TEXT($O224,0),INDIRECT(VLOOKUP($T224,Source_Master,4,0)),0),MATCH(G$1,INDIRECT(VLOOKUP($T224,Source_Master,3,0),),0)),0)</f>
        <v>0</v>
      </c>
      <c r="H224" s="66"/>
      <c r="I224" s="719">
        <f ca="1">IFERROR(INDEX(INDIRECT(VLOOKUP($T224,Source_Master,2,0),),MATCH(TEXT($O224,0),INDIRECT(VLOOKUP($T224,Source_Master,4,0)),0),MATCH(I$1,INDIRECT(VLOOKUP($T224,Source_Master,3,0),),0)),0)</f>
        <v>0</v>
      </c>
      <c r="M224" s="2" t="str">
        <f t="shared" ca="1" si="19"/>
        <v>##H</v>
      </c>
      <c r="O224" s="271" t="s">
        <v>2095</v>
      </c>
      <c r="T224" s="24" t="s">
        <v>51</v>
      </c>
    </row>
    <row r="225" spans="2:20" ht="15" customHeight="1">
      <c r="C225" s="58"/>
      <c r="D225" s="58"/>
      <c r="E225" s="58"/>
      <c r="F225" s="65"/>
      <c r="G225" s="65"/>
      <c r="H225" s="66"/>
      <c r="I225" s="452"/>
    </row>
    <row r="226" spans="2:20" ht="15" customHeight="1">
      <c r="C226" s="33" t="s">
        <v>2096</v>
      </c>
      <c r="D226" s="33"/>
      <c r="E226" s="58"/>
      <c r="F226" s="65"/>
      <c r="G226" s="65"/>
      <c r="H226" s="66"/>
      <c r="I226" s="452"/>
    </row>
    <row r="227" spans="2:20" ht="15" customHeight="1">
      <c r="C227" s="223" t="s">
        <v>2089</v>
      </c>
      <c r="D227" s="223"/>
      <c r="E227" s="58"/>
      <c r="F227" s="65"/>
      <c r="G227" s="342">
        <f ca="1">IFERROR(INDEX(INDIRECT(VLOOKUP($T227,Source_Master,2,0),),MATCH(TEXT($O227,0),INDIRECT(VLOOKUP($T227,Source_Master,4,0)),0),MATCH(G$1,INDIRECT(VLOOKUP($T227,Source_Master,3,0),),0)),0)</f>
        <v>0</v>
      </c>
      <c r="H227" s="66"/>
      <c r="I227" s="719">
        <f ca="1">IFERROR(INDEX(INDIRECT(VLOOKUP($T227,Source_Master,2,0),),MATCH(TEXT($O227,0),INDIRECT(VLOOKUP($T227,Source_Master,4,0)),0),MATCH(I$1,INDIRECT(VLOOKUP($T227,Source_Master,3,0),),0)),0)</f>
        <v>0</v>
      </c>
      <c r="M227" s="2" t="str">
        <f t="shared" ref="M227:M228" ca="1" si="20">IF(AND(G227=0,I227=0),"##H","")</f>
        <v>##H</v>
      </c>
      <c r="O227" s="271" t="s">
        <v>2097</v>
      </c>
      <c r="T227" s="24" t="s">
        <v>51</v>
      </c>
    </row>
    <row r="228" spans="2:20" ht="15" customHeight="1">
      <c r="C228" s="223" t="s">
        <v>2091</v>
      </c>
      <c r="D228" s="223"/>
      <c r="E228" s="58"/>
      <c r="F228" s="65"/>
      <c r="G228" s="342">
        <f ca="1">IFERROR(INDEX(INDIRECT(VLOOKUP($T228,Source_Master,2,0),),MATCH(TEXT($O228,0),INDIRECT(VLOOKUP($T228,Source_Master,4,0)),0),MATCH(G$1,INDIRECT(VLOOKUP($T228,Source_Master,3,0),),0)),0)</f>
        <v>0</v>
      </c>
      <c r="H228" s="66"/>
      <c r="I228" s="719">
        <f ca="1">IFERROR(INDEX(INDIRECT(VLOOKUP($T228,Source_Master,2,0),),MATCH(TEXT($O228,0),INDIRECT(VLOOKUP($T228,Source_Master,4,0)),0),MATCH(I$1,INDIRECT(VLOOKUP($T228,Source_Master,3,0),),0)),0)</f>
        <v>0</v>
      </c>
      <c r="M228" s="2" t="str">
        <f t="shared" ca="1" si="20"/>
        <v>##H</v>
      </c>
      <c r="O228" s="271" t="s">
        <v>2098</v>
      </c>
      <c r="T228" s="24" t="s">
        <v>51</v>
      </c>
    </row>
    <row r="229" spans="2:20" ht="15" customHeight="1">
      <c r="C229" s="223"/>
      <c r="D229" s="223"/>
      <c r="E229" s="58"/>
      <c r="F229" s="65"/>
      <c r="G229" s="65"/>
      <c r="H229" s="66"/>
      <c r="I229" s="452"/>
    </row>
    <row r="230" spans="2:20" ht="15" customHeight="1">
      <c r="C230" s="33" t="s">
        <v>2099</v>
      </c>
      <c r="D230" s="33"/>
      <c r="E230" s="58"/>
      <c r="F230" s="65"/>
      <c r="G230" s="65"/>
      <c r="H230" s="66"/>
      <c r="I230" s="452"/>
    </row>
    <row r="231" spans="2:20" ht="15" customHeight="1">
      <c r="C231" s="223" t="s">
        <v>2100</v>
      </c>
      <c r="D231" s="223"/>
      <c r="E231" s="58"/>
      <c r="F231" s="466"/>
      <c r="G231" s="401">
        <f ca="1">IFERROR(INDEX(INDIRECT(VLOOKUP($T231,Source_Master,2,0),),MATCH(TEXT($O231,0),INDIRECT(VLOOKUP($T231,Source_Master,4,0)),0),MATCH(G$1,INDIRECT(VLOOKUP($T231,Source_Master,3,0),),0)),0)</f>
        <v>0</v>
      </c>
      <c r="H231" s="479"/>
      <c r="I231" s="938">
        <f ca="1">IFERROR(INDEX(INDIRECT(VLOOKUP($T231,Source_Master,2,0),),MATCH(TEXT($O231,0),INDIRECT(VLOOKUP($T231,Source_Master,4,0)),0),MATCH(I$1,INDIRECT(VLOOKUP($T231,Source_Master,3,0),),0)),0)</f>
        <v>0</v>
      </c>
      <c r="M231" s="2" t="str">
        <f ca="1">IF(AND(G231=0,I231=0),"##H","")</f>
        <v>##H</v>
      </c>
      <c r="O231" s="271" t="s">
        <v>2101</v>
      </c>
      <c r="T231" s="24" t="s">
        <v>51</v>
      </c>
    </row>
    <row r="232" spans="2:20" ht="15" customHeight="1">
      <c r="C232" s="216"/>
      <c r="D232" s="177"/>
      <c r="E232" s="177"/>
      <c r="F232" s="454"/>
      <c r="G232" s="454"/>
      <c r="H232" s="478"/>
      <c r="I232" s="455"/>
      <c r="O232" s="271"/>
      <c r="T232" s="24"/>
    </row>
    <row r="234" spans="2:20" ht="44.25" customHeight="1">
      <c r="C234" s="1416" t="s">
        <v>2102</v>
      </c>
      <c r="D234" s="1420"/>
      <c r="E234" s="1420"/>
      <c r="F234" s="1420"/>
      <c r="G234" s="1420"/>
      <c r="H234" s="1420"/>
      <c r="I234" s="1420"/>
    </row>
    <row r="235" spans="2:20" ht="67.5" customHeight="1">
      <c r="C235" s="1416" t="s">
        <v>2103</v>
      </c>
      <c r="D235" s="1420"/>
      <c r="E235" s="1420"/>
      <c r="F235" s="1420"/>
      <c r="G235" s="1420"/>
      <c r="H235" s="1420"/>
      <c r="I235" s="1420"/>
    </row>
    <row r="236" spans="2:20" ht="6.75" customHeight="1"/>
    <row r="237" spans="2:20">
      <c r="B237" s="805" t="s">
        <v>730</v>
      </c>
      <c r="C237" s="25" t="s">
        <v>2104</v>
      </c>
      <c r="K237" s="22"/>
      <c r="L237" s="22"/>
      <c r="M237" s="22"/>
      <c r="N237" s="295"/>
      <c r="O237" s="295"/>
    </row>
    <row r="238" spans="2:20" ht="6.75" customHeight="1"/>
    <row r="239" spans="2:20" ht="57" customHeight="1">
      <c r="C239" s="1416" t="s">
        <v>2105</v>
      </c>
      <c r="D239" s="1420"/>
      <c r="E239" s="1420"/>
      <c r="F239" s="1420"/>
      <c r="G239" s="1420"/>
      <c r="H239" s="1420"/>
      <c r="I239" s="1420"/>
    </row>
    <row r="240" spans="2:20">
      <c r="B240" s="805" t="s">
        <v>742</v>
      </c>
      <c r="C240" s="25" t="s">
        <v>2106</v>
      </c>
      <c r="K240" s="22"/>
      <c r="L240" s="22"/>
      <c r="M240" s="22"/>
      <c r="N240" s="295"/>
      <c r="O240" s="295"/>
    </row>
    <row r="241" spans="2:20" ht="5.25" customHeight="1"/>
    <row r="242" spans="2:20">
      <c r="C242" s="1311" t="s">
        <v>2107</v>
      </c>
      <c r="D242" s="1310"/>
      <c r="E242" s="1310"/>
      <c r="F242" s="1310"/>
      <c r="G242" s="1310"/>
      <c r="H242" s="1310"/>
      <c r="I242" s="1310"/>
    </row>
    <row r="243" spans="2:20" ht="32.25" customHeight="1">
      <c r="C243" s="1419" t="s">
        <v>2108</v>
      </c>
      <c r="D243" s="1420"/>
      <c r="E243" s="1420"/>
      <c r="F243" s="1420"/>
      <c r="G243" s="1420"/>
      <c r="H243" s="1420"/>
      <c r="I243" s="1420"/>
    </row>
    <row r="244" spans="2:20">
      <c r="C244" s="1311" t="s">
        <v>2109</v>
      </c>
      <c r="D244" s="1310"/>
      <c r="E244" s="1310"/>
      <c r="F244" s="1310"/>
      <c r="G244" s="1310"/>
      <c r="H244" s="1310"/>
      <c r="I244" s="1310"/>
    </row>
    <row r="245" spans="2:20">
      <c r="C245" s="1427" t="e">
        <f ca="1">"c) The weighted average duration of the benefit obligation at "&amp;Current_Date&amp;" is 3.86/3.40 years (as at "&amp;Previous_Date&amp;"is 3.86/3.44 years)."</f>
        <v>#NAME?</v>
      </c>
      <c r="D245" s="1428"/>
      <c r="E245" s="1428"/>
      <c r="F245" s="1428"/>
      <c r="G245" s="1428"/>
      <c r="H245" s="1428"/>
      <c r="I245" s="1428"/>
    </row>
    <row r="246" spans="2:20" ht="12.75" customHeight="1">
      <c r="C246" s="20" t="s">
        <v>2110</v>
      </c>
      <c r="D246" s="40"/>
      <c r="E246" s="40"/>
      <c r="F246" s="40"/>
      <c r="G246" s="40"/>
      <c r="H246" s="40"/>
      <c r="I246" s="40"/>
    </row>
    <row r="247" spans="2:20">
      <c r="C247" s="1244"/>
      <c r="D247" s="1246"/>
      <c r="E247" s="1246"/>
      <c r="F247" s="1246"/>
      <c r="G247" s="1246"/>
      <c r="H247" s="1246"/>
      <c r="I247" s="1203" t="str">
        <f>'Master Sheet'!$C$65</f>
        <v>(Amount in INR)</v>
      </c>
    </row>
    <row r="248" spans="2:20" ht="28.5" customHeight="1">
      <c r="C248" s="1429" t="s">
        <v>2111</v>
      </c>
      <c r="D248" s="1429"/>
      <c r="E248" s="1429"/>
      <c r="F248" s="1417" t="e">
        <f ca="1">BS_CY</f>
        <v>#NAME?</v>
      </c>
      <c r="G248" s="1417"/>
      <c r="H248" s="1418" t="e">
        <f ca="1">BS_PY</f>
        <v>#NAME?</v>
      </c>
      <c r="I248" s="1418"/>
    </row>
    <row r="249" spans="2:20" ht="15" customHeight="1">
      <c r="C249" s="20" t="s">
        <v>2112</v>
      </c>
      <c r="D249" s="20"/>
      <c r="E249" s="20"/>
      <c r="F249" s="1538"/>
      <c r="G249" s="1596">
        <f ca="1">IFERROR(INDEX(INDIRECT(VLOOKUP($T249,Source_Master,2,0),),MATCH(TEXT($O249,0),INDIRECT(VLOOKUP($T249,Source_Master,4,0)),0),MATCH(G$1,INDIRECT(VLOOKUP($T249,Source_Master,3,0),),0)),0)</f>
        <v>0</v>
      </c>
      <c r="H249" s="1528"/>
      <c r="I249" s="1597">
        <f ca="1">IFERROR(INDEX(INDIRECT(VLOOKUP($T249,Source_Master,2,0),),MATCH(TEXT($O249,0),INDIRECT(VLOOKUP($T249,Source_Master,4,0)),0),MATCH(I$1,INDIRECT(VLOOKUP($T249,Source_Master,3,0),),0)),0)</f>
        <v>0</v>
      </c>
      <c r="M249" s="2" t="str">
        <f t="shared" ref="M249:M252" ca="1" si="21">IF(AND(G249=0,I249=0),"##H","")</f>
        <v>##H</v>
      </c>
      <c r="O249" s="271" t="s">
        <v>2113</v>
      </c>
      <c r="T249" s="24" t="s">
        <v>51</v>
      </c>
    </row>
    <row r="250" spans="2:20" ht="15" customHeight="1">
      <c r="C250" s="58" t="s">
        <v>2114</v>
      </c>
      <c r="D250" s="58"/>
      <c r="E250" s="58"/>
      <c r="F250" s="65"/>
      <c r="G250" s="342">
        <f ca="1">IFERROR(INDEX(INDIRECT(VLOOKUP($T250,Source_Master,2,0),),MATCH(TEXT($O250,0),INDIRECT(VLOOKUP($T250,Source_Master,4,0)),0),MATCH(G$1,INDIRECT(VLOOKUP($T250,Source_Master,3,0),),0)),0)</f>
        <v>0</v>
      </c>
      <c r="H250" s="66"/>
      <c r="I250" s="719">
        <f ca="1">IFERROR(INDEX(INDIRECT(VLOOKUP($T250,Source_Master,2,0),),MATCH(TEXT($O250,0),INDIRECT(VLOOKUP($T250,Source_Master,4,0)),0),MATCH(I$1,INDIRECT(VLOOKUP($T250,Source_Master,3,0),),0)),0)</f>
        <v>0</v>
      </c>
      <c r="M250" s="2" t="str">
        <f t="shared" ca="1" si="21"/>
        <v>##H</v>
      </c>
      <c r="O250" s="271" t="s">
        <v>2115</v>
      </c>
      <c r="T250" s="24" t="s">
        <v>51</v>
      </c>
    </row>
    <row r="251" spans="2:20" ht="15" customHeight="1">
      <c r="C251" s="58" t="s">
        <v>2116</v>
      </c>
      <c r="D251" s="58"/>
      <c r="E251" s="1253"/>
      <c r="F251" s="453"/>
      <c r="G251" s="935">
        <f ca="1">IFERROR(INDEX(INDIRECT(VLOOKUP($T251,Source_Master,2,0),),MATCH(TEXT($O251,0),INDIRECT(VLOOKUP($T251,Source_Master,4,0)),0),MATCH(G$1,INDIRECT(VLOOKUP($T251,Source_Master,3,0),),0)),0)</f>
        <v>0</v>
      </c>
      <c r="H251" s="476"/>
      <c r="I251" s="719">
        <f ca="1">IFERROR(INDEX(INDIRECT(VLOOKUP($T251,Source_Master,2,0),),MATCH(TEXT($O251,0),INDIRECT(VLOOKUP($T251,Source_Master,4,0)),0),MATCH(I$1,INDIRECT(VLOOKUP($T251,Source_Master,3,0),),0)),0)</f>
        <v>0</v>
      </c>
      <c r="M251" s="2" t="str">
        <f t="shared" ca="1" si="21"/>
        <v>##H</v>
      </c>
      <c r="O251" s="271" t="s">
        <v>2117</v>
      </c>
      <c r="T251" s="24" t="s">
        <v>51</v>
      </c>
    </row>
    <row r="252" spans="2:20" ht="15" customHeight="1">
      <c r="C252" s="177" t="s">
        <v>2118</v>
      </c>
      <c r="D252" s="177"/>
      <c r="E252" s="177"/>
      <c r="F252" s="388"/>
      <c r="G252" s="948">
        <f ca="1">IFERROR(INDEX(INDIRECT(VLOOKUP($T252,Source_Master,2,0),),MATCH(TEXT($O252,0),INDIRECT(VLOOKUP($T252,Source_Master,4,0)),0),MATCH(G$1,INDIRECT(VLOOKUP($T252,Source_Master,3,0),),0)),0)</f>
        <v>0</v>
      </c>
      <c r="H252" s="484"/>
      <c r="I252" s="941">
        <f ca="1">IFERROR(INDEX(INDIRECT(VLOOKUP($T252,Source_Master,2,0),),MATCH(TEXT($O252,0),INDIRECT(VLOOKUP($T252,Source_Master,4,0)),0),MATCH(I$1,INDIRECT(VLOOKUP($T252,Source_Master,3,0),),0)),0)</f>
        <v>0</v>
      </c>
      <c r="M252" s="2" t="str">
        <f t="shared" ca="1" si="21"/>
        <v>##H</v>
      </c>
      <c r="O252" s="271" t="s">
        <v>2119</v>
      </c>
      <c r="T252" s="24" t="s">
        <v>51</v>
      </c>
    </row>
    <row r="254" spans="2:20">
      <c r="B254" s="805" t="s">
        <v>751</v>
      </c>
      <c r="C254" s="25" t="s">
        <v>2040</v>
      </c>
      <c r="I254" s="1124" t="str">
        <f>'Master Sheet'!$C$65</f>
        <v>(Amount in INR)</v>
      </c>
      <c r="K254" s="22"/>
      <c r="L254" s="22"/>
      <c r="M254" s="22"/>
      <c r="N254" s="295"/>
      <c r="O254" s="295"/>
      <c r="P254" s="295"/>
      <c r="Q254" s="295"/>
      <c r="R254" s="295"/>
      <c r="S254" s="246"/>
    </row>
    <row r="255" spans="2:20" ht="18.75" customHeight="1">
      <c r="C255" s="1421" t="s">
        <v>500</v>
      </c>
      <c r="D255" s="1422"/>
      <c r="E255" s="1263" t="s">
        <v>2120</v>
      </c>
      <c r="F255" s="1263" t="s">
        <v>2121</v>
      </c>
      <c r="G255" s="1263" t="s">
        <v>2122</v>
      </c>
      <c r="H255" s="1263" t="s">
        <v>2123</v>
      </c>
      <c r="I255" s="931" t="s">
        <v>2124</v>
      </c>
    </row>
    <row r="256" spans="2:20" ht="15" customHeight="1">
      <c r="C256" s="932" t="s">
        <v>2125</v>
      </c>
      <c r="D256" s="932"/>
      <c r="E256" s="1204">
        <f ca="1">IFERROR(INDEX(INDIRECT(VLOOKUP($T249,Source_Master,2,0),),MATCH(TEXT($O256,0),INDIRECT(VLOOKUP($T249,Source_Master,4,0)),0),MATCH(G$1,INDIRECT(VLOOKUP($T249,Source_Master,3,0),),0)),0)</f>
        <v>0</v>
      </c>
      <c r="F256" s="1204">
        <f ca="1">IFERROR(INDEX(INDIRECT(VLOOKUP($T249,Source_Master,2,0),),MATCH(TEXT($P256,0),INDIRECT(VLOOKUP($T249,Source_Master,4,0)),0),MATCH(G$1,INDIRECT(VLOOKUP($T249,Source_Master,3,0),),0)),0)</f>
        <v>0</v>
      </c>
      <c r="G256" s="1205">
        <f ca="1">IFERROR(INDEX(INDIRECT(VLOOKUP($T249,Source_Master,2,0),),MATCH(TEXT($Q256,0),INDIRECT(VLOOKUP($T249,Source_Master,4,0)),0),MATCH(G$1,INDIRECT(VLOOKUP($T249,Source_Master,3,0),),0)),0)</f>
        <v>0</v>
      </c>
      <c r="H256" s="1205">
        <f ca="1">IFERROR(INDEX(INDIRECT(VLOOKUP($T249,Source_Master,2,0),),MATCH(TEXT($R256,0),INDIRECT(VLOOKUP($T249,Source_Master,4,0)),0),MATCH(G$1,INDIRECT(VLOOKUP($T249,Source_Master,3,0),),0)),0)</f>
        <v>0</v>
      </c>
      <c r="I256" s="1206">
        <f ca="1">IFERROR(INDEX(INDIRECT(VLOOKUP($T249,Source_Master,2,0),),MATCH(TEXT($S256,0),INDIRECT(VLOOKUP($T249,Source_Master,4,0)),0),MATCH(G$1,INDIRECT(VLOOKUP($T249,Source_Master,3,0),),0)),0)</f>
        <v>0</v>
      </c>
      <c r="M256" s="2" t="str">
        <f ca="1">IF(AND(E256=0,F256=0,G256=0,H256=0,I256=0),"##H","")</f>
        <v>##H</v>
      </c>
      <c r="O256" s="271" t="s">
        <v>2126</v>
      </c>
      <c r="P256" s="24" t="s">
        <v>2127</v>
      </c>
      <c r="Q256" s="24" t="s">
        <v>2128</v>
      </c>
      <c r="R256" s="24" t="s">
        <v>2129</v>
      </c>
      <c r="S256" s="24" t="s">
        <v>2130</v>
      </c>
      <c r="T256" s="24" t="s">
        <v>51</v>
      </c>
    </row>
    <row r="257" spans="1:20" ht="15" customHeight="1">
      <c r="C257" s="933" t="s">
        <v>2131</v>
      </c>
      <c r="D257" s="933"/>
      <c r="E257" s="1207">
        <f ca="1">IFERROR(INDEX(INDIRECT(VLOOKUP($T249,Source_Master,2,0),),MATCH(TEXT($O257,0),INDIRECT(VLOOKUP($T249,Source_Master,4,0)),0),MATCH(G$1,INDIRECT(VLOOKUP($T249,Source_Master,3,0),),0)),0)</f>
        <v>0</v>
      </c>
      <c r="F257" s="1207">
        <f ca="1">IFERROR(INDEX(INDIRECT(VLOOKUP($T249,Source_Master,2,0),),MATCH(TEXT($P257,0),INDIRECT(VLOOKUP($T249,Source_Master,4,0)),0),MATCH(G$1,INDIRECT(VLOOKUP($T249,Source_Master,3,0),),0)),0)</f>
        <v>0</v>
      </c>
      <c r="G257" s="1208">
        <f ca="1">IFERROR(INDEX(INDIRECT(VLOOKUP($T249,Source_Master,2,0),),MATCH(TEXT($Q257,0),INDIRECT(VLOOKUP($T249,Source_Master,4,0)),0),MATCH(G$1,INDIRECT(VLOOKUP($T249,Source_Master,3,0),),0)),0)</f>
        <v>0</v>
      </c>
      <c r="H257" s="1208">
        <f ca="1">IFERROR(INDEX(INDIRECT(VLOOKUP($T249,Source_Master,2,0),),MATCH(TEXT($R257,0),INDIRECT(VLOOKUP($T249,Source_Master,4,0)),0),MATCH(G$1,INDIRECT(VLOOKUP($T249,Source_Master,3,0),),0)),0)</f>
        <v>0</v>
      </c>
      <c r="I257" s="1209">
        <f ca="1">IFERROR(INDEX(INDIRECT(VLOOKUP($T249,Source_Master,2,0),),MATCH(TEXT($S257,0),INDIRECT(VLOOKUP($T249,Source_Master,4,0)),0),MATCH(G$1,INDIRECT(VLOOKUP($T249,Source_Master,3,0),),0)),0)</f>
        <v>0</v>
      </c>
      <c r="M257" s="2" t="str">
        <f t="shared" ref="M257:M259" ca="1" si="22">IF(AND(E257=0,F257=0,G257=0,H257=0,I257=0),"##H","")</f>
        <v>##H</v>
      </c>
      <c r="O257" s="271" t="s">
        <v>2132</v>
      </c>
      <c r="P257" s="24" t="s">
        <v>2133</v>
      </c>
      <c r="Q257" s="24" t="s">
        <v>2134</v>
      </c>
      <c r="R257" s="24" t="s">
        <v>2135</v>
      </c>
      <c r="S257" s="24" t="s">
        <v>2136</v>
      </c>
      <c r="T257" s="24" t="s">
        <v>51</v>
      </c>
    </row>
    <row r="258" spans="1:20" ht="15" customHeight="1">
      <c r="C258" s="933" t="s">
        <v>2137</v>
      </c>
      <c r="D258" s="933"/>
      <c r="E258" s="1207">
        <f ca="1">IFERROR(INDEX(INDIRECT(VLOOKUP($T249,Source_Master,2,0),),MATCH(TEXT($O258,0),INDIRECT(VLOOKUP($T249,Source_Master,4,0)),0),MATCH(G$1,INDIRECT(VLOOKUP($T249,Source_Master,3,0),),0)),0)</f>
        <v>0</v>
      </c>
      <c r="F258" s="1207">
        <f ca="1">IFERROR(INDEX(INDIRECT(VLOOKUP($T249,Source_Master,2,0),),MATCH(TEXT($P258,0),INDIRECT(VLOOKUP($T249,Source_Master,4,0)),0),MATCH(G$1,INDIRECT(VLOOKUP($T249,Source_Master,3,0),),0)),0)</f>
        <v>0</v>
      </c>
      <c r="G258" s="1207">
        <f ca="1">IFERROR(INDEX(INDIRECT(VLOOKUP($T249,Source_Master,2,0),),MATCH(TEXT($Q258,0),INDIRECT(VLOOKUP($T249,Source_Master,4,0)),0),MATCH(G$1,INDIRECT(VLOOKUP($T249,Source_Master,3,0),),0)),0)</f>
        <v>0</v>
      </c>
      <c r="H258" s="1207">
        <f ca="1">IFERROR(INDEX(INDIRECT(VLOOKUP($T249,Source_Master,2,0),),MATCH(TEXT($R258,0),INDIRECT(VLOOKUP($T249,Source_Master,4,0)),0),MATCH(G$1,INDIRECT(VLOOKUP($T249,Source_Master,3,0),),0)),0)</f>
        <v>0</v>
      </c>
      <c r="I258" s="1210">
        <f ca="1">IFERROR(INDEX(INDIRECT(VLOOKUP($T249,Source_Master,2,0),),MATCH(TEXT($S258,0),INDIRECT(VLOOKUP($T249,Source_Master,4,0)),0),MATCH(G$1,INDIRECT(VLOOKUP($T249,Source_Master,3,0),),0)),0)</f>
        <v>0</v>
      </c>
      <c r="M258" s="2" t="str">
        <f t="shared" ca="1" si="22"/>
        <v>##H</v>
      </c>
      <c r="O258" s="24" t="s">
        <v>2138</v>
      </c>
      <c r="P258" s="24" t="s">
        <v>2139</v>
      </c>
      <c r="Q258" s="24" t="s">
        <v>2140</v>
      </c>
      <c r="R258" s="24" t="s">
        <v>2141</v>
      </c>
      <c r="S258" s="24" t="s">
        <v>2142</v>
      </c>
    </row>
    <row r="259" spans="1:20" ht="15" customHeight="1">
      <c r="C259" s="933" t="s">
        <v>2143</v>
      </c>
      <c r="D259" s="933"/>
      <c r="E259" s="1207">
        <f ca="1">IFERROR(INDEX(INDIRECT(VLOOKUP($T249,Source_Master,2,0),),MATCH(TEXT($O259,0),INDIRECT(VLOOKUP($T249,Source_Master,4,0)),0),MATCH(G$1,INDIRECT(VLOOKUP($T249,Source_Master,3,0),),0)),0)</f>
        <v>0</v>
      </c>
      <c r="F259" s="1207">
        <f ca="1">IFERROR(INDEX(INDIRECT(VLOOKUP($T249,Source_Master,2,0),),MATCH(TEXT($P259,0),INDIRECT(VLOOKUP($T249,Source_Master,4,0)),0),MATCH(G$1,INDIRECT(VLOOKUP($T249,Source_Master,3,0),),0)),0)</f>
        <v>0</v>
      </c>
      <c r="G259" s="1207">
        <f ca="1">IFERROR(INDEX(INDIRECT(VLOOKUP($T249,Source_Master,2,0),),MATCH(TEXT($Q259,0),INDIRECT(VLOOKUP($T249,Source_Master,4,0)),0),MATCH(G$1,INDIRECT(VLOOKUP($T249,Source_Master,3,0),),0)),0)</f>
        <v>0</v>
      </c>
      <c r="H259" s="1207">
        <f ca="1">IFERROR(INDEX(INDIRECT(VLOOKUP($T249,Source_Master,2,0),),MATCH(TEXT($R259,0),INDIRECT(VLOOKUP($T249,Source_Master,4,0)),0),MATCH(G$1,INDIRECT(VLOOKUP($T249,Source_Master,3,0),),0)),0)</f>
        <v>0</v>
      </c>
      <c r="I259" s="1210">
        <f ca="1">IFERROR(INDEX(INDIRECT(VLOOKUP($T249,Source_Master,2,0),),MATCH(TEXT($S259,0),INDIRECT(VLOOKUP($T249,Source_Master,4,0)),0),MATCH(G$1,INDIRECT(VLOOKUP($T249,Source_Master,3,0),),0)),0)</f>
        <v>0</v>
      </c>
      <c r="M259" s="2" t="str">
        <f t="shared" ca="1" si="22"/>
        <v>##H</v>
      </c>
      <c r="O259" s="271" t="s">
        <v>2144</v>
      </c>
      <c r="P259" s="24" t="s">
        <v>2145</v>
      </c>
      <c r="Q259" s="24" t="s">
        <v>2146</v>
      </c>
      <c r="R259" s="24" t="s">
        <v>2147</v>
      </c>
      <c r="S259" s="24" t="s">
        <v>2148</v>
      </c>
      <c r="T259" s="24" t="s">
        <v>51</v>
      </c>
    </row>
    <row r="260" spans="1:20" ht="16.899999999999999" customHeight="1">
      <c r="C260" s="934" t="s">
        <v>2149</v>
      </c>
      <c r="D260" s="934"/>
      <c r="E260" s="1024">
        <f ca="1">IFERROR(INDEX(INDIRECT(VLOOKUP($T249,Source_Master,2,0),),MATCH(TEXT($O260,0),INDIRECT(VLOOKUP($T249,Source_Master,4,0)),0),MATCH(G$1,INDIRECT(VLOOKUP($T249,Source_Master,3,0),),0)),0)</f>
        <v>0</v>
      </c>
      <c r="F260" s="1024">
        <f ca="1">IFERROR(INDEX(INDIRECT(VLOOKUP($T249,Source_Master,2,0),),MATCH(TEXT($P260,0),INDIRECT(VLOOKUP($T249,Source_Master,4,0)),0),MATCH(G$1,INDIRECT(VLOOKUP($T249,Source_Master,3,0),),0)),0)</f>
        <v>0</v>
      </c>
      <c r="G260" s="1024">
        <f ca="1">IFERROR(INDEX(INDIRECT(VLOOKUP($T249,Source_Master,2,0),),MATCH(TEXT($Q260,0),INDIRECT(VLOOKUP($T249,Source_Master,4,0)),0),MATCH(G$1,INDIRECT(VLOOKUP($T249,Source_Master,3,0),),0)),0)</f>
        <v>0</v>
      </c>
      <c r="H260" s="1024">
        <f ca="1">IFERROR(INDEX(INDIRECT(VLOOKUP($T249,Source_Master,2,0),),MATCH(TEXT($R260,0),INDIRECT(VLOOKUP($T249,Source_Master,4,0)),0),MATCH(G$1,INDIRECT(VLOOKUP($T249,Source_Master,3,0),),0)),0)</f>
        <v>0</v>
      </c>
      <c r="I260" s="1025">
        <f ca="1">IFERROR(INDEX(INDIRECT(VLOOKUP($T249,Source_Master,2,0),),MATCH(TEXT($S260,0),INDIRECT(VLOOKUP($T249,Source_Master,4,0)),0),MATCH(G$1,INDIRECT(VLOOKUP($T249,Source_Master,3,0),),0)),0)</f>
        <v>0</v>
      </c>
      <c r="O260" s="24" t="s">
        <v>2150</v>
      </c>
      <c r="P260" s="24" t="s">
        <v>2151</v>
      </c>
      <c r="Q260" s="24" t="s">
        <v>2152</v>
      </c>
      <c r="R260" s="24" t="s">
        <v>2153</v>
      </c>
      <c r="S260" s="24" t="s">
        <v>2154</v>
      </c>
    </row>
    <row r="261" spans="1:20" ht="16.899999999999999" customHeight="1">
      <c r="C261" s="1529" t="s">
        <v>2155</v>
      </c>
      <c r="D261" s="1602"/>
      <c r="E261" s="1603"/>
      <c r="F261" s="1603"/>
      <c r="G261" s="1602"/>
      <c r="H261" s="1602"/>
      <c r="I261" s="1602"/>
    </row>
    <row r="263" spans="1:20">
      <c r="A263" s="1123">
        <f>NTA!F171</f>
        <v>56</v>
      </c>
      <c r="B263" s="1123" t="str">
        <f>NTA!C171</f>
        <v>Segment Reporting</v>
      </c>
    </row>
    <row r="264" spans="1:20">
      <c r="B264" s="1244"/>
      <c r="C264" s="1246"/>
      <c r="D264" s="1246"/>
      <c r="E264" s="1246"/>
      <c r="F264" s="1246"/>
      <c r="G264" s="1246"/>
      <c r="H264" s="1246"/>
      <c r="I264" s="1124" t="str">
        <f>'Master Sheet'!$C$65</f>
        <v>(Amount in INR)</v>
      </c>
    </row>
    <row r="265" spans="1:20" ht="25.5" customHeight="1">
      <c r="B265" s="1313" t="s">
        <v>500</v>
      </c>
      <c r="C265" s="1313"/>
      <c r="D265" s="1313"/>
      <c r="E265" s="1313"/>
      <c r="F265" s="1417" t="e">
        <f ca="1">BS_CY</f>
        <v>#NAME?</v>
      </c>
      <c r="G265" s="1417"/>
      <c r="H265" s="1418" t="e">
        <f ca="1">BS_PY</f>
        <v>#NAME?</v>
      </c>
      <c r="I265" s="1418"/>
    </row>
    <row r="266" spans="1:20" ht="15" customHeight="1">
      <c r="B266" s="21" t="s">
        <v>2156</v>
      </c>
      <c r="C266" s="20"/>
      <c r="D266" s="20"/>
      <c r="E266" s="20"/>
      <c r="F266" s="1538"/>
      <c r="G266" s="1538"/>
      <c r="H266" s="1545"/>
      <c r="I266" s="1545"/>
    </row>
    <row r="267" spans="1:20" ht="15" customHeight="1">
      <c r="B267" s="1097" t="str">
        <f>FZ_Reference_Master!$D$3</f>
        <v>Air India Exp</v>
      </c>
      <c r="C267" s="58"/>
      <c r="D267" s="58"/>
      <c r="E267" s="58"/>
      <c r="F267" s="65"/>
      <c r="G267" s="342">
        <f ca="1">G269-G268</f>
        <v>0</v>
      </c>
      <c r="H267" s="452"/>
      <c r="I267" s="719">
        <f ca="1">I269-I268</f>
        <v>0</v>
      </c>
      <c r="M267" s="2" t="str">
        <f t="shared" ref="M267:M269" ca="1" si="23">IF(AND(G267=0,I267=0),"##H","")</f>
        <v>##H</v>
      </c>
    </row>
    <row r="268" spans="1:20" ht="15" hidden="1" customHeight="1">
      <c r="B268" s="1097" t="str">
        <f>"Outside "&amp;FZ_Reference_Master!$D$3</f>
        <v>Outside Air India Exp</v>
      </c>
      <c r="C268" s="1253"/>
      <c r="D268" s="1253"/>
      <c r="E268" s="1253"/>
      <c r="F268" s="453"/>
      <c r="G268" s="453"/>
      <c r="H268" s="452"/>
      <c r="I268" s="452"/>
      <c r="M268" s="2" t="str">
        <f t="shared" si="23"/>
        <v>##H</v>
      </c>
    </row>
    <row r="269" spans="1:20" ht="15" customHeight="1">
      <c r="B269" s="33" t="s">
        <v>2157</v>
      </c>
      <c r="C269" s="58"/>
      <c r="D269" s="58"/>
      <c r="E269" s="58"/>
      <c r="F269" s="453"/>
      <c r="G269" s="935">
        <f ca="1">'P&amp;L'!C9</f>
        <v>0</v>
      </c>
      <c r="H269" s="452"/>
      <c r="I269" s="719">
        <f ca="1">'P&amp;L'!D9</f>
        <v>0</v>
      </c>
      <c r="M269" s="2" t="str">
        <f t="shared" ca="1" si="23"/>
        <v>##H</v>
      </c>
    </row>
    <row r="270" spans="1:20" ht="15" customHeight="1">
      <c r="B270" s="58"/>
      <c r="C270" s="58"/>
      <c r="D270" s="58"/>
      <c r="E270" s="58"/>
      <c r="F270" s="453"/>
      <c r="G270" s="453"/>
      <c r="H270" s="452"/>
      <c r="I270" s="452"/>
    </row>
    <row r="271" spans="1:20" ht="15" customHeight="1">
      <c r="B271" s="33" t="s">
        <v>2158</v>
      </c>
      <c r="C271" s="58"/>
      <c r="D271" s="58"/>
      <c r="E271" s="58"/>
      <c r="F271" s="453"/>
      <c r="G271" s="453"/>
      <c r="H271" s="452"/>
      <c r="I271" s="452"/>
    </row>
    <row r="272" spans="1:20" ht="15" customHeight="1">
      <c r="B272" s="223" t="s">
        <v>129</v>
      </c>
      <c r="C272" s="58"/>
      <c r="D272" s="58"/>
      <c r="E272" s="58"/>
      <c r="F272" s="453"/>
      <c r="G272" s="935">
        <f ca="1">G274-G273</f>
        <v>0</v>
      </c>
      <c r="H272" s="452"/>
      <c r="I272" s="719">
        <f ca="1">I274-I273</f>
        <v>0</v>
      </c>
      <c r="M272" s="2" t="str">
        <f t="shared" ref="M272:M274" ca="1" si="24">IF(AND(G272=0,I272=0),"##H","")</f>
        <v>##H</v>
      </c>
    </row>
    <row r="273" spans="1:20" ht="15" hidden="1" customHeight="1">
      <c r="B273" s="223" t="s">
        <v>2159</v>
      </c>
      <c r="C273" s="1253"/>
      <c r="D273" s="1253"/>
      <c r="E273" s="1253"/>
      <c r="F273" s="462"/>
      <c r="G273" s="462"/>
      <c r="H273" s="463"/>
      <c r="I273" s="463"/>
      <c r="M273" s="2" t="str">
        <f t="shared" si="24"/>
        <v>##H</v>
      </c>
    </row>
    <row r="274" spans="1:20" ht="15" customHeight="1">
      <c r="B274" s="451" t="s">
        <v>278</v>
      </c>
      <c r="C274" s="206"/>
      <c r="D274" s="177"/>
      <c r="E274" s="177"/>
      <c r="F274" s="531"/>
      <c r="G274" s="937">
        <f ca="1">BS!C37</f>
        <v>0</v>
      </c>
      <c r="H274" s="465"/>
      <c r="I274" s="949">
        <f ca="1">BS!D37</f>
        <v>0</v>
      </c>
      <c r="M274" s="2" t="str">
        <f t="shared" ca="1" si="24"/>
        <v>##H</v>
      </c>
    </row>
    <row r="276" spans="1:20" ht="29.25" customHeight="1">
      <c r="B276" s="1416" t="s">
        <v>2160</v>
      </c>
      <c r="C276" s="1420"/>
      <c r="D276" s="1420"/>
      <c r="E276" s="1420"/>
      <c r="F276" s="1420"/>
      <c r="G276" s="1420"/>
      <c r="H276" s="1420"/>
      <c r="I276" s="1420"/>
      <c r="K276" s="559"/>
    </row>
    <row r="278" spans="1:20">
      <c r="A278" s="1123">
        <f>NTA!F172</f>
        <v>57</v>
      </c>
      <c r="B278" s="1123" t="str">
        <f>NTA!C172</f>
        <v>Disclosure of segment information pursuant to Ind AS 108 "Operating Segments"</v>
      </c>
      <c r="K278" s="559"/>
    </row>
    <row r="279" spans="1:20" ht="28.5" customHeight="1">
      <c r="B279" s="1416" t="s">
        <v>2161</v>
      </c>
      <c r="C279" s="1420"/>
      <c r="D279" s="1420"/>
      <c r="E279" s="1420"/>
      <c r="F279" s="1420"/>
      <c r="G279" s="1420"/>
      <c r="H279" s="1420"/>
      <c r="I279" s="1420"/>
    </row>
    <row r="281" spans="1:20">
      <c r="A281" s="1123">
        <f>NTA!F173</f>
        <v>58</v>
      </c>
      <c r="B281" s="1123" t="str">
        <f>NTA!C173</f>
        <v>Leases</v>
      </c>
    </row>
    <row r="282" spans="1:20" ht="8.25" customHeight="1"/>
    <row r="283" spans="1:20" ht="28.5" customHeight="1">
      <c r="B283" s="1416" t="s">
        <v>2162</v>
      </c>
      <c r="C283" s="1420"/>
      <c r="D283" s="1420"/>
      <c r="E283" s="1420"/>
      <c r="F283" s="1420"/>
      <c r="G283" s="1420"/>
      <c r="H283" s="1420"/>
      <c r="I283" s="1420"/>
      <c r="K283" s="559"/>
      <c r="L283" s="559"/>
      <c r="M283" s="559"/>
      <c r="N283" s="295"/>
      <c r="O283" s="295"/>
      <c r="P283" s="295"/>
      <c r="Q283" s="295"/>
      <c r="R283" s="295"/>
      <c r="S283" s="559"/>
      <c r="T283" s="559"/>
    </row>
    <row r="284" spans="1:20">
      <c r="B284" s="1244"/>
      <c r="C284" s="1246"/>
      <c r="D284" s="1246"/>
      <c r="E284" s="1246"/>
      <c r="F284" s="1246"/>
      <c r="G284" s="1246"/>
      <c r="H284" s="1246"/>
      <c r="I284" s="1246"/>
    </row>
    <row r="285" spans="1:20">
      <c r="B285" s="210" t="s">
        <v>2163</v>
      </c>
      <c r="C285" s="1246"/>
      <c r="D285" s="1246"/>
      <c r="E285" s="1246"/>
      <c r="F285" s="1246"/>
      <c r="G285" s="1246"/>
      <c r="H285" s="1246"/>
      <c r="I285" s="1246"/>
      <c r="K285" s="559"/>
      <c r="L285" s="559"/>
      <c r="M285" s="559"/>
      <c r="N285" s="295"/>
      <c r="O285" s="295"/>
      <c r="P285" s="295"/>
      <c r="Q285" s="295"/>
    </row>
    <row r="286" spans="1:20">
      <c r="B286" s="1264" t="s">
        <v>2164</v>
      </c>
      <c r="C286" s="1246"/>
      <c r="D286" s="1246"/>
      <c r="E286" s="1246"/>
      <c r="F286" s="1246"/>
      <c r="G286" s="1246"/>
      <c r="H286" s="1246"/>
      <c r="I286" s="1246"/>
    </row>
    <row r="287" spans="1:20" ht="4.5" customHeight="1">
      <c r="B287" s="1264"/>
      <c r="C287" s="1246"/>
      <c r="D287" s="1246"/>
      <c r="E287" s="1246"/>
      <c r="F287" s="1246"/>
      <c r="G287" s="1246"/>
      <c r="H287" s="1246"/>
      <c r="I287" s="1246"/>
    </row>
    <row r="288" spans="1:20">
      <c r="B288" s="1264" t="s">
        <v>2165</v>
      </c>
      <c r="C288" s="1246"/>
      <c r="D288" s="1246"/>
      <c r="E288" s="1246"/>
      <c r="F288" s="1246"/>
      <c r="G288" s="1246"/>
      <c r="H288" s="1246"/>
      <c r="I288" s="1246"/>
      <c r="K288" s="559"/>
      <c r="L288" s="559"/>
      <c r="M288" s="559"/>
      <c r="N288" s="295"/>
      <c r="O288" s="295"/>
      <c r="P288" s="295"/>
      <c r="Q288" s="295"/>
    </row>
    <row r="289" spans="2:21">
      <c r="B289" s="1244"/>
      <c r="C289" s="1419" t="s">
        <v>2166</v>
      </c>
      <c r="D289" s="1420"/>
      <c r="E289" s="1420"/>
      <c r="F289" s="1420"/>
      <c r="G289" s="1420"/>
      <c r="H289" s="1420"/>
      <c r="I289" s="1420"/>
    </row>
    <row r="290" spans="2:21">
      <c r="B290" s="1244"/>
      <c r="C290" s="1436" t="s">
        <v>2167</v>
      </c>
      <c r="D290" s="1310"/>
      <c r="E290" s="1310"/>
      <c r="F290" s="1310"/>
      <c r="G290" s="1310"/>
      <c r="H290" s="1310"/>
      <c r="I290" s="1310"/>
    </row>
    <row r="291" spans="2:21">
      <c r="B291" s="1244"/>
      <c r="C291" s="1436" t="s">
        <v>2168</v>
      </c>
      <c r="D291" s="1310"/>
      <c r="E291" s="1310"/>
      <c r="F291" s="1310"/>
      <c r="G291" s="1310"/>
      <c r="H291" s="1310"/>
      <c r="I291" s="1310"/>
    </row>
    <row r="292" spans="2:21">
      <c r="B292" s="1244"/>
      <c r="C292" s="1275"/>
      <c r="D292" s="1246"/>
      <c r="E292" s="1246"/>
      <c r="F292" s="1246"/>
      <c r="G292" s="1246"/>
      <c r="H292" s="1246"/>
      <c r="I292" s="1246"/>
    </row>
    <row r="293" spans="2:21" ht="27" customHeight="1">
      <c r="B293" s="1419" t="s">
        <v>2169</v>
      </c>
      <c r="C293" s="1419"/>
      <c r="D293" s="1419"/>
      <c r="E293" s="1419"/>
      <c r="F293" s="1419"/>
      <c r="G293" s="1419"/>
      <c r="H293" s="1419"/>
      <c r="I293" s="1419"/>
      <c r="K293" s="765"/>
      <c r="L293" s="559"/>
      <c r="M293" s="559"/>
      <c r="N293" s="295"/>
      <c r="O293" s="295"/>
      <c r="P293" s="295"/>
    </row>
    <row r="294" spans="2:21">
      <c r="B294" s="1244"/>
      <c r="C294" s="1436" t="s">
        <v>2170</v>
      </c>
      <c r="D294" s="1310"/>
      <c r="E294" s="1310"/>
      <c r="F294" s="1310"/>
      <c r="G294" s="1310"/>
      <c r="H294" s="1310"/>
      <c r="I294" s="1310"/>
    </row>
    <row r="295" spans="2:21">
      <c r="B295" s="1244"/>
      <c r="C295" s="1436" t="s">
        <v>2171</v>
      </c>
      <c r="D295" s="1310"/>
      <c r="E295" s="1310"/>
      <c r="F295" s="1310"/>
      <c r="G295" s="1310"/>
      <c r="H295" s="1310"/>
      <c r="I295" s="1310"/>
    </row>
    <row r="296" spans="2:21">
      <c r="B296" s="1244"/>
      <c r="C296" s="1436" t="s">
        <v>2172</v>
      </c>
      <c r="D296" s="1310"/>
      <c r="E296" s="1310"/>
      <c r="F296" s="1310"/>
      <c r="G296" s="1310"/>
      <c r="H296" s="1310"/>
      <c r="I296" s="1310"/>
    </row>
    <row r="297" spans="2:21">
      <c r="B297" s="1244"/>
      <c r="C297" s="1246"/>
      <c r="D297" s="1246"/>
      <c r="E297" s="1246"/>
      <c r="F297" s="1246"/>
      <c r="G297" s="1246"/>
      <c r="H297" s="1246"/>
      <c r="I297" s="1246"/>
    </row>
    <row r="298" spans="2:21" ht="29.25" customHeight="1">
      <c r="B298" s="1419" t="s">
        <v>2173</v>
      </c>
      <c r="C298" s="1419"/>
      <c r="D298" s="1419"/>
      <c r="E298" s="1419"/>
      <c r="F298" s="1419"/>
      <c r="G298" s="1419"/>
      <c r="H298" s="1419"/>
      <c r="I298" s="1419"/>
      <c r="K298" s="765"/>
      <c r="L298" s="559"/>
      <c r="M298" s="559"/>
      <c r="N298" s="295"/>
      <c r="O298" s="295"/>
      <c r="P298" s="295"/>
    </row>
    <row r="299" spans="2:21" ht="30.75" customHeight="1">
      <c r="B299" s="1437" t="s">
        <v>2174</v>
      </c>
      <c r="C299" s="1437"/>
      <c r="D299" s="1437"/>
      <c r="E299" s="1437"/>
      <c r="F299" s="1437"/>
      <c r="G299" s="1437"/>
      <c r="H299" s="1437"/>
      <c r="I299" s="1437"/>
      <c r="K299" s="765"/>
      <c r="L299" s="559"/>
      <c r="M299" s="559"/>
      <c r="N299" s="295"/>
      <c r="O299" s="295"/>
      <c r="P299" s="295"/>
    </row>
    <row r="300" spans="2:21">
      <c r="B300" s="1436"/>
      <c r="C300" s="1436"/>
      <c r="D300" s="1436"/>
      <c r="E300" s="1436"/>
      <c r="F300" s="1436"/>
      <c r="G300" s="1436"/>
      <c r="H300" s="1436"/>
      <c r="I300" s="1436"/>
    </row>
    <row r="301" spans="2:21">
      <c r="B301" s="1244"/>
      <c r="C301" s="1246"/>
      <c r="D301" s="1246"/>
      <c r="E301" s="1246"/>
      <c r="F301" s="1246"/>
      <c r="G301" s="1246"/>
      <c r="H301" s="1246"/>
      <c r="I301" s="1246"/>
    </row>
    <row r="302" spans="2:21">
      <c r="B302" s="1123">
        <f>NTA!F174</f>
        <v>58.1</v>
      </c>
      <c r="C302" s="1123" t="e">
        <f ca="1">NTA!C174</f>
        <v>#NAME?</v>
      </c>
      <c r="I302" s="1124" t="str">
        <f>'Master Sheet'!$C$65</f>
        <v>(Amount in INR)</v>
      </c>
      <c r="K302" s="559"/>
      <c r="L302" s="559"/>
      <c r="M302" s="559"/>
      <c r="N302" s="295"/>
      <c r="O302" s="295"/>
      <c r="P302" s="295"/>
      <c r="Q302" s="295"/>
      <c r="R302" s="295"/>
      <c r="S302" s="559"/>
      <c r="T302" s="559"/>
      <c r="U302" s="559"/>
    </row>
    <row r="303" spans="2:21" ht="27" customHeight="1">
      <c r="C303" s="1313" t="s">
        <v>500</v>
      </c>
      <c r="D303" s="1313"/>
      <c r="E303" s="1313"/>
      <c r="F303" s="1417" t="e">
        <f ca="1">BS_CY</f>
        <v>#NAME?</v>
      </c>
      <c r="G303" s="1417"/>
      <c r="H303" s="1418" t="e">
        <f ca="1">BS_PY</f>
        <v>#NAME?</v>
      </c>
      <c r="I303" s="1418"/>
    </row>
    <row r="304" spans="2:21" ht="15" customHeight="1">
      <c r="C304" s="20" t="s">
        <v>2175</v>
      </c>
      <c r="D304" s="20"/>
      <c r="E304" s="20"/>
      <c r="F304" s="1538"/>
      <c r="G304" s="1596">
        <f ca="1">BS!C60</f>
        <v>0</v>
      </c>
      <c r="H304" s="1528"/>
      <c r="I304" s="1597">
        <f ca="1">BS!D60</f>
        <v>0</v>
      </c>
      <c r="M304" s="2" t="str">
        <f t="shared" ref="M304:M306" ca="1" si="25">IF(AND(G304=0,I304=0),"##H","")</f>
        <v>##H</v>
      </c>
    </row>
    <row r="305" spans="2:21" ht="15" customHeight="1">
      <c r="C305" s="58" t="s">
        <v>2176</v>
      </c>
      <c r="D305" s="58"/>
      <c r="E305" s="58"/>
      <c r="F305" s="466"/>
      <c r="G305" s="401">
        <f ca="1">BS!C50</f>
        <v>0</v>
      </c>
      <c r="H305" s="479"/>
      <c r="I305" s="938">
        <f ca="1">BS!D50</f>
        <v>0</v>
      </c>
      <c r="M305" s="2" t="str">
        <f t="shared" ca="1" si="25"/>
        <v>##H</v>
      </c>
    </row>
    <row r="306" spans="2:21" ht="15" customHeight="1">
      <c r="C306" s="216" t="s">
        <v>246</v>
      </c>
      <c r="D306" s="177"/>
      <c r="E306" s="177"/>
      <c r="F306" s="464"/>
      <c r="G306" s="950">
        <f ca="1">SUM(G304:G305)</f>
        <v>0</v>
      </c>
      <c r="H306" s="621"/>
      <c r="I306" s="951">
        <f ca="1">SUM(I304:I305)</f>
        <v>0</v>
      </c>
      <c r="M306" s="2" t="str">
        <f t="shared" ca="1" si="25"/>
        <v>##H</v>
      </c>
    </row>
    <row r="308" spans="2:21">
      <c r="B308" s="1123">
        <f>NTA!F175</f>
        <v>58.2</v>
      </c>
      <c r="C308" s="1123" t="e">
        <f ca="1">NTA!C175</f>
        <v>#NAME?</v>
      </c>
      <c r="I308" s="1124" t="str">
        <f>'Master Sheet'!$C$65</f>
        <v>(Amount in INR)</v>
      </c>
      <c r="K308" s="559"/>
      <c r="L308" s="559"/>
      <c r="M308" s="559"/>
      <c r="N308" s="295"/>
      <c r="O308" s="295"/>
      <c r="P308" s="295"/>
      <c r="Q308" s="295"/>
      <c r="R308" s="295"/>
      <c r="S308" s="559"/>
      <c r="U308" s="559"/>
    </row>
    <row r="309" spans="2:21">
      <c r="C309" s="1314" t="s">
        <v>2177</v>
      </c>
      <c r="D309" s="1314"/>
      <c r="E309" s="1314"/>
      <c r="F309" s="1433" t="s">
        <v>2178</v>
      </c>
      <c r="G309" s="1434"/>
      <c r="H309" s="1434"/>
      <c r="I309" s="1435"/>
    </row>
    <row r="310" spans="2:21">
      <c r="C310" s="1406"/>
      <c r="D310" s="1406"/>
      <c r="E310" s="1406"/>
      <c r="F310" s="1438" t="e">
        <f ca="1">BS_CY</f>
        <v>#NAME?</v>
      </c>
      <c r="G310" s="1439"/>
      <c r="H310" s="1440" t="e">
        <f ca="1">BS_PY</f>
        <v>#NAME?</v>
      </c>
      <c r="I310" s="1441"/>
    </row>
    <row r="311" spans="2:21" ht="15" customHeight="1">
      <c r="C311" s="169" t="s">
        <v>2179</v>
      </c>
      <c r="D311" s="169"/>
      <c r="E311" s="169"/>
      <c r="F311" s="467"/>
      <c r="G311" s="404">
        <f ca="1">IFERROR(INDEX(INDIRECT(VLOOKUP($T311,Source_Master,2,0),),MATCH(TEXT($O311,0),INDIRECT(VLOOKUP($T311,Source_Master,4,0)),0),MATCH(G$1,INDIRECT(VLOOKUP($T311,Source_Master,3,0),),0)),0)</f>
        <v>0</v>
      </c>
      <c r="H311" s="481"/>
      <c r="I311" s="947">
        <f ca="1">IFERROR(INDEX(INDIRECT(VLOOKUP($T311,Source_Master,2,0),),MATCH(TEXT($O311,0),INDIRECT(VLOOKUP($T311,Source_Master,4,0)),0),MATCH(I$1,INDIRECT(VLOOKUP($T311,Source_Master,3,0),),0)),0)</f>
        <v>0</v>
      </c>
      <c r="M311" s="2" t="str">
        <f t="shared" ref="M311:M314" ca="1" si="26">IF(AND(G311=0,I311=0),"##H","")</f>
        <v>##H</v>
      </c>
      <c r="O311" s="271" t="s">
        <v>2180</v>
      </c>
      <c r="T311" s="24" t="s">
        <v>51</v>
      </c>
    </row>
    <row r="312" spans="2:21" ht="15" customHeight="1">
      <c r="C312" s="58" t="s">
        <v>2181</v>
      </c>
      <c r="D312" s="58"/>
      <c r="E312" s="1253"/>
      <c r="F312" s="453"/>
      <c r="G312" s="935">
        <f ca="1">IFERROR(INDEX(INDIRECT(VLOOKUP($T312,Source_Master,2,0),),MATCH(TEXT($O312,0),INDIRECT(VLOOKUP($T312,Source_Master,4,0)),0),MATCH(G$1,INDIRECT(VLOOKUP($T312,Source_Master,3,0),),0)),0)</f>
        <v>0</v>
      </c>
      <c r="H312" s="476"/>
      <c r="I312" s="719">
        <f ca="1">IFERROR(INDEX(INDIRECT(VLOOKUP($T312,Source_Master,2,0),),MATCH(TEXT($O312,0),INDIRECT(VLOOKUP($T312,Source_Master,4,0)),0),MATCH(I$1,INDIRECT(VLOOKUP($T312,Source_Master,3,0),),0)),0)</f>
        <v>0</v>
      </c>
      <c r="M312" s="2" t="str">
        <f t="shared" ca="1" si="26"/>
        <v>##H</v>
      </c>
      <c r="O312" s="271" t="s">
        <v>2182</v>
      </c>
      <c r="T312" s="24" t="s">
        <v>51</v>
      </c>
    </row>
    <row r="313" spans="2:21" ht="15" customHeight="1">
      <c r="C313" s="58" t="s">
        <v>2183</v>
      </c>
      <c r="D313" s="58"/>
      <c r="E313" s="58"/>
      <c r="F313" s="462"/>
      <c r="G313" s="936">
        <f ca="1">IFERROR(INDEX(INDIRECT(VLOOKUP($T313,Source_Master,2,0),),MATCH(TEXT($O313,0),INDIRECT(VLOOKUP($T313,Source_Master,4,0)),0),MATCH(G$1,INDIRECT(VLOOKUP($T313,Source_Master,3,0),),0)),0)</f>
        <v>0</v>
      </c>
      <c r="H313" s="477"/>
      <c r="I313" s="938">
        <f ca="1">IFERROR(INDEX(INDIRECT(VLOOKUP($T313,Source_Master,2,0),),MATCH(TEXT($O313,0),INDIRECT(VLOOKUP($T313,Source_Master,4,0)),0),MATCH(I$1,INDIRECT(VLOOKUP($T313,Source_Master,3,0),),0)),0)</f>
        <v>0</v>
      </c>
      <c r="M313" s="2" t="str">
        <f t="shared" ca="1" si="26"/>
        <v>##H</v>
      </c>
      <c r="O313" s="271" t="s">
        <v>2184</v>
      </c>
      <c r="T313" s="24" t="s">
        <v>51</v>
      </c>
    </row>
    <row r="314" spans="2:21" ht="15" customHeight="1">
      <c r="C314" s="216" t="s">
        <v>246</v>
      </c>
      <c r="D314" s="177"/>
      <c r="E314" s="177"/>
      <c r="F314" s="464"/>
      <c r="G314" s="950">
        <f ca="1">SUM(G311:G313)</f>
        <v>0</v>
      </c>
      <c r="H314" s="485"/>
      <c r="I314" s="951">
        <f ca="1">SUM(I311:I313)</f>
        <v>0</v>
      </c>
      <c r="M314" s="2" t="str">
        <f t="shared" ca="1" si="26"/>
        <v>##H</v>
      </c>
    </row>
    <row r="316" spans="2:21">
      <c r="B316" s="1123">
        <f>NTA!F176</f>
        <v>58.300000000000004</v>
      </c>
      <c r="C316" s="1123" t="str">
        <f>NTA!C176</f>
        <v>Amounts recognised in the Statement of Profit and Loss</v>
      </c>
      <c r="I316" s="1124" t="str">
        <f>'Master Sheet'!$C$65</f>
        <v>(Amount in INR)</v>
      </c>
      <c r="K316" s="559"/>
      <c r="L316" s="559"/>
      <c r="M316" s="559"/>
      <c r="N316" s="295"/>
      <c r="O316" s="295"/>
      <c r="P316" s="295"/>
      <c r="Q316" s="295"/>
      <c r="R316" s="295"/>
      <c r="S316" s="559"/>
      <c r="T316" s="559"/>
      <c r="U316" s="559"/>
    </row>
    <row r="317" spans="2:21" ht="24" customHeight="1">
      <c r="C317" s="1313" t="s">
        <v>500</v>
      </c>
      <c r="D317" s="1313"/>
      <c r="E317" s="1313"/>
      <c r="F317" s="1417" t="e">
        <f ca="1">PL_CY</f>
        <v>#NAME?</v>
      </c>
      <c r="G317" s="1417"/>
      <c r="H317" s="1418" t="e">
        <f ca="1">PL_PY</f>
        <v>#NAME?</v>
      </c>
      <c r="I317" s="1418"/>
    </row>
    <row r="318" spans="2:21" ht="15" customHeight="1">
      <c r="C318" s="20" t="s">
        <v>2185</v>
      </c>
      <c r="D318" s="20"/>
      <c r="E318" s="20"/>
      <c r="F318" s="1538"/>
      <c r="G318" s="1596">
        <f ca="1">'NT PL1'!E136</f>
        <v>0</v>
      </c>
      <c r="H318" s="1528"/>
      <c r="I318" s="1597">
        <f ca="1">'NT PL1'!F136</f>
        <v>0</v>
      </c>
      <c r="M318" s="2" t="str">
        <f t="shared" ref="M318:M321" ca="1" si="27">IF(AND(G318=0,I318=0),"##H","")</f>
        <v>##H</v>
      </c>
    </row>
    <row r="319" spans="2:21" ht="15" customHeight="1">
      <c r="C319" s="58" t="s">
        <v>2186</v>
      </c>
      <c r="D319" s="58"/>
      <c r="E319" s="58"/>
      <c r="F319" s="65"/>
      <c r="G319" s="342">
        <f ca="1">'NT PL1'!E159</f>
        <v>0</v>
      </c>
      <c r="H319" s="66"/>
      <c r="I319" s="719">
        <f ca="1">'NT PL1'!F159</f>
        <v>0</v>
      </c>
      <c r="M319" s="2" t="str">
        <f t="shared" ca="1" si="27"/>
        <v>##H</v>
      </c>
    </row>
    <row r="320" spans="2:21" ht="15" customHeight="1">
      <c r="C320" s="200" t="s">
        <v>2187</v>
      </c>
      <c r="D320" s="200"/>
      <c r="E320" s="200"/>
      <c r="F320" s="466"/>
      <c r="G320" s="401">
        <f ca="1">'NT PL1'!E145</f>
        <v>0</v>
      </c>
      <c r="H320" s="479"/>
      <c r="I320" s="938">
        <f ca="1">'NT PL1'!F145</f>
        <v>0</v>
      </c>
      <c r="M320" s="2" t="str">
        <f t="shared" ca="1" si="27"/>
        <v>##H</v>
      </c>
    </row>
    <row r="321" spans="2:21" ht="15" customHeight="1">
      <c r="C321" s="216" t="s">
        <v>246</v>
      </c>
      <c r="D321" s="177"/>
      <c r="E321" s="177"/>
      <c r="F321" s="464"/>
      <c r="G321" s="937">
        <f ca="1">SUM(G318:G320)</f>
        <v>0</v>
      </c>
      <c r="H321" s="485"/>
      <c r="I321" s="939">
        <f ca="1">SUM(I318:I320)</f>
        <v>0</v>
      </c>
      <c r="M321" s="2" t="str">
        <f t="shared" ca="1" si="27"/>
        <v>##H</v>
      </c>
    </row>
    <row r="323" spans="2:21">
      <c r="B323" s="1123">
        <f>NTA!F177</f>
        <v>58.400000000000006</v>
      </c>
      <c r="C323" s="1123" t="str">
        <f>NTA!C177</f>
        <v>Amounts recognised in the Cash Flow Statement</v>
      </c>
      <c r="I323" s="1124" t="str">
        <f>'Master Sheet'!$C$65</f>
        <v>(Amount in INR)</v>
      </c>
      <c r="K323" s="559"/>
      <c r="L323" s="559"/>
      <c r="M323" s="559"/>
      <c r="N323" s="295"/>
      <c r="O323" s="295"/>
      <c r="P323" s="295"/>
      <c r="Q323" s="295"/>
      <c r="R323" s="295"/>
      <c r="S323" s="559"/>
      <c r="T323" s="559"/>
      <c r="U323" s="559"/>
    </row>
    <row r="324" spans="2:21" ht="27" customHeight="1">
      <c r="C324" s="1313" t="s">
        <v>500</v>
      </c>
      <c r="D324" s="1313"/>
      <c r="E324" s="1313"/>
      <c r="F324" s="1417" t="e">
        <f ca="1">PL_CY</f>
        <v>#NAME?</v>
      </c>
      <c r="G324" s="1417"/>
      <c r="H324" s="1418" t="e">
        <f ca="1">PL_PY</f>
        <v>#NAME?</v>
      </c>
      <c r="I324" s="1418"/>
    </row>
    <row r="325" spans="2:21" ht="15" customHeight="1">
      <c r="C325" s="20" t="s">
        <v>2188</v>
      </c>
      <c r="D325" s="20"/>
      <c r="E325" s="20"/>
      <c r="F325" s="1538"/>
      <c r="G325" s="1538"/>
      <c r="H325" s="1528"/>
      <c r="I325" s="1545"/>
      <c r="M325" s="2" t="str">
        <f t="shared" ref="M325" si="28">IF(AND(G325=0,I325=0),"##H","")</f>
        <v>##H</v>
      </c>
    </row>
    <row r="326" spans="2:21">
      <c r="C326" s="216"/>
      <c r="D326" s="177"/>
      <c r="E326" s="177"/>
      <c r="F326" s="388"/>
      <c r="G326" s="388"/>
      <c r="H326" s="484"/>
      <c r="I326" s="455"/>
    </row>
    <row r="328" spans="2:21">
      <c r="B328" s="1123">
        <f>NTA!F178</f>
        <v>58.500000000000007</v>
      </c>
      <c r="C328" s="1123" t="str">
        <f>NTA!C178</f>
        <v>Finance lease liabilities</v>
      </c>
      <c r="K328" s="559"/>
    </row>
    <row r="329" spans="2:21" ht="69" customHeight="1">
      <c r="C329" s="1305" t="s">
        <v>2189</v>
      </c>
      <c r="D329" s="1304"/>
      <c r="E329" s="1304"/>
      <c r="F329" s="1304"/>
      <c r="G329" s="1304"/>
      <c r="H329" s="1304"/>
      <c r="I329" s="1304"/>
    </row>
    <row r="330" spans="2:21">
      <c r="C330" s="1264" t="s">
        <v>2190</v>
      </c>
      <c r="D330" s="1246"/>
      <c r="E330" s="1246"/>
      <c r="F330" s="1246"/>
      <c r="G330" s="1246"/>
      <c r="H330" s="1246"/>
      <c r="I330" s="1246"/>
    </row>
    <row r="331" spans="2:21" ht="6.75" customHeight="1"/>
    <row r="332" spans="2:21">
      <c r="C332" s="1454" t="s">
        <v>2177</v>
      </c>
      <c r="D332" s="1455"/>
      <c r="E332" s="1455" t="s">
        <v>2191</v>
      </c>
      <c r="F332" s="1455"/>
      <c r="G332" s="1455"/>
      <c r="H332" s="1452" t="s">
        <v>2192</v>
      </c>
      <c r="I332" s="1453"/>
    </row>
    <row r="333" spans="2:21">
      <c r="C333" s="1456"/>
      <c r="D333" s="1457"/>
      <c r="E333" s="1211" t="e">
        <f ca="1">BS_CY</f>
        <v>#NAME?</v>
      </c>
      <c r="F333" s="1458" t="e">
        <f ca="1">BS_PY</f>
        <v>#NAME?</v>
      </c>
      <c r="G333" s="1458"/>
      <c r="H333" s="1441" t="e">
        <f ca="1">BS_CY</f>
        <v>#NAME?</v>
      </c>
      <c r="I333" s="1443"/>
    </row>
    <row r="334" spans="2:21" ht="15" customHeight="1">
      <c r="C334" s="169" t="s">
        <v>2179</v>
      </c>
      <c r="D334" s="519"/>
      <c r="E334" s="1212">
        <f ca="1">IFERROR(INDEX(INDIRECT(VLOOKUP($T312,Source_Master,2,0),),MATCH(TEXT($O334,0),INDIRECT(VLOOKUP($T312,Source_Master,4,0)),0),MATCH(G$1,INDIRECT(VLOOKUP($T312,Source_Master,3,0),),0)),0)</f>
        <v>0</v>
      </c>
      <c r="F334" s="1442">
        <f ca="1">IFERROR(INDEX(INDIRECT(VLOOKUP($T312,Source_Master,2,0),),MATCH(TEXT($O334,0),INDIRECT(VLOOKUP($T312,Source_Master,4,0)),0),MATCH(I$1,INDIRECT(VLOOKUP($T312,Source_Master,3,0),),0)),0)</f>
        <v>0</v>
      </c>
      <c r="G334" s="1442"/>
      <c r="H334" s="1444">
        <f ca="1">IFERROR(INDEX(INDIRECT(VLOOKUP($T312,Source_Master,2,0),),MATCH(TEXT($O334,0),INDIRECT(VLOOKUP($T312,Source_Master,4,0)),0),MATCH(J$1,INDIRECT(VLOOKUP($T312,Source_Master,3,0),),0)),0)</f>
        <v>0</v>
      </c>
      <c r="I334" s="1445"/>
      <c r="M334" s="2" t="str">
        <f ca="1">IF(AND(E334=0,F334=0,H334=0),"##H","")</f>
        <v>##H</v>
      </c>
      <c r="O334" s="24" t="s">
        <v>2180</v>
      </c>
    </row>
    <row r="335" spans="2:21" ht="27.75" customHeight="1">
      <c r="C335" s="1347" t="s">
        <v>2181</v>
      </c>
      <c r="D335" s="1355"/>
      <c r="E335" s="1213">
        <f ca="1">IFERROR(INDEX(INDIRECT(VLOOKUP($T312,Source_Master,2,0),),MATCH(TEXT($O335,0),INDIRECT(VLOOKUP($T312,Source_Master,4,0)),0),MATCH(G$1,INDIRECT(VLOOKUP($T312,Source_Master,3,0),),0)),0)</f>
        <v>0</v>
      </c>
      <c r="F335" s="1449">
        <f ca="1">IFERROR(INDEX(INDIRECT(VLOOKUP($T312,Source_Master,2,0),),MATCH(TEXT($O335,0),INDIRECT(VLOOKUP($T312,Source_Master,4,0)),0),MATCH(I$1,INDIRECT(VLOOKUP($T312,Source_Master,3,0),),0)),0)</f>
        <v>0</v>
      </c>
      <c r="G335" s="1449"/>
      <c r="H335" s="1449">
        <f ca="1">IFERROR(INDEX(INDIRECT(VLOOKUP($T312,Source_Master,2,0),),MATCH(TEXT($O335,0),INDIRECT(VLOOKUP($T312,Source_Master,4,0)),0),MATCH(J$1,INDIRECT(VLOOKUP($T312,Source_Master,3,0),),0)),0)</f>
        <v>0</v>
      </c>
      <c r="I335" s="1447"/>
      <c r="M335" s="2" t="str">
        <f t="shared" ref="M335:M336" ca="1" si="29">IF(AND(E335=0,F335=0,H335=0),"##H","")</f>
        <v>##H</v>
      </c>
      <c r="O335" s="24" t="s">
        <v>2182</v>
      </c>
    </row>
    <row r="336" spans="2:21" ht="15" customHeight="1">
      <c r="C336" s="200" t="s">
        <v>2183</v>
      </c>
      <c r="D336" s="527"/>
      <c r="E336" s="1214">
        <f ca="1">IFERROR(INDEX(INDIRECT(VLOOKUP($T312,Source_Master,2,0),),MATCH(TEXT($O336,0),INDIRECT(VLOOKUP($T312,Source_Master,4,0)),0),MATCH(G$1,INDIRECT(VLOOKUP($T312,Source_Master,3,0),),0)),0)</f>
        <v>0</v>
      </c>
      <c r="F336" s="1447">
        <f ca="1">IFERROR(INDEX(INDIRECT(VLOOKUP($T312,Source_Master,2,0),),MATCH(TEXT($O336,0),INDIRECT(VLOOKUP($T312,Source_Master,4,0)),0),MATCH(I$1,INDIRECT(VLOOKUP($T312,Source_Master,3,0),),0)),0)</f>
        <v>0</v>
      </c>
      <c r="G336" s="1448"/>
      <c r="H336" s="1447">
        <f ca="1">IFERROR(INDEX(INDIRECT(VLOOKUP($T312,Source_Master,2,0),),MATCH(TEXT($O336,0),INDIRECT(VLOOKUP($T312,Source_Master,4,0)),0),MATCH(J$1,INDIRECT(VLOOKUP($T312,Source_Master,3,0),),0)),0)</f>
        <v>0</v>
      </c>
      <c r="I336" s="1450"/>
      <c r="M336" s="2" t="str">
        <f t="shared" ca="1" si="29"/>
        <v>##H</v>
      </c>
      <c r="O336" s="24" t="s">
        <v>2184</v>
      </c>
    </row>
    <row r="337" spans="1:15">
      <c r="C337" s="177"/>
      <c r="D337" s="522"/>
      <c r="E337" s="528"/>
      <c r="F337" s="1446"/>
      <c r="G337" s="1446"/>
      <c r="H337" s="1446"/>
      <c r="I337" s="1451"/>
    </row>
    <row r="338" spans="1:15">
      <c r="C338" s="20"/>
      <c r="D338" s="20"/>
      <c r="E338" s="20"/>
      <c r="F338" s="1604"/>
      <c r="G338" s="1604"/>
      <c r="H338" s="1598"/>
      <c r="I338" s="1545"/>
    </row>
    <row r="339" spans="1:15">
      <c r="A339" s="1123">
        <f>NTA!F179</f>
        <v>59</v>
      </c>
      <c r="B339" s="1123" t="str">
        <f>NTA!C179</f>
        <v>Share-based payments</v>
      </c>
      <c r="K339" s="559"/>
      <c r="L339" s="559"/>
      <c r="M339" s="559"/>
    </row>
    <row r="340" spans="1:15" ht="4.5" customHeight="1">
      <c r="A340" s="292"/>
      <c r="B340" s="292"/>
      <c r="K340" s="559"/>
    </row>
    <row r="341" spans="1:15">
      <c r="A341" s="292"/>
      <c r="B341" s="1123">
        <f>NTA!F180</f>
        <v>59.1</v>
      </c>
      <c r="C341" s="1123" t="str">
        <f>NTA!C180</f>
        <v xml:space="preserve">Stock Awards </v>
      </c>
      <c r="K341" s="559"/>
      <c r="L341" s="559"/>
      <c r="M341" s="559"/>
    </row>
    <row r="342" spans="1:15" ht="53.25" customHeight="1">
      <c r="C342" s="1305" t="s">
        <v>2193</v>
      </c>
      <c r="D342" s="1305"/>
      <c r="E342" s="1305"/>
      <c r="F342" s="1305"/>
      <c r="G342" s="1305"/>
      <c r="H342" s="1305"/>
      <c r="I342" s="1305"/>
    </row>
    <row r="344" spans="1:15">
      <c r="B344" s="1123">
        <f>NTA!F181</f>
        <v>59.2</v>
      </c>
      <c r="C344" s="1123" t="str">
        <f>NTA!C181</f>
        <v>ESOP</v>
      </c>
      <c r="K344" s="559"/>
      <c r="L344" s="559"/>
      <c r="M344" s="559"/>
    </row>
    <row r="345" spans="1:15" ht="41.25" customHeight="1">
      <c r="C345" s="1305" t="s">
        <v>2194</v>
      </c>
      <c r="D345" s="1304"/>
      <c r="E345" s="1304"/>
      <c r="F345" s="1304"/>
      <c r="G345" s="1304"/>
      <c r="H345" s="1304"/>
      <c r="I345" s="1304"/>
    </row>
    <row r="346" spans="1:15">
      <c r="C346" s="15" t="s">
        <v>2195</v>
      </c>
      <c r="I346" s="1124" t="str">
        <f>'Master Sheet'!$C$65</f>
        <v>(Amount in INR)</v>
      </c>
    </row>
    <row r="347" spans="1:15" ht="27" customHeight="1">
      <c r="C347" s="1313" t="s">
        <v>500</v>
      </c>
      <c r="D347" s="1313"/>
      <c r="E347" s="1313"/>
      <c r="F347" s="1417" t="e">
        <f ca="1">"Number of options as on "
&amp;Current_Date</f>
        <v>#NAME?</v>
      </c>
      <c r="G347" s="1417"/>
      <c r="H347" s="1418" t="e">
        <f ca="1">"Weighted average price of option
as on "&amp;Current_Date</f>
        <v>#NAME?</v>
      </c>
      <c r="I347" s="1418"/>
    </row>
    <row r="348" spans="1:15" ht="15" customHeight="1">
      <c r="C348" s="20" t="s">
        <v>2196</v>
      </c>
      <c r="D348" s="20"/>
      <c r="E348" s="20"/>
      <c r="F348" s="1538"/>
      <c r="G348" s="1596">
        <f ca="1">IFERROR(INDEX(INDIRECT(VLOOKUP($T312,Source_Master,2,0),),MATCH(TEXT($O348,0),INDIRECT(VLOOKUP($T312,Source_Master,4,0)),0),MATCH(G$1,INDIRECT(VLOOKUP($T312,Source_Master,3,0),),0)),0)</f>
        <v>0</v>
      </c>
      <c r="H348" s="1528"/>
      <c r="I348" s="1535">
        <f ca="1">IFERROR(INDEX(INDIRECT(VLOOKUP($T312,Source_Master,2,0),),MATCH(TEXT($O348,0),INDIRECT(VLOOKUP($T312,Source_Master,4,0)),0),MATCH(I$1,INDIRECT(VLOOKUP($T312,Source_Master,3,0),),0)),0)</f>
        <v>0</v>
      </c>
      <c r="M348" s="2" t="str">
        <f ca="1">IF(AND(G348=0,I348=0),"##H","")</f>
        <v>##H</v>
      </c>
      <c r="O348" s="24" t="s">
        <v>2197</v>
      </c>
    </row>
    <row r="349" spans="1:15" ht="15" customHeight="1">
      <c r="C349" s="58" t="s">
        <v>2198</v>
      </c>
      <c r="D349" s="58"/>
      <c r="E349" s="58"/>
      <c r="F349" s="65"/>
      <c r="G349" s="342">
        <f ca="1">IFERROR(INDEX(INDIRECT(VLOOKUP($T313,Source_Master,2,0),),MATCH(TEXT($O349,0),INDIRECT(VLOOKUP($T313,Source_Master,4,0)),0),MATCH(G$1,INDIRECT(VLOOKUP($T313,Source_Master,3,0),),0)),0)</f>
        <v>0</v>
      </c>
      <c r="H349" s="66"/>
      <c r="I349" s="341">
        <f ca="1">IFERROR(INDEX(INDIRECT(VLOOKUP($T313,Source_Master,2,0),),MATCH(TEXT($O349,0),INDIRECT(VLOOKUP($T313,Source_Master,4,0)),0),MATCH(I$1,INDIRECT(VLOOKUP($T313,Source_Master,3,0),),0)),0)</f>
        <v>0</v>
      </c>
      <c r="M349" s="2" t="str">
        <f t="shared" ref="M349:M353" ca="1" si="30">IF(AND(G349=0,I349=0),"##H","")</f>
        <v>##H</v>
      </c>
      <c r="O349" s="24" t="s">
        <v>2199</v>
      </c>
    </row>
    <row r="350" spans="1:15" ht="15" customHeight="1">
      <c r="C350" s="58" t="s">
        <v>2200</v>
      </c>
      <c r="D350" s="58"/>
      <c r="E350" s="58"/>
      <c r="F350" s="65"/>
      <c r="G350" s="342">
        <f ca="1">IFERROR(INDEX(INDIRECT(VLOOKUP($T314,Source_Master,2,0),),MATCH(TEXT($O350,0),INDIRECT(VLOOKUP($T314,Source_Master,4,0)),0),MATCH(G$1,INDIRECT(VLOOKUP($T314,Source_Master,3,0),),0)),0)</f>
        <v>0</v>
      </c>
      <c r="H350" s="66"/>
      <c r="I350" s="341">
        <f ca="1">IFERROR(INDEX(INDIRECT(VLOOKUP($T314,Source_Master,2,0),),MATCH(TEXT($O350,0),INDIRECT(VLOOKUP($T314,Source_Master,4,0)),0),MATCH(I$1,INDIRECT(VLOOKUP($T314,Source_Master,3,0),),0)),0)</f>
        <v>0</v>
      </c>
      <c r="M350" s="2" t="str">
        <f t="shared" ca="1" si="30"/>
        <v>##H</v>
      </c>
      <c r="O350" s="24" t="s">
        <v>2201</v>
      </c>
    </row>
    <row r="351" spans="1:15" ht="15" customHeight="1">
      <c r="C351" s="58" t="s">
        <v>2202</v>
      </c>
      <c r="D351" s="58"/>
      <c r="E351" s="1253"/>
      <c r="F351" s="453"/>
      <c r="G351" s="935">
        <f ca="1">IFERROR(INDEX(INDIRECT(VLOOKUP($T315,Source_Master,2,0),),MATCH(TEXT($O351,0),INDIRECT(VLOOKUP($T315,Source_Master,4,0)),0),MATCH(G$1,INDIRECT(VLOOKUP($T315,Source_Master,3,0),),0)),0)</f>
        <v>0</v>
      </c>
      <c r="H351" s="476"/>
      <c r="I351" s="1023">
        <f ca="1">IFERROR(INDEX(INDIRECT(VLOOKUP($T315,Source_Master,2,0),),MATCH(TEXT($O351,0),INDIRECT(VLOOKUP($T315,Source_Master,4,0)),0),MATCH(I$1,INDIRECT(VLOOKUP($T315,Source_Master,3,0),),0)),0)</f>
        <v>0</v>
      </c>
      <c r="M351" s="2" t="str">
        <f t="shared" ca="1" si="30"/>
        <v>##H</v>
      </c>
      <c r="O351" s="24" t="s">
        <v>2203</v>
      </c>
    </row>
    <row r="352" spans="1:15" ht="15" customHeight="1">
      <c r="C352" s="58" t="s">
        <v>2204</v>
      </c>
      <c r="D352" s="58"/>
      <c r="E352" s="58"/>
      <c r="F352" s="462"/>
      <c r="G352" s="936">
        <f ca="1">IFERROR(INDEX(INDIRECT(VLOOKUP($T316,Source_Master,2,0),),MATCH(TEXT($O352,0),INDIRECT(VLOOKUP($T316,Source_Master,4,0)),0),MATCH(G$1,INDIRECT(VLOOKUP($T316,Source_Master,3,0),),0)),0)</f>
        <v>0</v>
      </c>
      <c r="H352" s="477"/>
      <c r="I352" s="1026">
        <f ca="1">IFERROR(INDEX(INDIRECT(VLOOKUP($T316,Source_Master,2,0),),MATCH(TEXT($O352,0),INDIRECT(VLOOKUP($T316,Source_Master,4,0)),0),MATCH(I$1,INDIRECT(VLOOKUP($T316,Source_Master,3,0),),0)),0)</f>
        <v>0</v>
      </c>
      <c r="M352" s="2" t="str">
        <f t="shared" ca="1" si="30"/>
        <v>##H</v>
      </c>
      <c r="O352" s="24" t="s">
        <v>2205</v>
      </c>
    </row>
    <row r="353" spans="2:15" ht="15" customHeight="1">
      <c r="C353" s="216" t="s">
        <v>2206</v>
      </c>
      <c r="D353" s="177"/>
      <c r="E353" s="177"/>
      <c r="F353" s="464"/>
      <c r="G353" s="937">
        <f ca="1">SUM(G348:G352)</f>
        <v>0</v>
      </c>
      <c r="H353" s="485"/>
      <c r="I353" s="939">
        <f ca="1">SUM(I348:I352)</f>
        <v>0</v>
      </c>
      <c r="M353" s="2" t="str">
        <f t="shared" ca="1" si="30"/>
        <v>##H</v>
      </c>
      <c r="O353" s="24" t="s">
        <v>2207</v>
      </c>
    </row>
    <row r="354" spans="2:15" ht="6" customHeight="1"/>
    <row r="355" spans="2:15">
      <c r="C355" s="20" t="s">
        <v>2208</v>
      </c>
    </row>
    <row r="356" spans="2:15">
      <c r="C356" s="20"/>
      <c r="F356" s="1124" t="str">
        <f>'Master Sheet'!$C$65</f>
        <v>(Amount in INR)</v>
      </c>
    </row>
    <row r="357" spans="2:15">
      <c r="C357" s="1313" t="s">
        <v>500</v>
      </c>
      <c r="D357" s="1313"/>
      <c r="E357" s="1313"/>
      <c r="F357" s="475" t="s">
        <v>2120</v>
      </c>
      <c r="G357" s="30"/>
    </row>
    <row r="358" spans="2:15" ht="15" customHeight="1">
      <c r="C358" s="20" t="s">
        <v>2209</v>
      </c>
      <c r="D358" s="20"/>
      <c r="E358" s="20"/>
      <c r="F358" s="1215">
        <f ca="1">IFERROR(INDEX(INDIRECT(VLOOKUP($T313,Source_Master,2,0),),MATCH(TEXT($O358,0),INDIRECT(VLOOKUP($T313,Source_Master,4,0)),0),MATCH(G$1,INDIRECT(VLOOKUP($T313,Source_Master,3,0),),0)),0)</f>
        <v>0</v>
      </c>
      <c r="M358" s="2" t="str">
        <f ca="1">IF(F358=0,"##H","")</f>
        <v>##H</v>
      </c>
      <c r="O358" s="24" t="s">
        <v>2210</v>
      </c>
    </row>
    <row r="359" spans="2:15" ht="15" customHeight="1">
      <c r="C359" s="58" t="s">
        <v>2211</v>
      </c>
      <c r="D359" s="58"/>
      <c r="E359" s="58"/>
      <c r="F359" s="1215">
        <f ca="1">IFERROR(INDEX(INDIRECT(VLOOKUP($T313,Source_Master,2,0),),MATCH(TEXT($O359,0),INDIRECT(VLOOKUP($T313,Source_Master,4,0)),0),MATCH(G$1,INDIRECT(VLOOKUP($T313,Source_Master,3,0),),0)),0)</f>
        <v>0</v>
      </c>
      <c r="M359" s="2" t="str">
        <f t="shared" ref="M359:M360" ca="1" si="31">IF(F359=0,"##H","")</f>
        <v>##H</v>
      </c>
      <c r="O359" s="24" t="s">
        <v>2212</v>
      </c>
    </row>
    <row r="360" spans="2:15" ht="15" customHeight="1">
      <c r="C360" s="177" t="s">
        <v>2213</v>
      </c>
      <c r="D360" s="177"/>
      <c r="E360" s="177"/>
      <c r="F360" s="1215">
        <f ca="1">IFERROR(INDEX(INDIRECT(VLOOKUP($T313,Source_Master,2,0),),MATCH(TEXT($O360,0),INDIRECT(VLOOKUP($T313,Source_Master,4,0)),0),MATCH(G$1,INDIRECT(VLOOKUP($T313,Source_Master,3,0),),0)),0)</f>
        <v>0</v>
      </c>
      <c r="M360" s="2" t="str">
        <f t="shared" ca="1" si="31"/>
        <v>##H</v>
      </c>
      <c r="O360" s="24" t="s">
        <v>2214</v>
      </c>
    </row>
    <row r="362" spans="2:15">
      <c r="B362" s="1123">
        <f>NTA!F182</f>
        <v>59.300000000000004</v>
      </c>
      <c r="C362" s="1123" t="str">
        <f>NTA!C182</f>
        <v>SAR</v>
      </c>
      <c r="K362" s="559"/>
      <c r="L362" s="559"/>
      <c r="M362" s="559"/>
    </row>
    <row r="363" spans="2:15" ht="39.75" customHeight="1">
      <c r="C363" s="1305" t="s">
        <v>2215</v>
      </c>
      <c r="D363" s="1304"/>
      <c r="E363" s="1304"/>
      <c r="F363" s="1304"/>
      <c r="G363" s="1304"/>
      <c r="H363" s="1304"/>
      <c r="I363" s="1304"/>
    </row>
    <row r="364" spans="2:15" ht="54" customHeight="1">
      <c r="C364" s="1305" t="s">
        <v>2216</v>
      </c>
      <c r="D364" s="1304"/>
      <c r="E364" s="1304"/>
      <c r="F364" s="1304"/>
      <c r="G364" s="1304"/>
      <c r="H364" s="1304"/>
      <c r="I364" s="1304"/>
    </row>
    <row r="365" spans="2:15" ht="30.75" customHeight="1">
      <c r="C365" s="1305" t="s">
        <v>2217</v>
      </c>
      <c r="D365" s="1304"/>
      <c r="E365" s="1304"/>
      <c r="F365" s="1304"/>
      <c r="G365" s="1304"/>
      <c r="H365" s="1304"/>
      <c r="I365" s="1304"/>
    </row>
    <row r="366" spans="2:15">
      <c r="C366" s="1244"/>
      <c r="D366" s="1246"/>
      <c r="E366" s="1246"/>
      <c r="F366" s="1246"/>
      <c r="G366" s="1246"/>
      <c r="H366" s="1246"/>
      <c r="I366" s="1124" t="str">
        <f>'Master Sheet'!$C$65</f>
        <v>(Amount in INR)</v>
      </c>
    </row>
    <row r="367" spans="2:15" ht="27" customHeight="1">
      <c r="C367" s="1313" t="s">
        <v>500</v>
      </c>
      <c r="D367" s="1313"/>
      <c r="E367" s="1313"/>
      <c r="F367" s="1417" t="e">
        <f ca="1">"Number of options as on "
&amp;Current_Date</f>
        <v>#NAME?</v>
      </c>
      <c r="G367" s="1417"/>
      <c r="H367" s="1418" t="e">
        <f ca="1">"Weighted average price of option
as on "&amp;Current_Date</f>
        <v>#NAME?</v>
      </c>
      <c r="I367" s="1418"/>
    </row>
    <row r="368" spans="2:15" ht="15" hidden="1" customHeight="1">
      <c r="C368" s="20" t="s">
        <v>2218</v>
      </c>
      <c r="D368" s="20"/>
      <c r="E368" s="20"/>
      <c r="F368" s="1538"/>
      <c r="G368" s="1538"/>
      <c r="H368" s="1528"/>
      <c r="I368" s="1545"/>
      <c r="M368" s="2" t="str">
        <f>IF(AND(G368=0,I368=0),"##H","")</f>
        <v>##H</v>
      </c>
    </row>
    <row r="369" spans="2:16" ht="15" hidden="1" customHeight="1">
      <c r="C369" s="58" t="s">
        <v>2219</v>
      </c>
      <c r="D369" s="58"/>
      <c r="E369" s="58"/>
      <c r="F369" s="65"/>
      <c r="G369" s="65"/>
      <c r="H369" s="66"/>
      <c r="I369" s="452"/>
      <c r="M369" s="2" t="str">
        <f t="shared" ref="M369:M373" si="32">IF(AND(G369=0,I369=0),"##H","")</f>
        <v>##H</v>
      </c>
    </row>
    <row r="370" spans="2:16" ht="15" hidden="1" customHeight="1">
      <c r="C370" s="58" t="s">
        <v>2220</v>
      </c>
      <c r="D370" s="58"/>
      <c r="E370" s="58"/>
      <c r="F370" s="65"/>
      <c r="G370" s="65"/>
      <c r="H370" s="66"/>
      <c r="I370" s="452"/>
      <c r="M370" s="2" t="str">
        <f t="shared" si="32"/>
        <v>##H</v>
      </c>
    </row>
    <row r="371" spans="2:16" ht="15" hidden="1" customHeight="1">
      <c r="C371" s="58" t="s">
        <v>2221</v>
      </c>
      <c r="D371" s="58"/>
      <c r="E371" s="1253"/>
      <c r="F371" s="453"/>
      <c r="G371" s="453"/>
      <c r="H371" s="476"/>
      <c r="I371" s="452"/>
      <c r="M371" s="2" t="str">
        <f t="shared" si="32"/>
        <v>##H</v>
      </c>
    </row>
    <row r="372" spans="2:16" ht="15" hidden="1" customHeight="1">
      <c r="C372" s="58" t="s">
        <v>2222</v>
      </c>
      <c r="D372" s="58"/>
      <c r="E372" s="58"/>
      <c r="F372" s="462"/>
      <c r="G372" s="462"/>
      <c r="H372" s="477"/>
      <c r="I372" s="463"/>
      <c r="M372" s="2" t="str">
        <f t="shared" si="32"/>
        <v>##H</v>
      </c>
    </row>
    <row r="373" spans="2:16" ht="15" hidden="1" customHeight="1">
      <c r="C373" s="216" t="s">
        <v>2206</v>
      </c>
      <c r="D373" s="177"/>
      <c r="E373" s="177"/>
      <c r="F373" s="464"/>
      <c r="G373" s="937">
        <f>SUM(G368:G372)</f>
        <v>0</v>
      </c>
      <c r="H373" s="485"/>
      <c r="I373" s="939">
        <f>SUM(I368:I372)</f>
        <v>0</v>
      </c>
      <c r="M373" s="2" t="str">
        <f t="shared" si="32"/>
        <v>##H</v>
      </c>
    </row>
    <row r="374" spans="2:16" ht="6.75" customHeight="1">
      <c r="C374" s="21"/>
      <c r="D374" s="20"/>
      <c r="E374" s="20"/>
      <c r="F374" s="1600"/>
      <c r="G374" s="1600"/>
      <c r="H374" s="1598"/>
      <c r="I374" s="1545"/>
    </row>
    <row r="375" spans="2:16">
      <c r="C375" s="2" t="s">
        <v>2223</v>
      </c>
    </row>
    <row r="376" spans="2:16">
      <c r="C376" s="20"/>
      <c r="F376" s="1124" t="str">
        <f>'Master Sheet'!$C$65</f>
        <v>(Amount in INR)</v>
      </c>
    </row>
    <row r="377" spans="2:16">
      <c r="C377" s="1313" t="s">
        <v>500</v>
      </c>
      <c r="D377" s="1313"/>
      <c r="E377" s="1313"/>
      <c r="F377" s="1272" t="e">
        <f ca="1">Current_FY</f>
        <v>#NAME?</v>
      </c>
    </row>
    <row r="378" spans="2:16" ht="15" customHeight="1">
      <c r="C378" s="20" t="s">
        <v>2224</v>
      </c>
      <c r="D378" s="20"/>
      <c r="E378" s="20"/>
      <c r="F378" s="1216">
        <f ca="1">IFERROR(INDEX(INDIRECT(VLOOKUP($T313,Source_Master,2,0),),MATCH(TEXT($P378,0),INDIRECT(VLOOKUP($T313,Source_Master,4,0)),0),MATCH(G$1,INDIRECT(VLOOKUP($T313,Source_Master,3,0),),0)),0)</f>
        <v>0</v>
      </c>
      <c r="M378" s="2" t="str">
        <f ca="1">IF(F378=0,"##H","")</f>
        <v>##H</v>
      </c>
      <c r="P378" s="24" t="s">
        <v>2225</v>
      </c>
    </row>
    <row r="379" spans="2:16" ht="15" customHeight="1">
      <c r="C379" s="58" t="s">
        <v>2211</v>
      </c>
      <c r="D379" s="58"/>
      <c r="E379" s="58"/>
      <c r="F379" s="1217">
        <f ca="1">IFERROR(INDEX(INDIRECT(VLOOKUP($T313,Source_Master,2,0),),MATCH(TEXT($P379,0),INDIRECT(VLOOKUP($T313,Source_Master,4,0)),0),MATCH(G$1,INDIRECT(VLOOKUP($T313,Source_Master,3,0),),0)),0)</f>
        <v>0</v>
      </c>
      <c r="M379" s="2" t="str">
        <f t="shared" ref="M379:M380" ca="1" si="33">IF(F379=0,"##H","")</f>
        <v>##H</v>
      </c>
      <c r="P379" s="24" t="s">
        <v>2226</v>
      </c>
    </row>
    <row r="380" spans="2:16" ht="15" customHeight="1">
      <c r="C380" s="177" t="s">
        <v>2213</v>
      </c>
      <c r="D380" s="177"/>
      <c r="E380" s="177"/>
      <c r="F380" s="1218">
        <f ca="1">IFERROR(INDEX(INDIRECT(VLOOKUP($T313,Source_Master,2,0),),MATCH(TEXT($P380,0),INDIRECT(VLOOKUP($T313,Source_Master,4,0)),0),MATCH(G$1,INDIRECT(VLOOKUP($T313,Source_Master,3,0),),0)),0)</f>
        <v>0</v>
      </c>
      <c r="M380" s="2" t="str">
        <f t="shared" ca="1" si="33"/>
        <v>##H</v>
      </c>
      <c r="P380" s="24" t="s">
        <v>2227</v>
      </c>
    </row>
    <row r="382" spans="2:16">
      <c r="B382" s="1123">
        <f>NTA!F183</f>
        <v>59.400000000000006</v>
      </c>
      <c r="C382" s="1123" t="str">
        <f>NTA!C183</f>
        <v>Total expense accounted for by the Group on account of the above are given below:</v>
      </c>
      <c r="K382" s="559"/>
      <c r="L382" s="559"/>
      <c r="M382" s="559"/>
    </row>
    <row r="383" spans="2:16">
      <c r="C383" s="20"/>
      <c r="F383" s="1124" t="str">
        <f>'Master Sheet'!$C$65</f>
        <v>(Amount in INR)</v>
      </c>
    </row>
    <row r="384" spans="2:16">
      <c r="C384" s="1313" t="s">
        <v>500</v>
      </c>
      <c r="D384" s="1313"/>
      <c r="E384" s="1313"/>
      <c r="F384" s="1272" t="e">
        <f ca="1">F377</f>
        <v>#NAME?</v>
      </c>
    </row>
    <row r="385" spans="1:23" ht="15" customHeight="1">
      <c r="C385" s="20" t="s">
        <v>2228</v>
      </c>
      <c r="D385" s="20"/>
      <c r="E385" s="20"/>
      <c r="F385" s="1219">
        <f ca="1">IFERROR(INDEX(INDIRECT(VLOOKUP($T313,Source_Master,2,0),),MATCH(TEXT($P385,0),INDIRECT(VLOOKUP($T313,Source_Master,4,0)),0),MATCH(G$1,INDIRECT(VLOOKUP($T313,Source_Master,3,0),),0)),0)</f>
        <v>0</v>
      </c>
      <c r="M385" s="2" t="str">
        <f t="shared" ref="M385:M387" ca="1" si="34">IF(F385=0,"##H","")</f>
        <v>##H</v>
      </c>
      <c r="P385" s="24" t="s">
        <v>2229</v>
      </c>
    </row>
    <row r="386" spans="1:23" ht="15" customHeight="1">
      <c r="C386" s="58" t="s">
        <v>2230</v>
      </c>
      <c r="D386" s="58"/>
      <c r="E386" s="58"/>
      <c r="F386" s="1220">
        <f ca="1">IFERROR(INDEX(INDIRECT(VLOOKUP($T313,Source_Master,2,0),),MATCH(TEXT($P386,0),INDIRECT(VLOOKUP($T313,Source_Master,4,0)),0),MATCH(G$1,INDIRECT(VLOOKUP($T313,Source_Master,3,0),),0)),0)</f>
        <v>0</v>
      </c>
      <c r="M386" s="2" t="str">
        <f t="shared" ca="1" si="34"/>
        <v>##H</v>
      </c>
      <c r="P386" s="24" t="s">
        <v>2231</v>
      </c>
    </row>
    <row r="387" spans="1:23" ht="15" customHeight="1">
      <c r="C387" s="216" t="s">
        <v>246</v>
      </c>
      <c r="D387" s="177"/>
      <c r="E387" s="360"/>
      <c r="F387" s="1221">
        <f ca="1">SUM(F385:F386)</f>
        <v>0</v>
      </c>
      <c r="M387" s="2" t="str">
        <f t="shared" ca="1" si="34"/>
        <v>##H</v>
      </c>
      <c r="P387" s="24" t="s">
        <v>2232</v>
      </c>
    </row>
    <row r="389" spans="1:23">
      <c r="A389" s="1123">
        <f>NTA!F184</f>
        <v>60</v>
      </c>
      <c r="B389" s="1123" t="str">
        <f>NTA!C184</f>
        <v>Earnings Per Share</v>
      </c>
      <c r="I389" s="1124" t="str">
        <f>'Master Sheet'!$C$65</f>
        <v>(Amount in INR)</v>
      </c>
      <c r="K389" s="559"/>
      <c r="L389" s="559"/>
      <c r="M389" s="559"/>
      <c r="N389" s="295"/>
      <c r="O389" s="295"/>
      <c r="P389" s="295"/>
      <c r="Q389" s="295"/>
      <c r="R389" s="295"/>
      <c r="S389" s="559"/>
      <c r="T389" s="559"/>
      <c r="U389" s="559"/>
      <c r="V389" s="559"/>
      <c r="W389" s="559"/>
    </row>
    <row r="390" spans="1:23" ht="26.25" customHeight="1">
      <c r="B390" s="1313" t="s">
        <v>500</v>
      </c>
      <c r="C390" s="1313"/>
      <c r="D390" s="1313"/>
      <c r="E390" s="1313"/>
      <c r="F390" s="1417" t="e">
        <f ca="1">PL_CY</f>
        <v>#NAME?</v>
      </c>
      <c r="G390" s="1417"/>
      <c r="H390" s="1418" t="e">
        <f ca="1">PL_PY</f>
        <v>#NAME?</v>
      </c>
      <c r="I390" s="1418"/>
    </row>
    <row r="391" spans="1:23" ht="15" customHeight="1">
      <c r="B391" s="20" t="s">
        <v>2233</v>
      </c>
      <c r="C391" s="20"/>
      <c r="D391" s="20"/>
      <c r="E391" s="20"/>
      <c r="F391" s="1538"/>
      <c r="G391" s="1596" t="e">
        <f ca="1">+G393*IF(BS!B1="001|Actual",1,1)/G398</f>
        <v>#DIV/0!</v>
      </c>
      <c r="H391" s="1545"/>
      <c r="I391" s="1597" t="e">
        <f ca="1">+I393*IF(BS!D1="002|Actual",1,11)/I398</f>
        <v>#DIV/0!</v>
      </c>
      <c r="M391" s="2" t="e">
        <f t="shared" ref="M391:M394" ca="1" si="35">IF(AND(G391=0,I391=0),"##H","")</f>
        <v>#DIV/0!</v>
      </c>
    </row>
    <row r="392" spans="1:23" ht="15" customHeight="1">
      <c r="B392" s="58" t="s">
        <v>2234</v>
      </c>
      <c r="C392" s="58"/>
      <c r="D392" s="58"/>
      <c r="E392" s="58"/>
      <c r="F392" s="65"/>
      <c r="G392" s="342" t="e">
        <f ca="1">+G393*IF(BS!B1="001|Actual",1,1)/G399</f>
        <v>#DIV/0!</v>
      </c>
      <c r="H392" s="452"/>
      <c r="I392" s="719" t="e">
        <f ca="1">+I393*IF(BS!D1="002|Actual",1,11)/I399</f>
        <v>#DIV/0!</v>
      </c>
      <c r="M392" s="2" t="e">
        <f t="shared" ca="1" si="35"/>
        <v>#DIV/0!</v>
      </c>
    </row>
    <row r="393" spans="1:23" ht="15" customHeight="1">
      <c r="B393" s="58" t="s">
        <v>2235</v>
      </c>
      <c r="C393" s="58"/>
      <c r="D393" s="58"/>
      <c r="E393" s="58"/>
      <c r="F393" s="65"/>
      <c r="G393" s="342">
        <f ca="1">'P&amp;L'!C28</f>
        <v>0</v>
      </c>
      <c r="H393" s="452"/>
      <c r="I393" s="719">
        <f ca="1">'P&amp;L'!D28</f>
        <v>0</v>
      </c>
      <c r="M393" s="2" t="str">
        <f t="shared" ca="1" si="35"/>
        <v>##H</v>
      </c>
    </row>
    <row r="394" spans="1:23" ht="15" customHeight="1">
      <c r="B394" s="58" t="s">
        <v>2236</v>
      </c>
      <c r="C394" s="58"/>
      <c r="D394" s="58"/>
      <c r="E394" s="58"/>
      <c r="F394" s="65"/>
      <c r="G394" s="342">
        <f ca="1">'NT OE'!F34</f>
        <v>0</v>
      </c>
      <c r="H394" s="452"/>
      <c r="I394" s="719">
        <f ca="1">'NT OE'!G34</f>
        <v>0</v>
      </c>
      <c r="M394" s="2" t="str">
        <f t="shared" ca="1" si="35"/>
        <v>##H</v>
      </c>
    </row>
    <row r="395" spans="1:23" ht="24" customHeight="1">
      <c r="B395" s="1347" t="s">
        <v>2237</v>
      </c>
      <c r="C395" s="1347"/>
      <c r="D395" s="1347"/>
      <c r="E395" s="1347"/>
      <c r="F395" s="453"/>
      <c r="G395" s="453"/>
      <c r="H395" s="452"/>
      <c r="I395" s="452"/>
    </row>
    <row r="396" spans="1:23" ht="15" customHeight="1">
      <c r="B396" s="58" t="s">
        <v>2238</v>
      </c>
      <c r="C396" s="58"/>
      <c r="D396" s="58"/>
      <c r="E396" s="58"/>
      <c r="F396" s="453"/>
      <c r="G396" s="935">
        <f ca="1">G393+G394+G395</f>
        <v>0</v>
      </c>
      <c r="H396" s="452"/>
      <c r="I396" s="719">
        <f ca="1">I393+I394+I395</f>
        <v>0</v>
      </c>
      <c r="M396" s="2" t="str">
        <f ca="1">IF(AND(G396=0,I396=0),"##H","")</f>
        <v>##H</v>
      </c>
    </row>
    <row r="397" spans="1:23" ht="15" customHeight="1">
      <c r="B397" s="58"/>
      <c r="C397" s="58"/>
      <c r="D397" s="58"/>
      <c r="E397" s="58"/>
      <c r="F397" s="453"/>
      <c r="G397" s="453"/>
      <c r="H397" s="452"/>
      <c r="I397" s="452"/>
    </row>
    <row r="398" spans="1:23" ht="15" customHeight="1">
      <c r="B398" s="58" t="s">
        <v>2239</v>
      </c>
      <c r="C398" s="1253"/>
      <c r="D398" s="1253"/>
      <c r="E398" s="1253"/>
      <c r="F398" s="453"/>
      <c r="G398" s="935">
        <f ca="1">'NT SC'!E33</f>
        <v>0</v>
      </c>
      <c r="H398" s="452"/>
      <c r="I398" s="719">
        <f ca="1">'NT SC'!G33</f>
        <v>0</v>
      </c>
    </row>
    <row r="399" spans="1:23" ht="15" customHeight="1">
      <c r="B399" s="206" t="s">
        <v>2240</v>
      </c>
      <c r="C399" s="206"/>
      <c r="D399" s="177"/>
      <c r="E399" s="177"/>
      <c r="F399" s="453"/>
      <c r="G399" s="935">
        <f ca="1">G398</f>
        <v>0</v>
      </c>
      <c r="H399" s="452"/>
      <c r="I399" s="935">
        <f ca="1">I398</f>
        <v>0</v>
      </c>
    </row>
  </sheetData>
  <sheetProtection algorithmName="SHA-512" hashValue="ZsvxJRMLj6jQeG9cX97LaQdQZB7Arxxq7ldTnPScbTf3OxjZ0ba0TY7cPqiDGh4KF/9vt9Zh/l/yx2XfA5AA3g==" saltValue="ESftvYH5okIPGYitJB+ufA==" spinCount="100000" sheet="1" objects="1" scenarios="1"/>
  <mergeCells count="172">
    <mergeCell ref="C55:D55"/>
    <mergeCell ref="F55:G55"/>
    <mergeCell ref="H55:I55"/>
    <mergeCell ref="C56:D56"/>
    <mergeCell ref="C57:D57"/>
    <mergeCell ref="C58:D58"/>
    <mergeCell ref="C59:D59"/>
    <mergeCell ref="C61:I61"/>
    <mergeCell ref="C37:D37"/>
    <mergeCell ref="H37:I37"/>
    <mergeCell ref="B40:E40"/>
    <mergeCell ref="F40:G40"/>
    <mergeCell ref="H40:I40"/>
    <mergeCell ref="B43:E43"/>
    <mergeCell ref="B46:E46"/>
    <mergeCell ref="B48:I48"/>
    <mergeCell ref="B51:I51"/>
    <mergeCell ref="C27:D27"/>
    <mergeCell ref="H27:I27"/>
    <mergeCell ref="C30:I30"/>
    <mergeCell ref="C31:D31"/>
    <mergeCell ref="F31:G31"/>
    <mergeCell ref="H31:I31"/>
    <mergeCell ref="C35:I35"/>
    <mergeCell ref="C36:D36"/>
    <mergeCell ref="H36:I36"/>
    <mergeCell ref="C8:E8"/>
    <mergeCell ref="F8:G8"/>
    <mergeCell ref="H8:I8"/>
    <mergeCell ref="C20:I20"/>
    <mergeCell ref="C21:D21"/>
    <mergeCell ref="F21:G21"/>
    <mergeCell ref="H21:I21"/>
    <mergeCell ref="C25:I25"/>
    <mergeCell ref="C26:D26"/>
    <mergeCell ref="H26:I26"/>
    <mergeCell ref="C329:I329"/>
    <mergeCell ref="C324:E324"/>
    <mergeCell ref="F324:G324"/>
    <mergeCell ref="H324:I324"/>
    <mergeCell ref="F390:G390"/>
    <mergeCell ref="H390:I390"/>
    <mergeCell ref="C367:E367"/>
    <mergeCell ref="F367:G367"/>
    <mergeCell ref="H367:I367"/>
    <mergeCell ref="C377:E377"/>
    <mergeCell ref="C384:E384"/>
    <mergeCell ref="C357:E357"/>
    <mergeCell ref="C363:I363"/>
    <mergeCell ref="C364:I364"/>
    <mergeCell ref="C365:I365"/>
    <mergeCell ref="C345:I345"/>
    <mergeCell ref="C347:E347"/>
    <mergeCell ref="F347:G347"/>
    <mergeCell ref="H347:I347"/>
    <mergeCell ref="F335:G335"/>
    <mergeCell ref="H332:I332"/>
    <mergeCell ref="C332:D333"/>
    <mergeCell ref="E332:G332"/>
    <mergeCell ref="F333:G333"/>
    <mergeCell ref="F334:G334"/>
    <mergeCell ref="H333:I333"/>
    <mergeCell ref="H334:I334"/>
    <mergeCell ref="F337:G337"/>
    <mergeCell ref="F336:G336"/>
    <mergeCell ref="H335:I335"/>
    <mergeCell ref="H336:I336"/>
    <mergeCell ref="H337:I337"/>
    <mergeCell ref="C342:I342"/>
    <mergeCell ref="B279:I279"/>
    <mergeCell ref="B283:I283"/>
    <mergeCell ref="C303:E303"/>
    <mergeCell ref="F303:G303"/>
    <mergeCell ref="H303:I303"/>
    <mergeCell ref="F309:I309"/>
    <mergeCell ref="C317:E317"/>
    <mergeCell ref="F317:G317"/>
    <mergeCell ref="H317:I317"/>
    <mergeCell ref="C290:I290"/>
    <mergeCell ref="C291:I291"/>
    <mergeCell ref="B298:I298"/>
    <mergeCell ref="B299:I299"/>
    <mergeCell ref="B300:I300"/>
    <mergeCell ref="B293:I293"/>
    <mergeCell ref="C294:I294"/>
    <mergeCell ref="C295:I295"/>
    <mergeCell ref="C296:I296"/>
    <mergeCell ref="C309:E310"/>
    <mergeCell ref="F310:G310"/>
    <mergeCell ref="H310:I310"/>
    <mergeCell ref="F67:G67"/>
    <mergeCell ref="H67:I67"/>
    <mergeCell ref="F248:G248"/>
    <mergeCell ref="H248:I248"/>
    <mergeCell ref="C245:I245"/>
    <mergeCell ref="C248:E248"/>
    <mergeCell ref="C91:I91"/>
    <mergeCell ref="B68:E68"/>
    <mergeCell ref="B69:E69"/>
    <mergeCell ref="B70:E70"/>
    <mergeCell ref="C116:I116"/>
    <mergeCell ref="F77:G77"/>
    <mergeCell ref="H77:I77"/>
    <mergeCell ref="F93:G93"/>
    <mergeCell ref="H93:I93"/>
    <mergeCell ref="F101:G101"/>
    <mergeCell ref="H101:I101"/>
    <mergeCell ref="C93:E93"/>
    <mergeCell ref="C101:E101"/>
    <mergeCell ref="B71:E71"/>
    <mergeCell ref="C214:I214"/>
    <mergeCell ref="C216:E216"/>
    <mergeCell ref="C234:I234"/>
    <mergeCell ref="F216:G216"/>
    <mergeCell ref="H216:I216"/>
    <mergeCell ref="C235:I235"/>
    <mergeCell ref="C239:I239"/>
    <mergeCell ref="C242:I242"/>
    <mergeCell ref="C108:E108"/>
    <mergeCell ref="C114:I114"/>
    <mergeCell ref="C195:I195"/>
    <mergeCell ref="C139:E139"/>
    <mergeCell ref="C148:E148"/>
    <mergeCell ref="C166:E166"/>
    <mergeCell ref="C182:E182"/>
    <mergeCell ref="C186:I186"/>
    <mergeCell ref="F139:G139"/>
    <mergeCell ref="H139:I139"/>
    <mergeCell ref="F148:G148"/>
    <mergeCell ref="H148:I148"/>
    <mergeCell ref="F166:G166"/>
    <mergeCell ref="H166:I166"/>
    <mergeCell ref="F182:G182"/>
    <mergeCell ref="H182:I182"/>
    <mergeCell ref="C199:I199"/>
    <mergeCell ref="C202:E202"/>
    <mergeCell ref="B84:I84"/>
    <mergeCell ref="C118:E118"/>
    <mergeCell ref="C119:E119"/>
    <mergeCell ref="C133:E133"/>
    <mergeCell ref="C135:I135"/>
    <mergeCell ref="F118:G118"/>
    <mergeCell ref="H118:I118"/>
    <mergeCell ref="B85:I85"/>
    <mergeCell ref="C90:I90"/>
    <mergeCell ref="F108:G108"/>
    <mergeCell ref="H108:I108"/>
    <mergeCell ref="C115:I115"/>
    <mergeCell ref="B395:E395"/>
    <mergeCell ref="B67:E67"/>
    <mergeCell ref="B77:E77"/>
    <mergeCell ref="B265:E265"/>
    <mergeCell ref="B390:E390"/>
    <mergeCell ref="C209:I209"/>
    <mergeCell ref="F207:G207"/>
    <mergeCell ref="H207:I207"/>
    <mergeCell ref="C211:I211"/>
    <mergeCell ref="F202:G202"/>
    <mergeCell ref="H202:I202"/>
    <mergeCell ref="C243:I243"/>
    <mergeCell ref="C244:I244"/>
    <mergeCell ref="C255:D255"/>
    <mergeCell ref="C335:D335"/>
    <mergeCell ref="C117:G117"/>
    <mergeCell ref="C138:G138"/>
    <mergeCell ref="C210:I210"/>
    <mergeCell ref="F265:G265"/>
    <mergeCell ref="H265:I265"/>
    <mergeCell ref="B276:I276"/>
    <mergeCell ref="C289:I289"/>
    <mergeCell ref="C193:I193"/>
    <mergeCell ref="C197:I197"/>
  </mergeCells>
  <conditionalFormatting sqref="O123">
    <cfRule type="duplicateValues" dxfId="1" priority="2"/>
  </conditionalFormatting>
  <conditionalFormatting sqref="O170">
    <cfRule type="duplicateValues" dxfId="0" priority="1"/>
  </conditionalFormatting>
  <pageMargins left="0.70866141732283472" right="0.70866141732283472" top="0.74803149606299213" bottom="0.74803149606299213" header="0.31496062992125984" footer="0.31496062992125984"/>
  <pageSetup scale="56" fitToHeight="0" orientation="portrait" r:id="rId1"/>
  <rowBreaks count="6" manualBreakCount="6">
    <brk id="74" max="9" man="1"/>
    <brk id="98" max="9" man="1"/>
    <brk id="164" max="9" man="1"/>
    <brk id="212" max="9" man="1"/>
    <brk id="279" max="9" man="1"/>
    <brk id="361" max="9" man="1"/>
  </rowBreaks>
  <ignoredErrors>
    <ignoredError sqref="H391 H392" evalError="1"/>
    <ignoredError sqref="G41 G42:G45 G348:G352 I348:I352 P19:P22 F377 F378:F380 G393 G398:I400" unlocked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3E6CB7F-FC1F-4B9B-B2F4-BF59A5BF52FC}">
          <x14:formula1>
            <xm:f>'Master Sheet'!$C$37:$C$41</xm:f>
          </x14:formula1>
          <xm:sqref>T259 T256:T257 T249:T252 T231:T232 T227:T228 T223:T224 T219:T220 T203:T206 T173:T177 T170 T167 T149 T158:T161 T154 T127:T130 T123 T121 T109:T110 T102 T97 T95 T78:T79 T68:T70 T311:T313</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74D1-B44D-4BAC-B194-3CE21B5912D1}">
  <sheetPr codeName="Sheet32">
    <pageSetUpPr fitToPage="1"/>
  </sheetPr>
  <dimension ref="A1:X167"/>
  <sheetViews>
    <sheetView showGridLines="0" view="pageBreakPreview" zoomScaleNormal="100" zoomScaleSheetLayoutView="100" workbookViewId="0">
      <pane ySplit="2" topLeftCell="A3" activePane="bottomLeft" state="frozen"/>
      <selection pane="bottomLeft" activeCell="A3" sqref="A3"/>
    </sheetView>
  </sheetViews>
  <sheetFormatPr defaultColWidth="8.85546875" defaultRowHeight="13.15" outlineLevelRow="1" outlineLevelCol="2"/>
  <cols>
    <col min="1" max="1" customWidth="true" style="2" width="3.7109375"/>
    <col min="2" max="2" customWidth="true" style="2" width="5.28515625"/>
    <col min="3" max="3" customWidth="true" style="2" width="4.28515625"/>
    <col min="4" max="4" customWidth="true" style="2" width="34.5703125"/>
    <col min="5" max="5" customWidth="true" style="2" width="32.7109375"/>
    <col min="6" max="6" customWidth="true" style="2" width="18.28515625"/>
    <col min="7" max="7" customWidth="true" style="2" width="19.5703125"/>
    <col min="8" max="9" customWidth="true" style="2" width="18.28515625"/>
    <col min="10" max="10" customWidth="true" style="2" width="3.28515625"/>
    <col min="11" max="11" customWidth="true" hidden="true" style="2" width="12.42578125" outlineLevel="1"/>
    <col min="12" max="13" customWidth="true" hidden="true" style="2" width="17.28515625" outlineLevel="1"/>
    <col min="14" max="14" customWidth="true" hidden="true" style="2" width="8.85546875" outlineLevel="1"/>
    <col min="15" max="15" customWidth="true" hidden="true" style="24" width="15.5703125" outlineLevel="2"/>
    <col min="16" max="16" customWidth="true" hidden="true" style="24" width="16.28515625" outlineLevel="2"/>
    <col min="17" max="18" customWidth="true" hidden="true" style="24" width="12.0" outlineLevel="2"/>
    <col min="19" max="19" customWidth="true" hidden="true" style="24" width="8.42578125" outlineLevel="2"/>
    <col min="20" max="20" customWidth="true" hidden="true" style="2" width="9.28515625" outlineLevel="2"/>
    <col min="21" max="22" customWidth="true" hidden="true" style="2" width="8.85546875" outlineLevel="1"/>
    <col min="23" max="23" style="2" width="8.85546875" collapsed="true"/>
    <col min="24" max="16384" style="2" width="8.85546875"/>
  </cols>
  <sheetData>
    <row r="1" spans="1:24" hidden="1" outlineLevel="1">
      <c r="G1" s="1595" t="str">
        <f>BS!C1</f>
        <v>7756|001|INR|Actual|Standalone</v>
      </c>
      <c r="I1" s="1198" t="str">
        <f>BS!D1</f>
        <v>7756|002|INR|Actual|Standalone</v>
      </c>
      <c r="M1" s="15" t="s">
        <v>492</v>
      </c>
    </row>
    <row r="2" spans="1:24" hidden="1" outlineLevel="1"/>
    <row r="3" spans="1:24" ht="17.45" collapsed="1">
      <c r="A3" s="1077" t="e">
        <f ca="1">Company</f>
        <v>#NAME?</v>
      </c>
      <c r="B3" s="721"/>
      <c r="C3" s="721"/>
    </row>
    <row r="4" spans="1:24" ht="15.6">
      <c r="A4" s="1078" t="e">
        <f ca="1">Note_Head</f>
        <v>#NAME?</v>
      </c>
      <c r="B4" s="1"/>
      <c r="C4" s="1"/>
    </row>
    <row r="6" spans="1:24" s="24" customFormat="1">
      <c r="A6" s="1123">
        <f>NTA!F185</f>
        <v>61</v>
      </c>
      <c r="B6" s="1123" t="str">
        <f>NTA!C185</f>
        <v xml:space="preserve">Financial Instruments </v>
      </c>
      <c r="C6" s="2"/>
      <c r="D6" s="2"/>
      <c r="E6" s="2"/>
      <c r="F6" s="2"/>
      <c r="G6" s="2"/>
      <c r="H6" s="2"/>
      <c r="I6" s="2"/>
      <c r="J6" s="2"/>
      <c r="K6" s="2"/>
      <c r="L6" s="2"/>
      <c r="M6" s="2"/>
      <c r="N6" s="2"/>
      <c r="T6" s="2"/>
      <c r="U6" s="2"/>
      <c r="V6" s="2"/>
      <c r="W6" s="2"/>
      <c r="X6" s="2"/>
    </row>
    <row r="7" spans="1:24" s="24" customFormat="1" ht="7.5" customHeight="1">
      <c r="A7" s="2"/>
      <c r="B7" s="2"/>
      <c r="C7" s="2"/>
      <c r="D7" s="2"/>
      <c r="E7" s="2"/>
      <c r="F7" s="2"/>
      <c r="G7" s="2"/>
      <c r="H7" s="2"/>
      <c r="I7" s="2"/>
      <c r="J7" s="2"/>
      <c r="K7" s="2"/>
      <c r="L7" s="2"/>
      <c r="M7" s="2"/>
      <c r="N7" s="2"/>
      <c r="T7" s="2"/>
      <c r="U7" s="2"/>
      <c r="V7" s="2"/>
      <c r="W7" s="2"/>
      <c r="X7" s="2"/>
    </row>
    <row r="8" spans="1:24" s="24" customFormat="1">
      <c r="A8" s="2"/>
      <c r="B8" s="1123">
        <f>NTA!F186</f>
        <v>61.1</v>
      </c>
      <c r="C8" s="1123" t="str">
        <f>NTA!C186</f>
        <v>Capital Management</v>
      </c>
      <c r="D8" s="2"/>
      <c r="E8" s="2"/>
      <c r="F8" s="2"/>
      <c r="G8" s="2"/>
      <c r="H8" s="2"/>
      <c r="I8" s="2"/>
      <c r="J8" s="2"/>
      <c r="K8" s="559"/>
      <c r="L8" s="559"/>
      <c r="M8" s="559" t="s">
        <v>172</v>
      </c>
      <c r="N8" s="295" t="s">
        <v>171</v>
      </c>
      <c r="O8" s="295" t="s">
        <v>170</v>
      </c>
      <c r="P8" s="295" t="s">
        <v>2241</v>
      </c>
      <c r="T8" s="2"/>
      <c r="U8" s="2"/>
      <c r="V8" s="2"/>
      <c r="W8" s="2"/>
      <c r="X8" s="2"/>
    </row>
    <row r="9" spans="1:24" s="24" customFormat="1" ht="5.25" customHeight="1">
      <c r="A9" s="2"/>
      <c r="B9" s="2"/>
      <c r="C9" s="2"/>
      <c r="D9" s="2"/>
      <c r="E9" s="2"/>
      <c r="F9" s="2"/>
      <c r="G9" s="2"/>
      <c r="H9" s="2"/>
      <c r="I9" s="2"/>
      <c r="J9" s="2"/>
      <c r="K9" s="2"/>
      <c r="L9" s="2"/>
      <c r="M9" s="2"/>
      <c r="N9" s="2"/>
      <c r="T9" s="2"/>
      <c r="U9" s="2"/>
      <c r="V9" s="2"/>
      <c r="W9" s="2"/>
      <c r="X9" s="2"/>
    </row>
    <row r="10" spans="1:24" s="24" customFormat="1" ht="56.25" customHeight="1">
      <c r="A10" s="2"/>
      <c r="B10" s="2"/>
      <c r="C10" s="1305" t="s">
        <v>2242</v>
      </c>
      <c r="D10" s="1304"/>
      <c r="E10" s="1304"/>
      <c r="F10" s="1304"/>
      <c r="G10" s="1304"/>
      <c r="H10" s="1304"/>
      <c r="I10" s="1304"/>
      <c r="J10" s="2"/>
      <c r="K10" s="2"/>
      <c r="L10" s="2"/>
      <c r="M10" s="2"/>
      <c r="N10" s="2"/>
      <c r="T10" s="2"/>
      <c r="U10" s="2"/>
      <c r="V10" s="2"/>
      <c r="W10" s="2"/>
      <c r="X10" s="2"/>
    </row>
    <row r="11" spans="1:24" s="24" customFormat="1">
      <c r="A11" s="2"/>
      <c r="B11" s="2"/>
      <c r="C11" s="486" t="s">
        <v>2243</v>
      </c>
      <c r="D11" s="2"/>
      <c r="E11" s="2"/>
      <c r="F11" s="2"/>
      <c r="G11" s="2"/>
      <c r="H11" s="2"/>
      <c r="I11" s="1124" t="str">
        <f>'Master Sheet'!$C$65</f>
        <v>(Amount in INR)</v>
      </c>
      <c r="J11" s="2"/>
      <c r="K11" s="2"/>
      <c r="L11" s="2"/>
      <c r="M11" s="2"/>
      <c r="N11" s="2"/>
      <c r="T11" s="2"/>
      <c r="U11" s="2"/>
      <c r="V11" s="2"/>
      <c r="W11" s="2"/>
      <c r="X11" s="2"/>
    </row>
    <row r="12" spans="1:24" s="24" customFormat="1" ht="28.5" customHeight="1">
      <c r="A12" s="2"/>
      <c r="B12" s="2"/>
      <c r="C12" s="1313" t="s">
        <v>500</v>
      </c>
      <c r="D12" s="1313"/>
      <c r="E12" s="1313"/>
      <c r="F12" s="1417" t="e">
        <f ca="1">BS_CY</f>
        <v>#NAME?</v>
      </c>
      <c r="G12" s="1417"/>
      <c r="H12" s="1418" t="e">
        <f ca="1">BS_PY</f>
        <v>#NAME?</v>
      </c>
      <c r="I12" s="1418"/>
      <c r="J12" s="2"/>
      <c r="K12" s="2"/>
      <c r="L12" s="2"/>
      <c r="M12" s="2"/>
      <c r="N12" s="2"/>
      <c r="T12" s="2"/>
      <c r="U12" s="2"/>
      <c r="V12" s="2"/>
      <c r="W12" s="2"/>
      <c r="X12" s="2"/>
    </row>
    <row r="13" spans="1:24" s="24" customFormat="1" ht="15" customHeight="1">
      <c r="A13" s="2"/>
      <c r="B13" s="2"/>
      <c r="C13" s="20" t="s">
        <v>2244</v>
      </c>
      <c r="D13" s="20"/>
      <c r="E13" s="20"/>
      <c r="F13" s="466"/>
      <c r="G13" s="401">
        <f ca="1">'NT NCB &amp; CB'!H16+'NT BS2'!H17+'NT BS2'!H131+'NT BS2'!H59-'NT BS2'!H125</f>
        <v>0</v>
      </c>
      <c r="H13" s="479"/>
      <c r="I13" s="938">
        <f ca="1">'NT NCB &amp; CB'!J16+'NT BS2'!J17+'NT BS2'!J131+'NT BS2'!J59-'NT BS2'!J125</f>
        <v>0</v>
      </c>
      <c r="J13" s="2"/>
      <c r="K13" s="2"/>
      <c r="L13" s="2"/>
      <c r="M13" s="2" t="str">
        <f ca="1">IF(AND(G13=0,I13=0),"##H","")</f>
        <v>##H</v>
      </c>
      <c r="N13" s="2"/>
      <c r="T13" s="2"/>
      <c r="U13" s="2"/>
      <c r="V13" s="2"/>
      <c r="W13" s="2"/>
      <c r="X13" s="2"/>
    </row>
    <row r="14" spans="1:24" s="24" customFormat="1" ht="15" customHeight="1">
      <c r="A14" s="2"/>
      <c r="B14" s="2"/>
      <c r="C14" s="58" t="s">
        <v>2245</v>
      </c>
      <c r="D14" s="58"/>
      <c r="E14" s="58"/>
      <c r="F14" s="466"/>
      <c r="G14" s="401">
        <f ca="1">-(BS!C30+BS!C31)</f>
        <v>0</v>
      </c>
      <c r="H14" s="479"/>
      <c r="I14" s="938">
        <f ca="1">-(BS!D30+BS!D31)</f>
        <v>0</v>
      </c>
      <c r="J14" s="2"/>
      <c r="K14" s="2"/>
      <c r="L14" s="2"/>
      <c r="M14" s="2" t="str">
        <f t="shared" ref="M14:M18" ca="1" si="0">IF(AND(G14=0,I14=0),"##H","")</f>
        <v>##H</v>
      </c>
      <c r="N14" s="2"/>
      <c r="T14" s="2"/>
      <c r="U14" s="2"/>
      <c r="V14" s="2"/>
      <c r="W14" s="2"/>
      <c r="X14" s="2"/>
    </row>
    <row r="15" spans="1:24" s="24" customFormat="1" ht="15" customHeight="1">
      <c r="A15" s="2"/>
      <c r="B15" s="2"/>
      <c r="C15" s="33" t="s">
        <v>2246</v>
      </c>
      <c r="D15" s="58"/>
      <c r="E15" s="58"/>
      <c r="F15" s="525"/>
      <c r="G15" s="638">
        <f ca="1">SUM(G13:G14)</f>
        <v>0</v>
      </c>
      <c r="H15" s="526"/>
      <c r="I15" s="954">
        <f ca="1">SUM(I13:I14)</f>
        <v>0</v>
      </c>
      <c r="J15" s="2"/>
      <c r="K15" s="2"/>
      <c r="L15" s="2"/>
      <c r="M15" s="2" t="str">
        <f t="shared" ca="1" si="0"/>
        <v>##H</v>
      </c>
      <c r="N15" s="2"/>
      <c r="T15" s="2"/>
      <c r="U15" s="2"/>
      <c r="V15" s="2"/>
      <c r="W15" s="2"/>
      <c r="X15" s="2"/>
    </row>
    <row r="16" spans="1:24" s="24" customFormat="1" ht="15" customHeight="1">
      <c r="A16" s="2"/>
      <c r="B16" s="2"/>
      <c r="C16" s="58"/>
      <c r="D16" s="58"/>
      <c r="E16" s="1253"/>
      <c r="F16" s="453"/>
      <c r="G16" s="453"/>
      <c r="H16" s="476"/>
      <c r="I16" s="452"/>
      <c r="J16" s="2"/>
      <c r="K16" s="2"/>
      <c r="L16" s="2"/>
      <c r="M16" s="2"/>
      <c r="N16" s="2"/>
      <c r="T16" s="2"/>
      <c r="U16" s="2"/>
      <c r="V16" s="2"/>
      <c r="W16" s="2"/>
      <c r="X16" s="2"/>
    </row>
    <row r="17" spans="1:24" s="24" customFormat="1" ht="15" customHeight="1">
      <c r="A17" s="2"/>
      <c r="B17" s="2"/>
      <c r="C17" s="33" t="s">
        <v>2247</v>
      </c>
      <c r="D17" s="58"/>
      <c r="E17" s="58"/>
      <c r="F17" s="462"/>
      <c r="G17" s="936">
        <f ca="1">BS!C45</f>
        <v>0</v>
      </c>
      <c r="H17" s="477"/>
      <c r="I17" s="938">
        <f ca="1">BS!D45</f>
        <v>0</v>
      </c>
      <c r="J17" s="2"/>
      <c r="K17" s="2"/>
      <c r="L17" s="2"/>
      <c r="M17" s="2" t="str">
        <f t="shared" ca="1" si="0"/>
        <v>##H</v>
      </c>
      <c r="N17" s="2"/>
      <c r="T17" s="2"/>
      <c r="U17" s="2"/>
      <c r="V17" s="2"/>
      <c r="W17" s="2"/>
      <c r="X17" s="2"/>
    </row>
    <row r="18" spans="1:24" s="24" customFormat="1" ht="15" customHeight="1">
      <c r="A18" s="2"/>
      <c r="B18" s="2"/>
      <c r="C18" s="216" t="s">
        <v>2248</v>
      </c>
      <c r="D18" s="177"/>
      <c r="E18" s="177"/>
      <c r="F18" s="464"/>
      <c r="G18" s="955" t="e">
        <f ca="1">G15/G17</f>
        <v>#DIV/0!</v>
      </c>
      <c r="H18" s="485"/>
      <c r="I18" s="884" t="e">
        <f ca="1">I15/I17</f>
        <v>#DIV/0!</v>
      </c>
      <c r="J18" s="2"/>
      <c r="K18" s="2"/>
      <c r="L18" s="2"/>
      <c r="M18" s="2" t="e">
        <f t="shared" ca="1" si="0"/>
        <v>#DIV/0!</v>
      </c>
      <c r="N18" s="2"/>
      <c r="T18" s="2"/>
      <c r="U18" s="2"/>
      <c r="V18" s="2"/>
      <c r="W18" s="2"/>
      <c r="X18" s="2"/>
    </row>
    <row r="20" spans="1:24" s="24" customFormat="1">
      <c r="A20" s="2"/>
      <c r="B20" s="1123">
        <f>NTA!F187</f>
        <v>61.2</v>
      </c>
      <c r="C20" s="1123" t="str">
        <f>NTA!C187</f>
        <v>Categories of Financial Instruments</v>
      </c>
      <c r="D20" s="2"/>
      <c r="E20" s="2"/>
      <c r="F20" s="2"/>
      <c r="G20" s="2"/>
      <c r="H20" s="2"/>
      <c r="I20" s="2"/>
      <c r="J20" s="2"/>
      <c r="K20" s="559"/>
      <c r="L20" s="559"/>
      <c r="M20" s="559" t="s">
        <v>172</v>
      </c>
      <c r="N20" s="295" t="s">
        <v>171</v>
      </c>
      <c r="O20" s="295" t="s">
        <v>170</v>
      </c>
      <c r="P20" s="295" t="s">
        <v>2241</v>
      </c>
      <c r="T20" s="2"/>
      <c r="U20" s="2"/>
      <c r="V20" s="2"/>
      <c r="W20" s="2"/>
      <c r="X20" s="2"/>
    </row>
    <row r="21" spans="1:24" s="24" customFormat="1" ht="7.5" customHeight="1">
      <c r="A21" s="2"/>
      <c r="B21" s="2"/>
      <c r="C21" s="21"/>
      <c r="D21" s="2"/>
      <c r="E21" s="2"/>
      <c r="F21" s="2"/>
      <c r="G21" s="2"/>
      <c r="H21" s="2"/>
      <c r="I21" s="2"/>
      <c r="J21" s="2"/>
      <c r="K21" s="2"/>
      <c r="L21" s="2"/>
      <c r="M21" s="2"/>
      <c r="N21" s="2"/>
      <c r="T21" s="2"/>
      <c r="U21" s="2"/>
      <c r="V21" s="2"/>
      <c r="W21" s="2"/>
      <c r="X21" s="2"/>
    </row>
    <row r="22" spans="1:24" s="24" customFormat="1">
      <c r="A22" s="2"/>
      <c r="B22" s="2"/>
      <c r="C22" s="1054" t="e">
        <f ca="1">"The carrying value of the financial instruments by categories as on "&amp;Current_Date&amp;" and "&amp;Previous_Date&amp;" is as follows:"</f>
        <v>#NAME?</v>
      </c>
      <c r="D22" s="2"/>
      <c r="E22" s="2"/>
      <c r="F22" s="2"/>
      <c r="G22" s="2"/>
      <c r="H22" s="2"/>
      <c r="I22" s="1124" t="str">
        <f>'Master Sheet'!$C$65</f>
        <v>(Amount in INR)</v>
      </c>
      <c r="J22" s="2"/>
      <c r="K22" s="2"/>
      <c r="L22" s="2"/>
      <c r="M22" s="2"/>
      <c r="N22" s="2"/>
      <c r="T22" s="2"/>
      <c r="U22" s="2"/>
      <c r="V22" s="2"/>
      <c r="W22" s="2"/>
      <c r="X22" s="2"/>
    </row>
    <row r="23" spans="1:24" s="24" customFormat="1" ht="28.5" customHeight="1">
      <c r="A23" s="2"/>
      <c r="B23" s="2"/>
      <c r="C23" s="1313" t="s">
        <v>500</v>
      </c>
      <c r="D23" s="1313"/>
      <c r="E23" s="1313"/>
      <c r="F23" s="1417" t="e">
        <f ca="1">BS_CY</f>
        <v>#NAME?</v>
      </c>
      <c r="G23" s="1417"/>
      <c r="H23" s="1418" t="e">
        <f ca="1">BS_PY</f>
        <v>#NAME?</v>
      </c>
      <c r="I23" s="1418"/>
      <c r="J23" s="2"/>
      <c r="K23" s="2"/>
      <c r="L23" s="2"/>
      <c r="M23" s="2"/>
      <c r="N23" s="2"/>
      <c r="T23" s="2"/>
      <c r="U23" s="2"/>
      <c r="V23" s="2"/>
      <c r="W23" s="2"/>
      <c r="X23" s="2"/>
    </row>
    <row r="24" spans="1:24" s="24" customFormat="1" ht="15" customHeight="1">
      <c r="A24" s="2"/>
      <c r="B24" s="2"/>
      <c r="C24" s="21" t="s">
        <v>220</v>
      </c>
      <c r="D24" s="20"/>
      <c r="E24" s="20"/>
      <c r="F24" s="1538"/>
      <c r="G24" s="1538"/>
      <c r="H24" s="1528"/>
      <c r="I24" s="1545"/>
      <c r="J24" s="2"/>
      <c r="K24" s="2"/>
      <c r="L24" s="2"/>
      <c r="M24" s="2"/>
      <c r="N24" s="2"/>
      <c r="T24" s="2"/>
      <c r="U24" s="2"/>
      <c r="V24" s="2"/>
      <c r="W24" s="2"/>
      <c r="X24" s="2"/>
    </row>
    <row r="25" spans="1:24" s="24" customFormat="1" ht="15" customHeight="1">
      <c r="A25" s="2"/>
      <c r="B25" s="2"/>
      <c r="C25" s="487" t="s">
        <v>2249</v>
      </c>
      <c r="D25" s="58"/>
      <c r="E25" s="58"/>
      <c r="F25" s="65"/>
      <c r="G25" s="65"/>
      <c r="H25" s="66"/>
      <c r="I25" s="452"/>
      <c r="J25" s="2"/>
      <c r="K25" s="2"/>
      <c r="L25" s="2"/>
      <c r="M25" s="2"/>
      <c r="N25" s="2"/>
      <c r="T25" s="2"/>
      <c r="U25" s="2"/>
      <c r="V25" s="2"/>
      <c r="W25" s="2"/>
      <c r="X25" s="2"/>
    </row>
    <row r="26" spans="1:24" s="24" customFormat="1" ht="15" customHeight="1">
      <c r="A26" s="2"/>
      <c r="B26" s="2"/>
      <c r="C26" s="67" t="s">
        <v>2250</v>
      </c>
      <c r="D26" s="58"/>
      <c r="E26" s="58"/>
      <c r="F26" s="65"/>
      <c r="G26" s="342">
        <f ca="1">BS!C28</f>
        <v>0</v>
      </c>
      <c r="H26" s="66"/>
      <c r="I26" s="719">
        <f ca="1">BS!D28</f>
        <v>0</v>
      </c>
      <c r="J26" s="2"/>
      <c r="K26" s="2"/>
      <c r="L26" s="2"/>
      <c r="M26" s="2" t="str">
        <f t="shared" ref="M26:M35" ca="1" si="1">IF(AND(G26=0,I26=0),"##H","")</f>
        <v>##H</v>
      </c>
      <c r="N26" s="2"/>
      <c r="T26" s="2"/>
      <c r="U26" s="2"/>
      <c r="V26" s="2"/>
      <c r="W26" s="2"/>
      <c r="X26" s="2"/>
    </row>
    <row r="27" spans="1:24" s="24" customFormat="1" ht="15" customHeight="1">
      <c r="A27" s="2"/>
      <c r="B27" s="2"/>
      <c r="C27" s="487" t="s">
        <v>2251</v>
      </c>
      <c r="D27" s="58"/>
      <c r="E27" s="58"/>
      <c r="F27" s="65"/>
      <c r="G27" s="65"/>
      <c r="H27" s="66"/>
      <c r="I27" s="452"/>
      <c r="J27" s="2"/>
      <c r="K27" s="2"/>
      <c r="L27" s="2"/>
      <c r="M27" s="2"/>
      <c r="N27" s="2"/>
      <c r="T27" s="2"/>
      <c r="U27" s="2"/>
      <c r="V27" s="2"/>
      <c r="W27" s="2"/>
      <c r="X27" s="2"/>
    </row>
    <row r="28" spans="1:24" s="24" customFormat="1" ht="15" customHeight="1">
      <c r="A28" s="2"/>
      <c r="B28" s="2"/>
      <c r="C28" s="67" t="s">
        <v>225</v>
      </c>
      <c r="D28" s="58"/>
      <c r="E28" s="58"/>
      <c r="F28" s="65"/>
      <c r="G28" s="342">
        <f ca="1">BS!C19</f>
        <v>0</v>
      </c>
      <c r="H28" s="66"/>
      <c r="I28" s="719">
        <f ca="1">BS!D19</f>
        <v>0</v>
      </c>
      <c r="J28" s="2"/>
      <c r="K28" s="2"/>
      <c r="L28" s="2"/>
      <c r="M28" s="2" t="str">
        <f t="shared" ca="1" si="1"/>
        <v>##H</v>
      </c>
      <c r="N28" s="2"/>
      <c r="T28" s="2"/>
      <c r="U28" s="2"/>
      <c r="V28" s="2"/>
      <c r="W28" s="2"/>
      <c r="X28" s="2"/>
    </row>
    <row r="29" spans="1:24" s="24" customFormat="1" ht="15" customHeight="1">
      <c r="A29" s="2"/>
      <c r="B29" s="2"/>
      <c r="C29" s="67" t="s">
        <v>267</v>
      </c>
      <c r="D29" s="58"/>
      <c r="E29" s="58"/>
      <c r="F29" s="65"/>
      <c r="G29" s="342">
        <f ca="1">'NT BS1'!H265</f>
        <v>0</v>
      </c>
      <c r="H29" s="66"/>
      <c r="I29" s="719">
        <f ca="1">'NT BS1'!J265</f>
        <v>0</v>
      </c>
      <c r="J29" s="2"/>
      <c r="K29" s="2"/>
      <c r="L29" s="2"/>
      <c r="M29" s="2" t="str">
        <f t="shared" ca="1" si="1"/>
        <v>##H</v>
      </c>
      <c r="N29" s="2"/>
      <c r="T29" s="2"/>
      <c r="U29" s="2"/>
      <c r="V29" s="2"/>
      <c r="W29" s="2"/>
      <c r="X29" s="2"/>
    </row>
    <row r="30" spans="1:24" ht="15" customHeight="1">
      <c r="C30" s="67" t="s">
        <v>2252</v>
      </c>
      <c r="D30" s="58"/>
      <c r="E30" s="58"/>
      <c r="F30" s="65"/>
      <c r="G30" s="342">
        <f ca="1">'NT BS1'!H273</f>
        <v>0</v>
      </c>
      <c r="H30" s="66"/>
      <c r="I30" s="719">
        <f ca="1">'NT BS1'!J273</f>
        <v>0</v>
      </c>
      <c r="M30" s="2" t="str">
        <f t="shared" ca="1" si="1"/>
        <v>##H</v>
      </c>
    </row>
    <row r="31" spans="1:24" ht="15" customHeight="1">
      <c r="C31" s="67" t="s">
        <v>2253</v>
      </c>
      <c r="D31" s="58"/>
      <c r="E31" s="58"/>
      <c r="F31" s="65"/>
      <c r="G31" s="342">
        <f ca="1">'NT BS1'!H172</f>
        <v>0</v>
      </c>
      <c r="H31" s="66"/>
      <c r="I31" s="719">
        <f ca="1">'NT BS1'!J172</f>
        <v>0</v>
      </c>
      <c r="M31" s="2" t="str">
        <f t="shared" ca="1" si="1"/>
        <v>##H</v>
      </c>
    </row>
    <row r="32" spans="1:24" ht="15" customHeight="1">
      <c r="C32" s="67" t="s">
        <v>2254</v>
      </c>
      <c r="D32" s="58"/>
      <c r="E32" s="58"/>
      <c r="F32" s="65"/>
      <c r="G32" s="342">
        <f ca="1">'NT BS1'!H31+'NT BS1'!H303</f>
        <v>0</v>
      </c>
      <c r="H32" s="66"/>
      <c r="I32" s="719">
        <f ca="1">'NT BS1'!J31+'NT BS1'!J303</f>
        <v>0</v>
      </c>
      <c r="M32" s="2" t="str">
        <f t="shared" ca="1" si="1"/>
        <v>##H</v>
      </c>
    </row>
    <row r="33" spans="1:24" ht="15" customHeight="1">
      <c r="C33" s="487" t="s">
        <v>2255</v>
      </c>
      <c r="D33" s="58"/>
      <c r="E33" s="58"/>
      <c r="F33" s="65"/>
      <c r="G33" s="65"/>
      <c r="H33" s="66"/>
      <c r="I33" s="452"/>
    </row>
    <row r="34" spans="1:24" ht="15" hidden="1" customHeight="1">
      <c r="C34" s="67" t="s">
        <v>2256</v>
      </c>
      <c r="D34" s="58"/>
      <c r="E34" s="58"/>
      <c r="F34" s="466"/>
      <c r="G34" s="401">
        <f ca="1">'NT BS1'!H9</f>
        <v>0</v>
      </c>
      <c r="H34" s="479"/>
      <c r="I34" s="938">
        <f ca="1">'NT BS1'!J9</f>
        <v>0</v>
      </c>
      <c r="M34" s="2" t="str">
        <f t="shared" ca="1" si="1"/>
        <v>##H</v>
      </c>
    </row>
    <row r="35" spans="1:24" ht="15" customHeight="1">
      <c r="C35" s="177"/>
      <c r="D35" s="177"/>
      <c r="E35" s="177"/>
      <c r="F35" s="469"/>
      <c r="G35" s="942">
        <f ca="1">G26+SUM(G28:G32)+G34</f>
        <v>0</v>
      </c>
      <c r="H35" s="480"/>
      <c r="I35" s="939">
        <f ca="1">I26+SUM(I28:I32)+I34</f>
        <v>0</v>
      </c>
      <c r="M35" s="2" t="str">
        <f t="shared" ca="1" si="1"/>
        <v>##H</v>
      </c>
    </row>
    <row r="36" spans="1:24" ht="15" customHeight="1">
      <c r="C36" s="169"/>
      <c r="D36" s="169"/>
      <c r="E36" s="169"/>
      <c r="F36" s="467"/>
      <c r="G36" s="467"/>
      <c r="H36" s="481"/>
      <c r="I36" s="468"/>
    </row>
    <row r="37" spans="1:24" ht="15" customHeight="1">
      <c r="C37" s="33" t="s">
        <v>2257</v>
      </c>
      <c r="D37" s="58"/>
      <c r="E37" s="58"/>
      <c r="F37" s="65"/>
      <c r="G37" s="65"/>
      <c r="H37" s="66"/>
      <c r="I37" s="452"/>
    </row>
    <row r="38" spans="1:24" ht="15" customHeight="1">
      <c r="C38" s="487" t="s">
        <v>2258</v>
      </c>
      <c r="D38" s="58"/>
      <c r="E38" s="58"/>
      <c r="F38" s="65"/>
      <c r="G38" s="65"/>
      <c r="H38" s="66"/>
      <c r="I38" s="452"/>
    </row>
    <row r="39" spans="1:24" ht="15" hidden="1" customHeight="1">
      <c r="C39" s="67" t="s">
        <v>2259</v>
      </c>
      <c r="D39" s="58"/>
      <c r="E39" s="58"/>
      <c r="F39" s="65"/>
      <c r="G39" s="342">
        <f ca="1">'NT BS2'!H16</f>
        <v>0</v>
      </c>
      <c r="H39" s="66"/>
      <c r="I39" s="719">
        <f ca="1">'NT BS2'!J16</f>
        <v>0</v>
      </c>
      <c r="M39" s="2" t="str">
        <f t="shared" ref="M39:M46" ca="1" si="2">IF(AND(G39=0,I39=0),"##H","")</f>
        <v>##H</v>
      </c>
    </row>
    <row r="40" spans="1:24" ht="15" customHeight="1">
      <c r="C40" s="487" t="s">
        <v>2251</v>
      </c>
      <c r="D40" s="58"/>
      <c r="E40" s="58"/>
      <c r="F40" s="65"/>
      <c r="G40" s="65"/>
      <c r="H40" s="66"/>
      <c r="I40" s="66"/>
    </row>
    <row r="41" spans="1:24" ht="15" customHeight="1">
      <c r="C41" s="67" t="s">
        <v>314</v>
      </c>
      <c r="D41" s="58"/>
      <c r="E41" s="58"/>
      <c r="F41" s="65"/>
      <c r="G41" s="342">
        <f ca="1">'NT NCB &amp; CB'!H16+'NT BS2'!H59</f>
        <v>0</v>
      </c>
      <c r="H41" s="66"/>
      <c r="I41" s="341">
        <f ca="1">'NT NCB &amp; CB'!J16+'NT BS2'!J59</f>
        <v>0</v>
      </c>
      <c r="M41" s="2" t="str">
        <f t="shared" ca="1" si="2"/>
        <v>##H</v>
      </c>
    </row>
    <row r="42" spans="1:24" ht="15" customHeight="1">
      <c r="C42" s="67" t="s">
        <v>2260</v>
      </c>
      <c r="D42" s="58"/>
      <c r="E42" s="58"/>
      <c r="F42" s="65"/>
      <c r="G42" s="342">
        <f ca="1">BS!C62+BS!C63</f>
        <v>0</v>
      </c>
      <c r="H42" s="66"/>
      <c r="I42" s="341">
        <f ca="1">BS!D62+BS!D63</f>
        <v>0</v>
      </c>
      <c r="M42" s="2" t="str">
        <f t="shared" ca="1" si="2"/>
        <v>##H</v>
      </c>
    </row>
    <row r="43" spans="1:24" ht="15" customHeight="1">
      <c r="C43" s="67" t="s">
        <v>2261</v>
      </c>
      <c r="D43" s="58"/>
      <c r="E43" s="58"/>
      <c r="F43" s="65"/>
      <c r="G43" s="342">
        <f ca="1">'NT BS2'!H125</f>
        <v>0</v>
      </c>
      <c r="H43" s="66"/>
      <c r="I43" s="341">
        <f ca="1">'NT BS2'!J125</f>
        <v>0</v>
      </c>
      <c r="M43" s="2" t="str">
        <f t="shared" ca="1" si="2"/>
        <v>##H</v>
      </c>
    </row>
    <row r="44" spans="1:24" ht="15" customHeight="1">
      <c r="C44" s="67" t="s">
        <v>2259</v>
      </c>
      <c r="D44" s="58"/>
      <c r="E44" s="58"/>
      <c r="F44" s="65"/>
      <c r="G44" s="342">
        <f ca="1">'NT BS2'!H15+'NT BS2'!H127+'NT BS2'!H128+'NT BS2'!H129+'NT BS2'!H130</f>
        <v>0</v>
      </c>
      <c r="H44" s="66"/>
      <c r="I44" s="719">
        <f ca="1">'NT BS2'!J15+'NT BS2'!J127+'NT BS2'!J128+'NT BS2'!J129+'NT BS2'!J130</f>
        <v>0</v>
      </c>
      <c r="M44" s="2" t="str">
        <f t="shared" ca="1" si="2"/>
        <v>##H</v>
      </c>
    </row>
    <row r="45" spans="1:24" ht="15" customHeight="1">
      <c r="C45" s="67" t="s">
        <v>324</v>
      </c>
      <c r="D45" s="58"/>
      <c r="E45" s="1253"/>
      <c r="F45" s="453"/>
      <c r="G45" s="935">
        <f ca="1">'NT BS2'!H11+'NT BS2'!H94</f>
        <v>0</v>
      </c>
      <c r="H45" s="476"/>
      <c r="I45" s="719">
        <f ca="1">'NT BS2'!J11+'NT BS2'!J94</f>
        <v>0</v>
      </c>
      <c r="M45" s="2" t="str">
        <f t="shared" ca="1" si="2"/>
        <v>##H</v>
      </c>
    </row>
    <row r="46" spans="1:24" s="24" customFormat="1" ht="15" customHeight="1">
      <c r="A46" s="2"/>
      <c r="B46" s="2"/>
      <c r="C46" s="216"/>
      <c r="D46" s="177"/>
      <c r="E46" s="177"/>
      <c r="F46" s="464"/>
      <c r="G46" s="955">
        <f ca="1">G39+SUM(G41:G45)</f>
        <v>0</v>
      </c>
      <c r="H46" s="485"/>
      <c r="I46" s="884">
        <f ca="1">I39+SUM(I41:I45)</f>
        <v>0</v>
      </c>
      <c r="J46" s="2"/>
      <c r="K46" s="2"/>
      <c r="L46" s="2"/>
      <c r="M46" s="2" t="str">
        <f t="shared" ca="1" si="2"/>
        <v>##H</v>
      </c>
      <c r="N46" s="2"/>
      <c r="T46" s="2"/>
      <c r="U46" s="2"/>
      <c r="V46" s="2"/>
      <c r="W46" s="2"/>
      <c r="X46" s="2"/>
    </row>
    <row r="48" spans="1:24" s="24" customFormat="1" ht="28.5" customHeight="1">
      <c r="A48" s="2"/>
      <c r="B48" s="2"/>
      <c r="C48" s="1305" t="s">
        <v>2262</v>
      </c>
      <c r="D48" s="1304"/>
      <c r="E48" s="1304"/>
      <c r="F48" s="1304"/>
      <c r="G48" s="1304"/>
      <c r="H48" s="1304"/>
      <c r="I48" s="1304"/>
      <c r="J48" s="2"/>
      <c r="K48" s="2"/>
      <c r="L48" s="2"/>
      <c r="M48" s="2"/>
      <c r="N48" s="2"/>
      <c r="T48" s="2"/>
      <c r="U48" s="2"/>
      <c r="V48" s="2"/>
      <c r="W48" s="2"/>
      <c r="X48" s="2"/>
    </row>
    <row r="49" spans="1:24" s="24" customFormat="1" ht="27.75" customHeight="1">
      <c r="A49" s="2"/>
      <c r="B49" s="2"/>
      <c r="C49" s="1305" t="s">
        <v>2263</v>
      </c>
      <c r="D49" s="1304"/>
      <c r="E49" s="1304"/>
      <c r="F49" s="1304"/>
      <c r="G49" s="1304"/>
      <c r="H49" s="1304"/>
      <c r="I49" s="1304"/>
      <c r="J49" s="2"/>
      <c r="K49" s="2"/>
      <c r="L49" s="2"/>
      <c r="M49" s="2"/>
      <c r="N49" s="2"/>
      <c r="T49" s="2"/>
      <c r="U49" s="2"/>
      <c r="V49" s="2"/>
      <c r="W49" s="2"/>
      <c r="X49" s="2"/>
    </row>
    <row r="50" spans="1:24" s="24" customFormat="1" ht="8.25" customHeight="1">
      <c r="A50" s="2"/>
      <c r="B50" s="2"/>
      <c r="C50" s="2"/>
      <c r="D50" s="2"/>
      <c r="E50" s="2"/>
      <c r="F50" s="2"/>
      <c r="G50" s="2"/>
      <c r="H50" s="2"/>
      <c r="I50" s="2"/>
      <c r="J50" s="2"/>
      <c r="K50" s="2"/>
      <c r="L50" s="2"/>
      <c r="M50" s="2"/>
      <c r="N50" s="2"/>
      <c r="T50" s="2"/>
      <c r="U50" s="2"/>
      <c r="V50" s="2"/>
      <c r="W50" s="2"/>
      <c r="X50" s="2"/>
    </row>
    <row r="51" spans="1:24" s="24" customFormat="1">
      <c r="A51" s="2"/>
      <c r="B51" s="2"/>
      <c r="C51" s="25" t="s">
        <v>2264</v>
      </c>
      <c r="D51" s="2"/>
      <c r="E51" s="2"/>
      <c r="F51" s="2"/>
      <c r="G51" s="2"/>
      <c r="H51" s="2"/>
      <c r="I51" s="2"/>
      <c r="J51" s="2"/>
      <c r="K51" s="2"/>
      <c r="L51" s="2"/>
      <c r="M51" s="2"/>
      <c r="N51" s="2"/>
      <c r="T51" s="2"/>
      <c r="U51" s="2"/>
      <c r="V51" s="2"/>
      <c r="W51" s="2"/>
      <c r="X51" s="2"/>
    </row>
    <row r="52" spans="1:24" s="24" customFormat="1" ht="25.5" customHeight="1">
      <c r="A52" s="2"/>
      <c r="B52" s="2"/>
      <c r="C52" s="1305" t="s">
        <v>2265</v>
      </c>
      <c r="D52" s="1304"/>
      <c r="E52" s="1304"/>
      <c r="F52" s="1304"/>
      <c r="G52" s="1304"/>
      <c r="H52" s="1304"/>
      <c r="I52" s="1304"/>
      <c r="J52" s="2"/>
      <c r="K52" s="2"/>
      <c r="L52" s="2"/>
      <c r="M52" s="2"/>
      <c r="N52" s="2"/>
      <c r="T52" s="2"/>
      <c r="U52" s="2"/>
      <c r="V52" s="2"/>
      <c r="W52" s="2"/>
      <c r="X52" s="2"/>
    </row>
    <row r="53" spans="1:24" s="24" customFormat="1" ht="69.75" customHeight="1">
      <c r="A53" s="2"/>
      <c r="B53" s="2"/>
      <c r="C53" s="1305" t="s">
        <v>2266</v>
      </c>
      <c r="D53" s="1304"/>
      <c r="E53" s="1304"/>
      <c r="F53" s="1304"/>
      <c r="G53" s="1304"/>
      <c r="H53" s="1304"/>
      <c r="I53" s="1304"/>
      <c r="J53" s="2"/>
      <c r="K53" s="2"/>
      <c r="L53" s="2"/>
      <c r="M53" s="2"/>
      <c r="N53" s="2"/>
      <c r="T53" s="2"/>
      <c r="U53" s="2"/>
      <c r="V53" s="2"/>
      <c r="W53" s="2"/>
      <c r="X53" s="2"/>
    </row>
    <row r="54" spans="1:24" s="24" customFormat="1" ht="27" customHeight="1">
      <c r="A54" s="2"/>
      <c r="B54" s="2"/>
      <c r="C54" s="1305" t="s">
        <v>2267</v>
      </c>
      <c r="D54" s="1304"/>
      <c r="E54" s="1304"/>
      <c r="F54" s="1304"/>
      <c r="G54" s="1304"/>
      <c r="H54" s="1304"/>
      <c r="I54" s="1304"/>
      <c r="J54" s="2"/>
      <c r="K54" s="124"/>
      <c r="L54" s="2"/>
      <c r="M54" s="2"/>
      <c r="N54" s="2"/>
      <c r="T54" s="2"/>
      <c r="U54" s="2"/>
      <c r="V54" s="2"/>
      <c r="W54" s="2"/>
      <c r="X54" s="2"/>
    </row>
    <row r="56" spans="1:24" s="24" customFormat="1">
      <c r="A56" s="2"/>
      <c r="B56" s="2"/>
      <c r="C56" s="25" t="s">
        <v>2268</v>
      </c>
      <c r="D56" s="2"/>
      <c r="E56" s="2"/>
      <c r="F56" s="2"/>
      <c r="G56" s="2"/>
      <c r="H56" s="2"/>
      <c r="I56" s="2"/>
      <c r="J56" s="2"/>
      <c r="K56" s="2"/>
      <c r="L56" s="2"/>
      <c r="M56" s="2"/>
      <c r="N56" s="2"/>
      <c r="T56" s="2"/>
      <c r="U56" s="2"/>
      <c r="V56" s="2"/>
      <c r="W56" s="2"/>
      <c r="X56" s="2"/>
    </row>
    <row r="57" spans="1:24" s="24" customFormat="1" ht="44.25" customHeight="1">
      <c r="A57" s="2"/>
      <c r="B57" s="2"/>
      <c r="C57" s="1305" t="s">
        <v>2269</v>
      </c>
      <c r="D57" s="1304"/>
      <c r="E57" s="1304"/>
      <c r="F57" s="1304"/>
      <c r="G57" s="1304"/>
      <c r="H57" s="1304"/>
      <c r="I57" s="1304"/>
      <c r="J57" s="2"/>
      <c r="K57" s="2"/>
      <c r="L57" s="2"/>
      <c r="M57" s="2"/>
      <c r="N57" s="2"/>
      <c r="T57" s="2"/>
      <c r="U57" s="2"/>
      <c r="V57" s="2"/>
      <c r="W57" s="2"/>
      <c r="X57" s="2"/>
    </row>
    <row r="58" spans="1:24" s="24" customFormat="1">
      <c r="A58" s="2"/>
      <c r="B58" s="2"/>
      <c r="C58" s="1427" t="e">
        <f ca="1">"Details of financial assets and financial liabilities which were valued at fair value as of "&amp;Current_Date&amp;" and "&amp;Previous_Date&amp; " are disclosed in Note "&amp;B8</f>
        <v>#NAME?</v>
      </c>
      <c r="D58" s="1428"/>
      <c r="E58" s="1428"/>
      <c r="F58" s="1428"/>
      <c r="G58" s="1428"/>
      <c r="H58" s="1428"/>
      <c r="I58" s="1428"/>
      <c r="J58" s="2"/>
      <c r="K58" s="2"/>
      <c r="L58" s="2"/>
      <c r="M58" s="2"/>
      <c r="N58" s="2"/>
      <c r="T58" s="2"/>
      <c r="U58" s="2"/>
      <c r="V58" s="2"/>
      <c r="W58" s="2"/>
      <c r="X58" s="2"/>
    </row>
    <row r="60" spans="1:24" s="24" customFormat="1">
      <c r="A60" s="2"/>
      <c r="B60" s="1123">
        <f>NTA!F188</f>
        <v>61.300000000000004</v>
      </c>
      <c r="C60" s="1123" t="str">
        <f>NTA!C188</f>
        <v>Financial Risk Management Framework</v>
      </c>
      <c r="D60" s="2"/>
      <c r="E60" s="2"/>
      <c r="F60" s="2"/>
      <c r="G60" s="2"/>
      <c r="H60" s="2"/>
      <c r="I60" s="2"/>
      <c r="J60" s="2"/>
      <c r="K60" s="559"/>
      <c r="L60" s="559"/>
      <c r="M60" s="559" t="s">
        <v>172</v>
      </c>
      <c r="N60" s="295" t="s">
        <v>171</v>
      </c>
      <c r="O60" s="295" t="s">
        <v>170</v>
      </c>
      <c r="P60" s="295" t="s">
        <v>2241</v>
      </c>
      <c r="T60" s="2"/>
      <c r="U60" s="2"/>
      <c r="V60" s="2"/>
      <c r="W60" s="2"/>
      <c r="X60" s="2"/>
    </row>
    <row r="61" spans="1:24" s="24" customFormat="1" ht="102.75" customHeight="1">
      <c r="A61" s="2"/>
      <c r="B61" s="2"/>
      <c r="C61" s="1305" t="s">
        <v>2270</v>
      </c>
      <c r="D61" s="1304"/>
      <c r="E61" s="1304"/>
      <c r="F61" s="1304"/>
      <c r="G61" s="1304"/>
      <c r="H61" s="1304"/>
      <c r="I61" s="1304"/>
      <c r="J61" s="2"/>
      <c r="K61" s="2"/>
      <c r="L61" s="2"/>
      <c r="M61" s="2"/>
      <c r="N61" s="2"/>
      <c r="T61" s="2"/>
      <c r="U61" s="2"/>
      <c r="V61" s="2"/>
      <c r="W61" s="2"/>
      <c r="X61" s="2"/>
    </row>
    <row r="62" spans="1:24" s="24" customFormat="1">
      <c r="A62" s="2"/>
      <c r="B62" s="2"/>
      <c r="C62" s="952" t="s">
        <v>2271</v>
      </c>
      <c r="D62" s="25" t="s">
        <v>2272</v>
      </c>
      <c r="E62" s="2"/>
      <c r="F62" s="2"/>
      <c r="G62" s="2"/>
      <c r="H62" s="2"/>
      <c r="I62" s="2"/>
      <c r="J62" s="2"/>
      <c r="K62" s="559"/>
      <c r="L62" s="559"/>
      <c r="M62" s="559" t="s">
        <v>172</v>
      </c>
      <c r="N62" s="295" t="s">
        <v>171</v>
      </c>
      <c r="O62" s="295" t="s">
        <v>170</v>
      </c>
      <c r="P62" s="295" t="s">
        <v>2241</v>
      </c>
      <c r="T62" s="2"/>
      <c r="U62" s="2"/>
      <c r="V62" s="2"/>
      <c r="W62" s="2"/>
      <c r="X62" s="2"/>
    </row>
    <row r="63" spans="1:24" s="24" customFormat="1" ht="6.75" customHeight="1">
      <c r="A63" s="2"/>
      <c r="B63" s="2"/>
      <c r="C63" s="25"/>
      <c r="D63" s="2"/>
      <c r="E63" s="2"/>
      <c r="F63" s="2"/>
      <c r="G63" s="2"/>
      <c r="H63" s="2"/>
      <c r="I63" s="2"/>
      <c r="J63" s="2"/>
      <c r="K63" s="2"/>
      <c r="L63" s="2"/>
      <c r="M63" s="2"/>
      <c r="N63" s="2"/>
      <c r="T63" s="2"/>
      <c r="U63" s="2"/>
      <c r="V63" s="2"/>
      <c r="W63" s="2"/>
      <c r="X63" s="2"/>
    </row>
    <row r="64" spans="1:24" s="24" customFormat="1" ht="80.25" customHeight="1">
      <c r="A64" s="2"/>
      <c r="B64" s="2"/>
      <c r="C64" s="2"/>
      <c r="D64" s="1305" t="s">
        <v>2273</v>
      </c>
      <c r="E64" s="1305"/>
      <c r="F64" s="1305"/>
      <c r="G64" s="1305"/>
      <c r="H64" s="1305"/>
      <c r="I64" s="1305"/>
      <c r="J64" s="2"/>
      <c r="K64" s="2"/>
      <c r="L64" s="2"/>
      <c r="M64" s="2"/>
      <c r="N64" s="2"/>
      <c r="T64" s="2"/>
      <c r="U64" s="2"/>
      <c r="V64" s="2"/>
      <c r="W64" s="2"/>
      <c r="X64" s="2"/>
    </row>
    <row r="65" spans="1:24" s="24" customFormat="1">
      <c r="A65" s="2"/>
      <c r="B65" s="2"/>
      <c r="C65" s="2"/>
      <c r="D65" s="25" t="s">
        <v>2274</v>
      </c>
      <c r="E65" s="2"/>
      <c r="F65" s="2"/>
      <c r="G65" s="2"/>
      <c r="H65" s="2"/>
      <c r="I65" s="2"/>
      <c r="J65" s="2"/>
      <c r="K65" s="559"/>
      <c r="L65" s="559"/>
      <c r="M65" s="559" t="s">
        <v>172</v>
      </c>
      <c r="N65" s="295" t="s">
        <v>171</v>
      </c>
      <c r="O65" s="295" t="s">
        <v>170</v>
      </c>
      <c r="P65" s="295" t="s">
        <v>2241</v>
      </c>
      <c r="T65" s="2"/>
      <c r="U65" s="2"/>
      <c r="V65" s="2"/>
      <c r="W65" s="2"/>
      <c r="X65" s="2"/>
    </row>
    <row r="66" spans="1:24" s="24" customFormat="1" ht="27" customHeight="1">
      <c r="A66" s="2"/>
      <c r="B66" s="2"/>
      <c r="C66" s="2"/>
      <c r="D66" s="1305" t="s">
        <v>2275</v>
      </c>
      <c r="E66" s="1305"/>
      <c r="F66" s="1305"/>
      <c r="G66" s="1305"/>
      <c r="H66" s="1305"/>
      <c r="I66" s="1305"/>
      <c r="J66" s="2"/>
      <c r="K66" s="2"/>
      <c r="L66" s="2"/>
      <c r="M66" s="2"/>
      <c r="N66" s="2"/>
      <c r="T66" s="2"/>
      <c r="U66" s="2"/>
      <c r="V66" s="2"/>
      <c r="W66" s="2"/>
      <c r="X66" s="2"/>
    </row>
    <row r="67" spans="1:24" s="24" customFormat="1" ht="8.25" customHeight="1">
      <c r="A67" s="2"/>
      <c r="B67" s="2"/>
      <c r="C67" s="1244"/>
      <c r="D67" s="1246"/>
      <c r="E67" s="1246"/>
      <c r="F67" s="1246"/>
      <c r="G67" s="1246"/>
      <c r="H67" s="1246"/>
      <c r="I67" s="1246"/>
      <c r="J67" s="2"/>
      <c r="K67" s="2"/>
      <c r="L67" s="2"/>
      <c r="M67" s="2"/>
      <c r="N67" s="2"/>
      <c r="T67" s="2"/>
      <c r="U67" s="2"/>
      <c r="V67" s="2"/>
      <c r="W67" s="2"/>
      <c r="X67" s="2"/>
    </row>
    <row r="68" spans="1:24" s="24" customFormat="1" ht="53.25" customHeight="1">
      <c r="A68" s="2"/>
      <c r="B68" s="2"/>
      <c r="C68" s="2"/>
      <c r="D68" s="1305" t="s">
        <v>2276</v>
      </c>
      <c r="E68" s="1305"/>
      <c r="F68" s="1305"/>
      <c r="G68" s="1305"/>
      <c r="H68" s="1305"/>
      <c r="I68" s="1305"/>
      <c r="J68" s="2"/>
      <c r="K68" s="2"/>
      <c r="L68" s="2"/>
      <c r="M68" s="2"/>
      <c r="N68" s="2"/>
      <c r="T68" s="2"/>
      <c r="U68" s="2"/>
      <c r="V68" s="2"/>
      <c r="W68" s="2"/>
      <c r="X68" s="2"/>
    </row>
    <row r="69" spans="1:24" s="24" customFormat="1">
      <c r="A69" s="2"/>
      <c r="B69" s="2"/>
      <c r="C69" s="2"/>
      <c r="D69" s="1280"/>
      <c r="E69" s="1280"/>
      <c r="F69" s="1280"/>
      <c r="G69" s="1280"/>
      <c r="H69" s="1280"/>
      <c r="I69" s="1124" t="str">
        <f>'Master Sheet'!$C$65</f>
        <v>(Amount in INR)</v>
      </c>
      <c r="J69" s="2"/>
      <c r="K69" s="2"/>
      <c r="L69" s="2"/>
      <c r="M69" s="2"/>
      <c r="N69" s="2"/>
      <c r="T69" s="2"/>
      <c r="U69" s="2"/>
      <c r="V69" s="2"/>
      <c r="W69" s="2"/>
      <c r="X69" s="2"/>
    </row>
    <row r="70" spans="1:24" s="24" customFormat="1" ht="24.75" customHeight="1">
      <c r="A70" s="2"/>
      <c r="B70" s="2"/>
      <c r="C70" s="2"/>
      <c r="D70" s="1488" t="s">
        <v>500</v>
      </c>
      <c r="E70" s="1489"/>
      <c r="F70" s="509" t="s">
        <v>1020</v>
      </c>
      <c r="G70" s="509" t="s">
        <v>2277</v>
      </c>
      <c r="H70" s="509" t="s">
        <v>2278</v>
      </c>
      <c r="I70" s="510" t="s">
        <v>246</v>
      </c>
      <c r="J70" s="2"/>
      <c r="K70" s="2"/>
      <c r="L70" s="2"/>
      <c r="M70" s="2"/>
      <c r="N70" s="2"/>
      <c r="T70" s="2"/>
      <c r="U70" s="2"/>
      <c r="V70" s="2"/>
      <c r="W70" s="2"/>
      <c r="X70" s="2"/>
    </row>
    <row r="71" spans="1:24" s="24" customFormat="1" ht="15" customHeight="1">
      <c r="A71" s="2"/>
      <c r="B71" s="2"/>
      <c r="C71" s="2"/>
      <c r="D71" s="1222" t="e">
        <f ca="1">BS_CY</f>
        <v>#NAME?</v>
      </c>
      <c r="E71" s="488"/>
      <c r="F71" s="489"/>
      <c r="G71" s="489"/>
      <c r="H71" s="489"/>
      <c r="I71" s="490"/>
      <c r="J71" s="2"/>
      <c r="K71" s="2"/>
      <c r="L71" s="2"/>
      <c r="M71" s="2"/>
      <c r="N71" s="2"/>
      <c r="T71" s="2"/>
      <c r="U71" s="2"/>
      <c r="V71" s="2"/>
      <c r="W71" s="2"/>
      <c r="X71" s="2"/>
    </row>
    <row r="72" spans="1:24" s="24" customFormat="1" ht="15" customHeight="1">
      <c r="A72" s="2"/>
      <c r="B72" s="2"/>
      <c r="C72" s="2"/>
      <c r="D72" s="491" t="s">
        <v>2279</v>
      </c>
      <c r="E72" s="492"/>
      <c r="F72" s="1223">
        <f ca="1">IFERROR(INDEX(INDIRECT(VLOOKUP($T72,Source_Master,2,0),),MATCH(TEXT(P72,0),INDIRECT(VLOOKUP($T72,Source_Master,4,0)),0),MATCH($G$1,INDIRECT(VLOOKUP($T72,Source_Master,3,0),),0)),0)</f>
        <v>0</v>
      </c>
      <c r="G72" s="1223">
        <f ca="1">IFERROR(INDEX(INDIRECT(VLOOKUP($T72,Source_Master,2,0),),MATCH(TEXT(Q72,0),INDIRECT(VLOOKUP($T72,Source_Master,4,0)),0),MATCH($G$1,INDIRECT(VLOOKUP($T72,Source_Master,3,0),),0)),0)</f>
        <v>0</v>
      </c>
      <c r="H72" s="1223">
        <f ca="1">IFERROR(INDEX(INDIRECT(VLOOKUP($T72,Source_Master,2,0),),MATCH(TEXT(R72,0),INDIRECT(VLOOKUP($T72,Source_Master,4,0)),0),MATCH($G$1,INDIRECT(VLOOKUP($T72,Source_Master,3,0),),0)),0)</f>
        <v>0</v>
      </c>
      <c r="I72" s="493">
        <f ca="1">SUM(F72:H72)</f>
        <v>0</v>
      </c>
      <c r="J72" s="2"/>
      <c r="K72" s="2"/>
      <c r="L72" s="2"/>
      <c r="M72" s="2" t="str">
        <f ca="1">IF(AND(F72=0,G72=0,H72=0,I72=0),"##H","")</f>
        <v>##H</v>
      </c>
      <c r="N72" s="2"/>
      <c r="P72" s="24" t="s">
        <v>2280</v>
      </c>
      <c r="Q72" s="24" t="s">
        <v>2281</v>
      </c>
      <c r="R72" s="24" t="s">
        <v>2282</v>
      </c>
      <c r="T72" s="15" t="s">
        <v>2283</v>
      </c>
      <c r="U72" s="2"/>
      <c r="V72" s="2"/>
      <c r="W72" s="2"/>
      <c r="X72" s="2"/>
    </row>
    <row r="73" spans="1:24" s="24" customFormat="1" ht="15" customHeight="1">
      <c r="A73" s="2"/>
      <c r="B73" s="2"/>
      <c r="C73" s="2"/>
      <c r="D73" s="491" t="s">
        <v>2284</v>
      </c>
      <c r="E73" s="492"/>
      <c r="F73" s="1224">
        <f ca="1">IFERROR(INDEX(INDIRECT(VLOOKUP($T72,Source_Master,2,0),),MATCH(TEXT(P73,0),INDIRECT(VLOOKUP($T72,Source_Master,4,0)),0),MATCH($G$1,INDIRECT(VLOOKUP($T72,Source_Master,3,0),),0)),0)</f>
        <v>0</v>
      </c>
      <c r="G73" s="1224">
        <f ca="1">IFERROR(INDEX(INDIRECT(VLOOKUP($T72,Source_Master,2,0),),MATCH(TEXT(Q73,0),INDIRECT(VLOOKUP($T72,Source_Master,4,0)),0),MATCH($G$1,INDIRECT(VLOOKUP($T72,Source_Master,3,0),),0)),0)</f>
        <v>0</v>
      </c>
      <c r="H73" s="1224">
        <f ca="1">IFERROR(INDEX(INDIRECT(VLOOKUP($T72,Source_Master,2,0),),MATCH(TEXT(R73,0),INDIRECT(VLOOKUP($T72,Source_Master,4,0)),0),MATCH($G$1,INDIRECT(VLOOKUP($T72,Source_Master,3,0),),0)),0)</f>
        <v>0</v>
      </c>
      <c r="I73" s="501">
        <f ca="1">SUM(F73:H73)</f>
        <v>0</v>
      </c>
      <c r="J73" s="2"/>
      <c r="K73" s="2"/>
      <c r="L73" s="2"/>
      <c r="M73" s="2" t="str">
        <f t="shared" ref="M73:M74" ca="1" si="3">IF(AND(F73=0,G73=0,H73=0,I73=0),"##H","")</f>
        <v>##H</v>
      </c>
      <c r="N73" s="2"/>
      <c r="P73" s="24" t="s">
        <v>2285</v>
      </c>
      <c r="Q73" s="24" t="s">
        <v>2286</v>
      </c>
      <c r="R73" s="24" t="s">
        <v>2287</v>
      </c>
      <c r="T73" s="2"/>
      <c r="U73" s="2"/>
      <c r="V73" s="2"/>
      <c r="W73" s="2"/>
      <c r="X73" s="2"/>
    </row>
    <row r="74" spans="1:24" s="24" customFormat="1" ht="15" customHeight="1">
      <c r="A74" s="2"/>
      <c r="B74" s="2"/>
      <c r="C74" s="2"/>
      <c r="D74" s="499" t="s">
        <v>246</v>
      </c>
      <c r="E74" s="508"/>
      <c r="F74" s="504">
        <f ca="1">SUM(F72:F73)</f>
        <v>0</v>
      </c>
      <c r="G74" s="504">
        <f t="shared" ref="G74:I74" ca="1" si="4">SUM(G72:G73)</f>
        <v>0</v>
      </c>
      <c r="H74" s="504">
        <f t="shared" ca="1" si="4"/>
        <v>0</v>
      </c>
      <c r="I74" s="505">
        <f t="shared" ca="1" si="4"/>
        <v>0</v>
      </c>
      <c r="J74" s="2"/>
      <c r="K74" s="2"/>
      <c r="L74" s="2"/>
      <c r="M74" s="2" t="str">
        <f t="shared" ca="1" si="3"/>
        <v>##H</v>
      </c>
      <c r="N74" s="2"/>
      <c r="T74" s="2"/>
      <c r="U74" s="2"/>
      <c r="V74" s="2"/>
      <c r="W74" s="2"/>
      <c r="X74" s="2"/>
    </row>
    <row r="75" spans="1:24" s="24" customFormat="1" ht="15" customHeight="1">
      <c r="A75" s="2"/>
      <c r="B75" s="2"/>
      <c r="C75" s="2"/>
      <c r="D75" s="506"/>
      <c r="E75" s="507"/>
      <c r="F75" s="502"/>
      <c r="G75" s="502"/>
      <c r="H75" s="502"/>
      <c r="I75" s="503"/>
      <c r="J75" s="2"/>
      <c r="K75" s="2"/>
      <c r="L75" s="2"/>
      <c r="M75" s="2"/>
      <c r="N75" s="2"/>
      <c r="T75" s="2"/>
      <c r="U75" s="2"/>
      <c r="V75" s="2"/>
      <c r="W75" s="2"/>
      <c r="X75" s="2"/>
    </row>
    <row r="76" spans="1:24" s="24" customFormat="1" ht="15" customHeight="1">
      <c r="A76" s="2"/>
      <c r="B76" s="2"/>
      <c r="C76" s="2"/>
      <c r="D76" s="1225" t="e">
        <f ca="1">BS_PY</f>
        <v>#NAME?</v>
      </c>
      <c r="E76" s="494"/>
      <c r="F76" s="495"/>
      <c r="G76" s="495"/>
      <c r="H76" s="495"/>
      <c r="I76" s="496"/>
      <c r="J76" s="2"/>
      <c r="K76" s="2"/>
      <c r="L76" s="2"/>
      <c r="M76" s="2"/>
      <c r="N76" s="2"/>
      <c r="T76" s="2"/>
      <c r="U76" s="2"/>
      <c r="V76" s="2"/>
      <c r="W76" s="2"/>
      <c r="X76" s="2"/>
    </row>
    <row r="77" spans="1:24" s="24" customFormat="1" ht="15" hidden="1" customHeight="1">
      <c r="A77" s="2"/>
      <c r="B77" s="2"/>
      <c r="C77" s="2"/>
      <c r="D77" s="491" t="s">
        <v>2279</v>
      </c>
      <c r="E77" s="497"/>
      <c r="F77" s="1223">
        <f ca="1">IFERROR(INDEX(INDIRECT(VLOOKUP($T72,Source_Master,2,0),),MATCH(TEXT(P72,0),INDIRECT(VLOOKUP($T72,Source_Master,4,0)),0),MATCH($I$1,INDIRECT(VLOOKUP($T72,Source_Master,3,0),),0)),0)</f>
        <v>0</v>
      </c>
      <c r="G77" s="1223">
        <f ca="1">IFERROR(INDEX(INDIRECT(VLOOKUP($T72,Source_Master,2,0),),MATCH(TEXT(Q72,0),INDIRECT(VLOOKUP($T72,Source_Master,4,0)),0),MATCH($I$1,INDIRECT(VLOOKUP($T72,Source_Master,3,0),),0)),0)</f>
        <v>0</v>
      </c>
      <c r="H77" s="1223">
        <f ca="1">IFERROR(INDEX(INDIRECT(VLOOKUP($T72,Source_Master,2,0),),MATCH(TEXT(R72,0),INDIRECT(VLOOKUP($T72,Source_Master,4,0)),0),MATCH($I$1,INDIRECT(VLOOKUP($T72,Source_Master,3,0),),0)),0)</f>
        <v>0</v>
      </c>
      <c r="I77" s="493">
        <f ca="1">SUM(F77:H77)</f>
        <v>0</v>
      </c>
      <c r="J77" s="2"/>
      <c r="K77" s="2"/>
      <c r="L77" s="2"/>
      <c r="M77" s="2" t="str">
        <f t="shared" ref="M77:M79" ca="1" si="5">IF(AND(F77=0,G77=0,H77=0,I77=0),"##H","")</f>
        <v>##H</v>
      </c>
      <c r="N77" s="2"/>
      <c r="T77" s="2"/>
      <c r="U77" s="2"/>
      <c r="V77" s="2"/>
      <c r="W77" s="2"/>
      <c r="X77" s="2"/>
    </row>
    <row r="78" spans="1:24" ht="15" hidden="1" customHeight="1">
      <c r="D78" s="491" t="s">
        <v>2284</v>
      </c>
      <c r="E78" s="498"/>
      <c r="F78" s="1224">
        <f ca="1">IFERROR(INDEX(INDIRECT(VLOOKUP($T72,Source_Master,2,0),),MATCH(TEXT(P73,0),INDIRECT(VLOOKUP($T72,Source_Master,4,0)),0),MATCH($I$1,INDIRECT(VLOOKUP($T72,Source_Master,3,0),),0)),0)</f>
        <v>0</v>
      </c>
      <c r="G78" s="1224">
        <f ca="1">IFERROR(INDEX(INDIRECT(VLOOKUP($T72,Source_Master,2,0),),MATCH(TEXT(Q73,0),INDIRECT(VLOOKUP($T72,Source_Master,4,0)),0),MATCH($I$1,INDIRECT(VLOOKUP($T72,Source_Master,3,0),),0)),0)</f>
        <v>0</v>
      </c>
      <c r="H78" s="1224">
        <f ca="1">IFERROR(INDEX(INDIRECT(VLOOKUP($T72,Source_Master,2,0),),MATCH(TEXT(R73,0),INDIRECT(VLOOKUP($T72,Source_Master,4,0)),0),MATCH($I$1,INDIRECT(VLOOKUP($T72,Source_Master,3,0),),0)),0)</f>
        <v>0</v>
      </c>
      <c r="I78" s="501">
        <f ca="1">SUM(F78:H78)</f>
        <v>0</v>
      </c>
      <c r="M78" s="2" t="str">
        <f t="shared" ca="1" si="5"/>
        <v>##H</v>
      </c>
    </row>
    <row r="79" spans="1:24" ht="15" hidden="1" customHeight="1">
      <c r="D79" s="499" t="s">
        <v>246</v>
      </c>
      <c r="E79" s="500"/>
      <c r="F79" s="504">
        <f ca="1">SUM(F77:F78)</f>
        <v>0</v>
      </c>
      <c r="G79" s="504">
        <f t="shared" ref="G79:I79" ca="1" si="6">SUM(G77:G78)</f>
        <v>0</v>
      </c>
      <c r="H79" s="504">
        <f t="shared" ca="1" si="6"/>
        <v>0</v>
      </c>
      <c r="I79" s="505">
        <f t="shared" ca="1" si="6"/>
        <v>0</v>
      </c>
      <c r="M79" s="2" t="str">
        <f t="shared" ca="1" si="5"/>
        <v>##H</v>
      </c>
    </row>
    <row r="81" spans="1:24" ht="26.25" customHeight="1">
      <c r="D81" s="1305" t="s">
        <v>2288</v>
      </c>
      <c r="E81" s="1304"/>
      <c r="F81" s="1304"/>
      <c r="G81" s="1304"/>
      <c r="H81" s="1304"/>
      <c r="I81" s="1304"/>
    </row>
    <row r="82" spans="1:24">
      <c r="D82" s="1244"/>
      <c r="E82" s="1246"/>
      <c r="F82" s="1246"/>
      <c r="G82" s="1246"/>
      <c r="H82" s="1246"/>
      <c r="I82" s="1124" t="str">
        <f>'Master Sheet'!$C$65</f>
        <v>(Amount in INR)</v>
      </c>
    </row>
    <row r="83" spans="1:24" ht="26.25" customHeight="1">
      <c r="D83" s="1488" t="s">
        <v>500</v>
      </c>
      <c r="E83" s="1489"/>
      <c r="F83" s="509" t="s">
        <v>1020</v>
      </c>
      <c r="G83" s="509" t="s">
        <v>2277</v>
      </c>
      <c r="H83" s="509" t="s">
        <v>2278</v>
      </c>
      <c r="I83" s="510" t="s">
        <v>246</v>
      </c>
    </row>
    <row r="84" spans="1:24" ht="15" customHeight="1">
      <c r="D84" s="1222" t="e">
        <f ca="1">BS_CY</f>
        <v>#NAME?</v>
      </c>
      <c r="E84" s="488"/>
      <c r="F84" s="489"/>
      <c r="G84" s="489"/>
      <c r="H84" s="489"/>
      <c r="I84" s="490"/>
    </row>
    <row r="85" spans="1:24" ht="15" customHeight="1">
      <c r="D85" s="491" t="s">
        <v>2279</v>
      </c>
      <c r="E85" s="492"/>
      <c r="F85" s="1223">
        <f ca="1">IFERROR(INDEX(INDIRECT(VLOOKUP($T72,Source_Master,2,0),),MATCH(TEXT(P85,0),INDIRECT(VLOOKUP($T72,Source_Master,4,0)),0),MATCH($G$1,INDIRECT(VLOOKUP($T72,Source_Master,3,0),),0)),0)</f>
        <v>0</v>
      </c>
      <c r="G85" s="1223">
        <f ca="1">IFERROR(INDEX(INDIRECT(VLOOKUP($T72,Source_Master,2,0),),MATCH(TEXT(Q85,0),INDIRECT(VLOOKUP($T72,Source_Master,4,0)),0),MATCH($G$1,INDIRECT(VLOOKUP($T72,Source_Master,3,0),),0)),0)</f>
        <v>0</v>
      </c>
      <c r="H85" s="1223">
        <f ca="1">IFERROR(INDEX(INDIRECT(VLOOKUP($T72,Source_Master,2,0),),MATCH(TEXT(R85,0),INDIRECT(VLOOKUP($T72,Source_Master,4,0)),0),MATCH($G$1,INDIRECT(VLOOKUP($T72,Source_Master,3,0),),0)),0)</f>
        <v>0</v>
      </c>
      <c r="I85" s="493">
        <f ca="1">SUM(F85:H85)</f>
        <v>0</v>
      </c>
      <c r="M85" s="2" t="str">
        <f t="shared" ref="M85:M92" ca="1" si="7">IF(AND(F85=0,G85=0,H85=0,I85=0),"##H","")</f>
        <v>##H</v>
      </c>
      <c r="P85" s="24" t="s">
        <v>2289</v>
      </c>
      <c r="Q85" s="24" t="s">
        <v>2290</v>
      </c>
      <c r="R85" s="24" t="s">
        <v>2291</v>
      </c>
    </row>
    <row r="86" spans="1:24" ht="15" customHeight="1">
      <c r="D86" s="491" t="s">
        <v>2284</v>
      </c>
      <c r="E86" s="492"/>
      <c r="F86" s="1224">
        <f ca="1">IFERROR(INDEX(INDIRECT(VLOOKUP($T72,Source_Master,2,0),),MATCH(TEXT(P86,0),INDIRECT(VLOOKUP($T72,Source_Master,4,0)),0),MATCH($G$1,INDIRECT(VLOOKUP($T72,Source_Master,3,0),),0)),0)</f>
        <v>0</v>
      </c>
      <c r="G86" s="1224">
        <f ca="1">IFERROR(INDEX(INDIRECT(VLOOKUP($T72,Source_Master,2,0),),MATCH(TEXT(Q86,0),INDIRECT(VLOOKUP($T72,Source_Master,4,0)),0),MATCH($G$1,INDIRECT(VLOOKUP($T72,Source_Master,3,0),),0)),0)</f>
        <v>0</v>
      </c>
      <c r="H86" s="1224">
        <f ca="1">IFERROR(INDEX(INDIRECT(VLOOKUP($T72,Source_Master,2,0),),MATCH(TEXT(R86,0),INDIRECT(VLOOKUP($T72,Source_Master,4,0)),0),MATCH($G$1,INDIRECT(VLOOKUP($T72,Source_Master,3,0),),0)),0)</f>
        <v>0</v>
      </c>
      <c r="I86" s="501">
        <f ca="1">SUM(F86:H86)</f>
        <v>0</v>
      </c>
      <c r="M86" s="2" t="str">
        <f t="shared" ca="1" si="7"/>
        <v>##H</v>
      </c>
      <c r="P86" s="24" t="s">
        <v>2292</v>
      </c>
      <c r="Q86" s="24" t="s">
        <v>2293</v>
      </c>
      <c r="R86" s="24" t="s">
        <v>2294</v>
      </c>
    </row>
    <row r="87" spans="1:24" ht="15" customHeight="1">
      <c r="D87" s="499" t="s">
        <v>246</v>
      </c>
      <c r="E87" s="508"/>
      <c r="F87" s="504">
        <f ca="1">SUM(F85:F86)</f>
        <v>0</v>
      </c>
      <c r="G87" s="504">
        <f t="shared" ref="G87:I87" ca="1" si="8">SUM(G85:G86)</f>
        <v>0</v>
      </c>
      <c r="H87" s="504">
        <f t="shared" ca="1" si="8"/>
        <v>0</v>
      </c>
      <c r="I87" s="505">
        <f t="shared" ca="1" si="8"/>
        <v>0</v>
      </c>
      <c r="M87" s="2" t="str">
        <f t="shared" ca="1" si="7"/>
        <v>##H</v>
      </c>
    </row>
    <row r="88" spans="1:24" ht="15" hidden="1" customHeight="1">
      <c r="D88" s="506"/>
      <c r="E88" s="507"/>
      <c r="F88" s="502"/>
      <c r="G88" s="502"/>
      <c r="H88" s="502"/>
      <c r="I88" s="503"/>
      <c r="M88" s="2" t="str">
        <f t="shared" si="7"/>
        <v>##H</v>
      </c>
    </row>
    <row r="89" spans="1:24" ht="15" hidden="1" customHeight="1">
      <c r="D89" s="1225" t="e">
        <f ca="1">BS_PY</f>
        <v>#NAME?</v>
      </c>
      <c r="E89" s="494"/>
      <c r="F89" s="495"/>
      <c r="G89" s="495"/>
      <c r="H89" s="495"/>
      <c r="I89" s="496"/>
      <c r="M89" s="2" t="str">
        <f t="shared" si="7"/>
        <v>##H</v>
      </c>
    </row>
    <row r="90" spans="1:24" ht="15" hidden="1" customHeight="1">
      <c r="D90" s="491" t="s">
        <v>2279</v>
      </c>
      <c r="E90" s="497"/>
      <c r="F90" s="1223">
        <f ca="1">IFERROR(INDEX(INDIRECT(VLOOKUP($T72,Source_Master,2,0),),MATCH(TEXT(P85,0),INDIRECT(VLOOKUP($T72,Source_Master,4,0)),0),MATCH($I$1,INDIRECT(VLOOKUP($T72,Source_Master,3,0),),0)),0)</f>
        <v>0</v>
      </c>
      <c r="G90" s="1223">
        <f ca="1">IFERROR(INDEX(INDIRECT(VLOOKUP($T72,Source_Master,2,0),),MATCH(TEXT(Q85,0),INDIRECT(VLOOKUP($T72,Source_Master,4,0)),0),MATCH($I$1,INDIRECT(VLOOKUP($T72,Source_Master,3,0),),0)),0)</f>
        <v>0</v>
      </c>
      <c r="H90" s="1223">
        <f ca="1">IFERROR(INDEX(INDIRECT(VLOOKUP($T72,Source_Master,2,0),),MATCH(TEXT(R85,0),INDIRECT(VLOOKUP($T72,Source_Master,4,0)),0),MATCH($I$1,INDIRECT(VLOOKUP($T72,Source_Master,3,0),),0)),0)</f>
        <v>0</v>
      </c>
      <c r="I90" s="493">
        <f ca="1">SUM(F90:H90)</f>
        <v>0</v>
      </c>
      <c r="M90" s="2" t="str">
        <f t="shared" ca="1" si="7"/>
        <v>##H</v>
      </c>
    </row>
    <row r="91" spans="1:24" ht="15" hidden="1" customHeight="1">
      <c r="D91" s="491" t="s">
        <v>2284</v>
      </c>
      <c r="E91" s="498"/>
      <c r="F91" s="1224">
        <f ca="1">IFERROR(INDEX(INDIRECT(VLOOKUP($T72,Source_Master,2,0),),MATCH(TEXT(P86,0),INDIRECT(VLOOKUP($T72,Source_Master,4,0)),0),MATCH($I$1,INDIRECT(VLOOKUP($T72,Source_Master,3,0),),0)),0)</f>
        <v>0</v>
      </c>
      <c r="G91" s="1224">
        <f ca="1">IFERROR(INDEX(INDIRECT(VLOOKUP($T72,Source_Master,2,0),),MATCH(TEXT(Q86,0),INDIRECT(VLOOKUP($T72,Source_Master,4,0)),0),MATCH($I$1,INDIRECT(VLOOKUP($T72,Source_Master,3,0),),0)),0)</f>
        <v>0</v>
      </c>
      <c r="H91" s="1224">
        <f ca="1">IFERROR(INDEX(INDIRECT(VLOOKUP($T72,Source_Master,2,0),),MATCH(TEXT(R86,0),INDIRECT(VLOOKUP($T72,Source_Master,4,0)),0),MATCH($I$1,INDIRECT(VLOOKUP($T72,Source_Master,3,0),),0)),0)</f>
        <v>0</v>
      </c>
      <c r="I91" s="501">
        <f ca="1">SUM(F91:H91)</f>
        <v>0</v>
      </c>
      <c r="M91" s="2" t="str">
        <f t="shared" ca="1" si="7"/>
        <v>##H</v>
      </c>
    </row>
    <row r="92" spans="1:24" ht="15" hidden="1" customHeight="1">
      <c r="D92" s="499" t="s">
        <v>246</v>
      </c>
      <c r="E92" s="500"/>
      <c r="F92" s="504">
        <f ca="1">SUM(F90:F91)</f>
        <v>0</v>
      </c>
      <c r="G92" s="504">
        <f t="shared" ref="G92:I92" ca="1" si="9">SUM(G90:G91)</f>
        <v>0</v>
      </c>
      <c r="H92" s="504">
        <f t="shared" ca="1" si="9"/>
        <v>0</v>
      </c>
      <c r="I92" s="505">
        <f t="shared" ca="1" si="9"/>
        <v>0</v>
      </c>
      <c r="M92" s="2" t="str">
        <f t="shared" ca="1" si="7"/>
        <v>##H</v>
      </c>
    </row>
    <row r="94" spans="1:24" s="24" customFormat="1">
      <c r="A94" s="2"/>
      <c r="B94" s="2"/>
      <c r="C94" s="292" t="s">
        <v>692</v>
      </c>
      <c r="D94" s="25" t="s">
        <v>2295</v>
      </c>
      <c r="E94" s="2"/>
      <c r="F94" s="2"/>
      <c r="G94" s="2"/>
      <c r="H94" s="2"/>
      <c r="I94" s="2"/>
      <c r="J94" s="2"/>
      <c r="K94" s="559"/>
      <c r="L94" s="559"/>
      <c r="M94" s="559" t="s">
        <v>172</v>
      </c>
      <c r="N94" s="295" t="s">
        <v>171</v>
      </c>
      <c r="O94" s="295" t="s">
        <v>170</v>
      </c>
      <c r="P94" s="295" t="s">
        <v>2241</v>
      </c>
      <c r="T94" s="2"/>
      <c r="U94" s="2"/>
      <c r="V94" s="2"/>
      <c r="W94" s="2"/>
      <c r="X94" s="2"/>
    </row>
    <row r="95" spans="1:24" s="24" customFormat="1" ht="94.5" customHeight="1">
      <c r="A95" s="2"/>
      <c r="B95" s="2"/>
      <c r="C95" s="2"/>
      <c r="D95" s="1305" t="s">
        <v>2296</v>
      </c>
      <c r="E95" s="1305"/>
      <c r="F95" s="1305"/>
      <c r="G95" s="1305"/>
      <c r="H95" s="1305"/>
      <c r="I95" s="1305"/>
      <c r="J95" s="2"/>
      <c r="K95" s="2"/>
      <c r="L95" s="2"/>
      <c r="M95" s="2"/>
      <c r="N95" s="2"/>
      <c r="T95" s="2"/>
      <c r="U95" s="2"/>
      <c r="V95" s="2"/>
      <c r="W95" s="2"/>
      <c r="X95" s="2"/>
    </row>
    <row r="96" spans="1:24" s="24" customFormat="1" ht="31.5" customHeight="1">
      <c r="A96" s="2"/>
      <c r="B96" s="2"/>
      <c r="C96" s="2"/>
      <c r="D96" s="1305" t="s">
        <v>2297</v>
      </c>
      <c r="E96" s="1305"/>
      <c r="F96" s="1305"/>
      <c r="G96" s="1305"/>
      <c r="H96" s="1305"/>
      <c r="I96" s="1305"/>
      <c r="J96" s="2"/>
      <c r="K96" s="2"/>
      <c r="L96" s="2"/>
      <c r="M96" s="2"/>
      <c r="N96" s="2"/>
      <c r="T96" s="2"/>
      <c r="U96" s="2"/>
      <c r="V96" s="2"/>
      <c r="W96" s="2"/>
      <c r="X96" s="2"/>
    </row>
    <row r="97" spans="1:24" s="24" customFormat="1">
      <c r="A97" s="2"/>
      <c r="B97" s="2"/>
      <c r="C97" s="2"/>
      <c r="D97" s="1045" t="str">
        <f>"Refer Note "&amp;'NT PL1'!A7&amp;"(Revenue from operations) and Note "&amp;'NT BS1'!A167&amp;"(Trade receivables) for the details in respect of revenue and receivable from top customers."</f>
        <v>Refer Note 41(Revenue from operations) and Note 18(Trade receivables) for the details in respect of revenue and receivable from top customers.</v>
      </c>
      <c r="E97" s="1242"/>
      <c r="F97" s="1242"/>
      <c r="G97" s="1258"/>
      <c r="H97" s="1242"/>
      <c r="I97" s="1242"/>
      <c r="J97" s="2"/>
      <c r="K97" s="2"/>
      <c r="L97" s="2"/>
      <c r="M97" s="2"/>
      <c r="N97" s="2"/>
      <c r="T97" s="2"/>
      <c r="U97" s="2"/>
      <c r="V97" s="2"/>
      <c r="W97" s="2"/>
      <c r="X97" s="2"/>
    </row>
    <row r="98" spans="1:24" s="24" customFormat="1" ht="31.5" customHeight="1">
      <c r="A98" s="2"/>
      <c r="B98" s="2"/>
      <c r="C98" s="2"/>
      <c r="D98" s="1305" t="s">
        <v>2298</v>
      </c>
      <c r="E98" s="1305"/>
      <c r="F98" s="1305"/>
      <c r="G98" s="1305"/>
      <c r="H98" s="1305"/>
      <c r="I98" s="1305"/>
      <c r="J98" s="2"/>
      <c r="K98" s="2"/>
      <c r="L98" s="2"/>
      <c r="M98" s="2"/>
      <c r="N98" s="2"/>
      <c r="T98" s="2"/>
      <c r="U98" s="2"/>
      <c r="V98" s="2"/>
      <c r="W98" s="2"/>
      <c r="X98" s="2"/>
    </row>
    <row r="99" spans="1:24" s="24" customFormat="1">
      <c r="A99" s="2"/>
      <c r="B99" s="2"/>
      <c r="C99" s="805" t="s">
        <v>2299</v>
      </c>
      <c r="D99" s="1241" t="s">
        <v>2300</v>
      </c>
      <c r="E99" s="1244"/>
      <c r="F99" s="1244"/>
      <c r="G99" s="1244"/>
      <c r="H99" s="1244"/>
      <c r="I99" s="1244"/>
      <c r="J99" s="2"/>
      <c r="K99" s="559"/>
      <c r="L99" s="2"/>
      <c r="M99" s="2"/>
      <c r="N99" s="2"/>
      <c r="T99" s="2"/>
      <c r="U99" s="2"/>
      <c r="V99" s="2"/>
      <c r="W99" s="2"/>
      <c r="X99" s="2"/>
    </row>
    <row r="100" spans="1:24" s="24" customFormat="1">
      <c r="A100" s="2"/>
      <c r="B100" s="2"/>
      <c r="C100" s="2"/>
      <c r="D100" s="1264" t="s">
        <v>2301</v>
      </c>
      <c r="E100" s="1244"/>
      <c r="F100" s="1244"/>
      <c r="G100" s="1244"/>
      <c r="H100" s="1244"/>
      <c r="I100" s="1244"/>
      <c r="J100" s="2"/>
      <c r="K100" s="2"/>
      <c r="L100" s="2"/>
      <c r="M100" s="2"/>
      <c r="N100" s="2"/>
      <c r="T100" s="2"/>
      <c r="U100" s="2"/>
      <c r="V100" s="2"/>
      <c r="W100" s="2"/>
      <c r="X100" s="2"/>
    </row>
    <row r="101" spans="1:24" s="24" customFormat="1">
      <c r="A101" s="2"/>
      <c r="B101" s="2"/>
      <c r="C101" s="2"/>
      <c r="D101" s="1264"/>
      <c r="E101" s="1244"/>
      <c r="F101" s="1244"/>
      <c r="G101" s="1124" t="str">
        <f>'Master Sheet'!$C$65</f>
        <v>(Amount in INR)</v>
      </c>
      <c r="H101" s="1244"/>
      <c r="I101" s="1244"/>
      <c r="J101" s="2"/>
      <c r="K101" s="2"/>
      <c r="L101" s="2"/>
      <c r="M101" s="2"/>
      <c r="N101" s="2"/>
      <c r="T101" s="2"/>
      <c r="U101" s="2"/>
      <c r="V101" s="2"/>
      <c r="W101" s="2"/>
      <c r="X101" s="2"/>
    </row>
    <row r="102" spans="1:24" s="24" customFormat="1">
      <c r="A102" s="2"/>
      <c r="B102" s="2"/>
      <c r="C102" s="2"/>
      <c r="D102" s="1453" t="s">
        <v>500</v>
      </c>
      <c r="E102" s="1453"/>
      <c r="F102" s="1272" t="e">
        <f ca="1">BS_CY</f>
        <v>#NAME?</v>
      </c>
      <c r="G102" s="1226" t="e">
        <f ca="1">BS_PY</f>
        <v>#NAME?</v>
      </c>
      <c r="H102" s="1244"/>
      <c r="I102" s="1244"/>
      <c r="J102" s="2"/>
      <c r="K102" s="2"/>
      <c r="L102" s="2"/>
      <c r="M102" s="2"/>
      <c r="N102" s="2"/>
      <c r="T102" s="2"/>
      <c r="U102" s="2"/>
      <c r="V102" s="2"/>
      <c r="W102" s="2"/>
      <c r="X102" s="2"/>
    </row>
    <row r="103" spans="1:24" s="24" customFormat="1" ht="15" hidden="1" customHeight="1">
      <c r="A103" s="2"/>
      <c r="B103" s="2"/>
      <c r="C103" s="2"/>
      <c r="D103" s="1251" t="s">
        <v>2302</v>
      </c>
      <c r="E103" s="1251"/>
      <c r="F103" s="396"/>
      <c r="G103" s="395"/>
      <c r="H103" s="1244"/>
      <c r="I103" s="1244"/>
      <c r="J103" s="2"/>
      <c r="K103" s="2"/>
      <c r="L103" s="2"/>
      <c r="M103" s="2" t="str">
        <f>IF(AND(F103=0,G103=0),"##H","")</f>
        <v>##H</v>
      </c>
      <c r="N103" s="2"/>
      <c r="T103" s="2"/>
      <c r="U103" s="2"/>
      <c r="V103" s="2"/>
      <c r="W103" s="2"/>
      <c r="X103" s="2"/>
    </row>
    <row r="104" spans="1:24" s="24" customFormat="1">
      <c r="A104" s="2"/>
      <c r="B104" s="2"/>
      <c r="C104" s="2"/>
      <c r="D104" s="1255"/>
      <c r="E104" s="1255"/>
      <c r="F104" s="953"/>
      <c r="G104" s="360"/>
      <c r="H104" s="1244"/>
      <c r="I104" s="1244"/>
      <c r="J104" s="2"/>
      <c r="K104" s="2"/>
      <c r="L104" s="2"/>
      <c r="M104" s="2"/>
      <c r="N104" s="2"/>
      <c r="T104" s="2"/>
      <c r="U104" s="2"/>
      <c r="V104" s="2"/>
      <c r="W104" s="2"/>
      <c r="X104" s="2"/>
    </row>
    <row r="105" spans="1:24" s="24" customFormat="1">
      <c r="A105" s="2"/>
      <c r="B105" s="2"/>
      <c r="C105" s="2"/>
      <c r="D105" s="1244"/>
      <c r="E105" s="1244"/>
      <c r="F105" s="1244"/>
      <c r="G105" s="1244"/>
      <c r="H105" s="1244"/>
      <c r="I105" s="1244"/>
      <c r="J105" s="2"/>
      <c r="K105" s="2"/>
      <c r="L105" s="2"/>
      <c r="M105" s="2"/>
      <c r="N105" s="2"/>
      <c r="T105" s="2"/>
      <c r="U105" s="2"/>
      <c r="V105" s="2"/>
      <c r="W105" s="2"/>
      <c r="X105" s="2"/>
    </row>
    <row r="106" spans="1:24" s="24" customFormat="1">
      <c r="A106" s="2"/>
      <c r="B106" s="2"/>
      <c r="C106" s="292" t="s">
        <v>849</v>
      </c>
      <c r="D106" s="25" t="s">
        <v>2303</v>
      </c>
      <c r="E106" s="2"/>
      <c r="F106" s="2"/>
      <c r="G106" s="2"/>
      <c r="H106" s="2"/>
      <c r="I106" s="2"/>
      <c r="J106" s="2"/>
      <c r="K106" s="559"/>
      <c r="L106" s="559"/>
      <c r="M106" s="559" t="s">
        <v>172</v>
      </c>
      <c r="N106" s="295" t="s">
        <v>171</v>
      </c>
      <c r="O106" s="295" t="s">
        <v>170</v>
      </c>
      <c r="P106" s="295" t="s">
        <v>2241</v>
      </c>
      <c r="T106" s="2"/>
      <c r="U106" s="2"/>
      <c r="V106" s="2"/>
      <c r="W106" s="2"/>
      <c r="X106" s="2"/>
    </row>
    <row r="107" spans="1:24" s="24" customFormat="1" ht="66.75" customHeight="1">
      <c r="A107" s="2"/>
      <c r="B107" s="2"/>
      <c r="C107" s="2"/>
      <c r="D107" s="1305" t="s">
        <v>2304</v>
      </c>
      <c r="E107" s="1305"/>
      <c r="F107" s="1305"/>
      <c r="G107" s="1305"/>
      <c r="H107" s="1305"/>
      <c r="I107" s="1305"/>
      <c r="J107" s="2"/>
      <c r="K107" s="2"/>
      <c r="L107" s="2"/>
      <c r="M107" s="2"/>
      <c r="N107" s="2"/>
      <c r="T107" s="2"/>
      <c r="U107" s="2"/>
      <c r="V107" s="2"/>
      <c r="W107" s="2"/>
      <c r="X107" s="2"/>
    </row>
    <row r="108" spans="1:24" s="24" customFormat="1">
      <c r="A108" s="2"/>
      <c r="B108" s="2"/>
      <c r="C108" s="805" t="s">
        <v>2305</v>
      </c>
      <c r="D108" s="25" t="s">
        <v>2306</v>
      </c>
      <c r="E108" s="2"/>
      <c r="F108" s="2"/>
      <c r="G108" s="2"/>
      <c r="H108" s="2"/>
      <c r="I108" s="2"/>
      <c r="J108" s="2"/>
      <c r="K108" s="559"/>
      <c r="L108" s="559"/>
      <c r="M108" s="559" t="s">
        <v>172</v>
      </c>
      <c r="N108" s="295" t="s">
        <v>171</v>
      </c>
      <c r="O108" s="295" t="s">
        <v>170</v>
      </c>
      <c r="P108" s="295" t="s">
        <v>2241</v>
      </c>
      <c r="T108" s="2"/>
      <c r="U108" s="2"/>
      <c r="V108" s="2"/>
      <c r="W108" s="2"/>
      <c r="X108" s="2"/>
    </row>
    <row r="109" spans="1:24" s="24" customFormat="1" ht="30.75" customHeight="1">
      <c r="A109" s="2"/>
      <c r="B109" s="2"/>
      <c r="C109" s="2"/>
      <c r="D109" s="1305" t="s">
        <v>2307</v>
      </c>
      <c r="E109" s="1305"/>
      <c r="F109" s="1305"/>
      <c r="G109" s="1305"/>
      <c r="H109" s="1305"/>
      <c r="I109" s="1305"/>
      <c r="J109" s="2"/>
      <c r="K109" s="2"/>
      <c r="L109" s="2"/>
      <c r="M109" s="2"/>
      <c r="N109" s="2"/>
      <c r="T109" s="2"/>
      <c r="U109" s="2"/>
      <c r="V109" s="2"/>
      <c r="W109" s="2"/>
      <c r="X109" s="2"/>
    </row>
    <row r="110" spans="1:24" s="24" customFormat="1">
      <c r="A110" s="2"/>
      <c r="B110" s="2"/>
      <c r="C110" s="2"/>
      <c r="D110" s="1311" t="s">
        <v>2308</v>
      </c>
      <c r="E110" s="1311"/>
      <c r="F110" s="1311"/>
      <c r="G110" s="1311"/>
      <c r="H110" s="1311"/>
      <c r="I110" s="1311"/>
      <c r="J110" s="2"/>
      <c r="K110" s="2"/>
      <c r="L110" s="2"/>
      <c r="M110" s="2"/>
      <c r="N110" s="2"/>
      <c r="T110" s="2"/>
      <c r="U110" s="2"/>
      <c r="V110" s="2"/>
      <c r="W110" s="2"/>
      <c r="X110" s="2"/>
    </row>
    <row r="112" spans="1:24">
      <c r="D112" s="25" t="s">
        <v>2309</v>
      </c>
      <c r="K112" s="559"/>
      <c r="L112" s="559"/>
      <c r="M112" s="559" t="s">
        <v>172</v>
      </c>
      <c r="N112" s="295" t="s">
        <v>170</v>
      </c>
      <c r="O112" s="295" t="s">
        <v>2241</v>
      </c>
    </row>
    <row r="113" spans="3:20" ht="6.75" customHeight="1"/>
    <row r="114" spans="3:20" ht="25.5" customHeight="1">
      <c r="D114" s="1305" t="s">
        <v>2310</v>
      </c>
      <c r="E114" s="1305"/>
      <c r="F114" s="1305"/>
      <c r="G114" s="1305"/>
      <c r="H114" s="1305"/>
      <c r="I114" s="1305"/>
    </row>
    <row r="116" spans="3:20">
      <c r="D116" s="25" t="s">
        <v>2311</v>
      </c>
      <c r="I116" s="1124" t="str">
        <f>'Master Sheet'!$C$65</f>
        <v>(Amount in INR)</v>
      </c>
    </row>
    <row r="117" spans="3:20" ht="18" customHeight="1">
      <c r="D117" s="1490" t="s">
        <v>500</v>
      </c>
      <c r="E117" s="1491"/>
      <c r="F117" s="1494" t="e">
        <f ca="1">BS_CY</f>
        <v>#NAME?</v>
      </c>
      <c r="G117" s="1495"/>
      <c r="H117" s="1496" t="e">
        <f ca="1">BS_PY</f>
        <v>#NAME?</v>
      </c>
      <c r="I117" s="1497"/>
    </row>
    <row r="118" spans="3:20" ht="38.25" customHeight="1">
      <c r="D118" s="1492"/>
      <c r="E118" s="1493"/>
      <c r="F118" s="511" t="s">
        <v>2312</v>
      </c>
      <c r="G118" s="511" t="s">
        <v>2313</v>
      </c>
      <c r="H118" s="512" t="s">
        <v>2312</v>
      </c>
      <c r="I118" s="513" t="s">
        <v>2313</v>
      </c>
    </row>
    <row r="119" spans="3:20" ht="20.25" customHeight="1">
      <c r="D119" s="516" t="s">
        <v>2311</v>
      </c>
      <c r="E119" s="517"/>
      <c r="F119" s="515">
        <f ca="1">G41*1%</f>
        <v>0</v>
      </c>
      <c r="G119" s="515">
        <f ca="1">-F119</f>
        <v>0</v>
      </c>
      <c r="H119" s="1227">
        <f ca="1">I41*1%</f>
        <v>0</v>
      </c>
      <c r="I119" s="1228">
        <f ca="1">-H119</f>
        <v>0</v>
      </c>
      <c r="M119" s="2" t="str">
        <f ca="1">IF(AND(F119=0,G119=0,H119=0,I119=0),"##H","")</f>
        <v>##H</v>
      </c>
      <c r="O119" s="271" t="s">
        <v>2314</v>
      </c>
      <c r="T119" s="24" t="s">
        <v>51</v>
      </c>
    </row>
    <row r="121" spans="3:20">
      <c r="D121" s="25" t="s">
        <v>2315</v>
      </c>
      <c r="I121" s="1124" t="str">
        <f>'Master Sheet'!$C$65</f>
        <v>(Amount in INR)</v>
      </c>
    </row>
    <row r="122" spans="3:20" ht="15" customHeight="1">
      <c r="D122" s="1490" t="s">
        <v>500</v>
      </c>
      <c r="E122" s="1491"/>
      <c r="F122" s="1494" t="e">
        <f ca="1">BS_CY</f>
        <v>#NAME?</v>
      </c>
      <c r="G122" s="1495"/>
      <c r="H122" s="1496" t="e">
        <f ca="1">BS_PY</f>
        <v>#NAME?</v>
      </c>
      <c r="I122" s="1497"/>
    </row>
    <row r="123" spans="3:20" ht="26.45">
      <c r="D123" s="1492"/>
      <c r="E123" s="1493"/>
      <c r="F123" s="511" t="s">
        <v>2312</v>
      </c>
      <c r="G123" s="511" t="s">
        <v>2313</v>
      </c>
      <c r="H123" s="512" t="s">
        <v>2312</v>
      </c>
      <c r="I123" s="513" t="s">
        <v>2313</v>
      </c>
    </row>
    <row r="124" spans="3:20" ht="20.25" customHeight="1">
      <c r="D124" s="516" t="s">
        <v>2315</v>
      </c>
      <c r="E124" s="517"/>
      <c r="F124" s="515">
        <f ca="1">F119</f>
        <v>0</v>
      </c>
      <c r="G124" s="515">
        <f ca="1">G119</f>
        <v>0</v>
      </c>
      <c r="H124" s="1227">
        <f ca="1">H119</f>
        <v>0</v>
      </c>
      <c r="I124" s="1228">
        <f ca="1">I119</f>
        <v>0</v>
      </c>
      <c r="M124" s="2" t="str">
        <f ca="1">IF(AND(F124=0,G124=0,H124=0,I124=0),"##H","")</f>
        <v>##H</v>
      </c>
    </row>
    <row r="126" spans="3:20">
      <c r="C126" s="292" t="s">
        <v>2316</v>
      </c>
      <c r="D126" s="25" t="s">
        <v>2317</v>
      </c>
      <c r="K126" s="559"/>
      <c r="L126" s="559"/>
      <c r="M126" s="559" t="s">
        <v>172</v>
      </c>
      <c r="N126" s="295" t="s">
        <v>171</v>
      </c>
      <c r="O126" s="295" t="s">
        <v>170</v>
      </c>
    </row>
    <row r="127" spans="3:20" ht="5.25" customHeight="1"/>
    <row r="128" spans="3:20" ht="27.75" customHeight="1">
      <c r="D128" s="1322" t="e">
        <f ca="1">"The Group undertakes transactions denominated in foreign currencies and consequently, exposures to exchange rate fluctuations arises. The Group has not entered into any derivative contracts during the year ended "&amp;Current_Date&amp;" and there are no outstanding contracts as at "&amp;Previous_Date</f>
        <v>#NAME?</v>
      </c>
      <c r="E128" s="1322"/>
      <c r="F128" s="1322"/>
      <c r="G128" s="1322"/>
      <c r="H128" s="1322"/>
      <c r="I128" s="1322"/>
    </row>
    <row r="129" spans="4:20">
      <c r="D129" s="1311" t="s">
        <v>2318</v>
      </c>
      <c r="E129" s="1311"/>
      <c r="F129" s="1311"/>
      <c r="G129" s="1311"/>
      <c r="H129" s="1311"/>
      <c r="I129" s="1311"/>
    </row>
    <row r="130" spans="4:20">
      <c r="I130" s="1124" t="str">
        <f>'Master Sheet'!$C$65</f>
        <v>(Amount in INR)</v>
      </c>
    </row>
    <row r="131" spans="4:20">
      <c r="D131" s="1491" t="s">
        <v>500</v>
      </c>
      <c r="E131" s="1491" t="s">
        <v>85</v>
      </c>
      <c r="F131" s="1494" t="e">
        <f ca="1">BS_CY</f>
        <v>#NAME?</v>
      </c>
      <c r="G131" s="1495"/>
      <c r="H131" s="1496" t="e">
        <f ca="1">BS_PY</f>
        <v>#NAME?</v>
      </c>
      <c r="I131" s="1497"/>
    </row>
    <row r="132" spans="4:20" ht="26.45">
      <c r="D132" s="1493"/>
      <c r="E132" s="1493"/>
      <c r="F132" s="511" t="s">
        <v>2319</v>
      </c>
      <c r="G132" s="511" t="s">
        <v>2320</v>
      </c>
      <c r="H132" s="512" t="s">
        <v>2319</v>
      </c>
      <c r="I132" s="513" t="s">
        <v>2320</v>
      </c>
    </row>
    <row r="133" spans="4:20" ht="15" customHeight="1">
      <c r="D133" s="514" t="s">
        <v>253</v>
      </c>
      <c r="E133" s="520" t="s">
        <v>2321</v>
      </c>
      <c r="F133" s="515">
        <f ca="1">IFERROR(INDEX(INDIRECT(VLOOKUP($T133,Source_Master,2,0),),MATCH(TEXT($O133,0),INDIRECT(VLOOKUP($T133,Source_Master,4,0)),0),MATCH(G$1,INDIRECT(VLOOKUP($T133,Source_Master,3,0),),0)),0)</f>
        <v>0</v>
      </c>
      <c r="G133" s="515">
        <f ca="1">IFERROR(INDEX(INDIRECT(VLOOKUP($T133,Source_Master,2,0),),MATCH(TEXT($P133,0),INDIRECT(VLOOKUP($T133,Source_Master,4,0)),0),MATCH(G$1,INDIRECT(VLOOKUP($T133,Source_Master,3,0),),0)),0)</f>
        <v>0</v>
      </c>
      <c r="H133" s="1227">
        <f ca="1">IFERROR(INDEX(INDIRECT(VLOOKUP($T133,Source_Master,2,0),),MATCH(TEXT($O133,0),INDIRECT(VLOOKUP($T133,Source_Master,4,0)),0),MATCH(I$1,INDIRECT(VLOOKUP($T133,Source_Master,3,0),),0)),0)</f>
        <v>0</v>
      </c>
      <c r="I133" s="1228">
        <f ca="1">IFERROR(INDEX(INDIRECT(VLOOKUP($T133,Source_Master,2,0),),MATCH(TEXT($P133,0),INDIRECT(VLOOKUP($T133,Source_Master,4,0)),0),MATCH(I$1,INDIRECT(VLOOKUP($T133,Source_Master,3,0),),0)),0)</f>
        <v>0</v>
      </c>
      <c r="M133" s="2" t="str">
        <f ca="1">IF(AND(F133=0,G133=0,H133=0,I133=0),"##H","")</f>
        <v>##H</v>
      </c>
      <c r="O133" s="271" t="s">
        <v>2322</v>
      </c>
      <c r="P133" s="271" t="s">
        <v>2323</v>
      </c>
      <c r="T133" s="24" t="s">
        <v>51</v>
      </c>
    </row>
    <row r="134" spans="4:20" ht="15" hidden="1" customHeight="1">
      <c r="D134" s="519" t="s">
        <v>227</v>
      </c>
      <c r="E134" s="521" t="s">
        <v>2321</v>
      </c>
      <c r="F134" s="518">
        <f ca="1">IFERROR(INDEX(INDIRECT(VLOOKUP($T134,Source_Master,2,0),),MATCH(TEXT($O134,0),INDIRECT(VLOOKUP($T134,Source_Master,4,0)),0),MATCH(G$1,INDIRECT(VLOOKUP($T134,Source_Master,3,0),),0)),0)</f>
        <v>0</v>
      </c>
      <c r="G134" s="518">
        <f ca="1">IFERROR(INDEX(INDIRECT(VLOOKUP($T134,Source_Master,2,0),),MATCH(TEXT($P134,0),INDIRECT(VLOOKUP($T134,Source_Master,4,0)),0),MATCH(G$1,INDIRECT(VLOOKUP($T134,Source_Master,3,0),),0)),0)</f>
        <v>0</v>
      </c>
      <c r="H134" s="1229">
        <f ca="1">IFERROR(INDEX(INDIRECT(VLOOKUP($T134,Source_Master,2,0),),MATCH(TEXT($O134,0),INDIRECT(VLOOKUP($T134,Source_Master,4,0)),0),MATCH(I$1,INDIRECT(VLOOKUP($T134,Source_Master,3,0),),0)),0)</f>
        <v>0</v>
      </c>
      <c r="I134" s="1230">
        <f ca="1">IFERROR(INDEX(INDIRECT(VLOOKUP($T134,Source_Master,2,0),),MATCH(TEXT($P134,0),INDIRECT(VLOOKUP($T134,Source_Master,4,0)),0),MATCH(I$1,INDIRECT(VLOOKUP($T134,Source_Master,3,0),),0)),0)</f>
        <v>0</v>
      </c>
      <c r="M134" s="2" t="str">
        <f t="shared" ref="M134:M136" ca="1" si="10">IF(AND(F134=0,G134=0,H134=0,I134=0),"##H","")</f>
        <v>##H</v>
      </c>
      <c r="O134" s="271" t="s">
        <v>2324</v>
      </c>
      <c r="P134" s="271" t="s">
        <v>2325</v>
      </c>
      <c r="T134" s="24" t="s">
        <v>51</v>
      </c>
    </row>
    <row r="135" spans="4:20" ht="15" hidden="1" customHeight="1">
      <c r="D135" s="519" t="s">
        <v>2260</v>
      </c>
      <c r="E135" s="521" t="s">
        <v>2321</v>
      </c>
      <c r="F135" s="518">
        <f ca="1">IFERROR(INDEX(INDIRECT(VLOOKUP($T135,Source_Master,2,0),),MATCH(TEXT($O135,0),INDIRECT(VLOOKUP($T135,Source_Master,4,0)),0),MATCH(G$1,INDIRECT(VLOOKUP($T135,Source_Master,3,0),),0)),0)</f>
        <v>0</v>
      </c>
      <c r="G135" s="518">
        <f ca="1">IFERROR(INDEX(INDIRECT(VLOOKUP($T135,Source_Master,2,0),),MATCH(TEXT($P135,0),INDIRECT(VLOOKUP($T135,Source_Master,4,0)),0),MATCH(G$1,INDIRECT(VLOOKUP($T135,Source_Master,3,0),),0)),0)</f>
        <v>0</v>
      </c>
      <c r="H135" s="1229">
        <f ca="1">IFERROR(INDEX(INDIRECT(VLOOKUP($T135,Source_Master,2,0),),MATCH(TEXT($O135,0),INDIRECT(VLOOKUP($T135,Source_Master,4,0)),0),MATCH(I$1,INDIRECT(VLOOKUP($T135,Source_Master,3,0),),0)),0)</f>
        <v>0</v>
      </c>
      <c r="I135" s="1230">
        <f ca="1">IFERROR(INDEX(INDIRECT(VLOOKUP($T135,Source_Master,2,0),),MATCH(TEXT($P135,0),INDIRECT(VLOOKUP($T135,Source_Master,4,0)),0),MATCH(I$1,INDIRECT(VLOOKUP($T135,Source_Master,3,0),),0)),0)</f>
        <v>0</v>
      </c>
      <c r="M135" s="2" t="str">
        <f t="shared" ca="1" si="10"/>
        <v>##H</v>
      </c>
      <c r="O135" s="271" t="s">
        <v>2326</v>
      </c>
      <c r="P135" s="271" t="s">
        <v>2327</v>
      </c>
      <c r="T135" s="24" t="s">
        <v>51</v>
      </c>
    </row>
    <row r="136" spans="4:20" ht="15" hidden="1" customHeight="1">
      <c r="D136" s="522" t="s">
        <v>351</v>
      </c>
      <c r="E136" s="523" t="s">
        <v>2321</v>
      </c>
      <c r="F136" s="524">
        <f ca="1">IFERROR(INDEX(INDIRECT(VLOOKUP($T136,Source_Master,2,0),),MATCH(TEXT($O136,0),INDIRECT(VLOOKUP($T136,Source_Master,4,0)),0),MATCH(G$1,INDIRECT(VLOOKUP($T136,Source_Master,3,0),),0)),0)</f>
        <v>0</v>
      </c>
      <c r="G136" s="524">
        <f ca="1">IFERROR(INDEX(INDIRECT(VLOOKUP($T136,Source_Master,2,0),),MATCH(TEXT($P136,0),INDIRECT(VLOOKUP($T136,Source_Master,4,0)),0),MATCH(G$1,INDIRECT(VLOOKUP($T136,Source_Master,3,0),),0)),0)</f>
        <v>0</v>
      </c>
      <c r="H136" s="1231">
        <f ca="1">IFERROR(INDEX(INDIRECT(VLOOKUP($T136,Source_Master,2,0),),MATCH(TEXT($O136,0),INDIRECT(VLOOKUP($T136,Source_Master,4,0)),0),MATCH(I$1,INDIRECT(VLOOKUP($T136,Source_Master,3,0),),0)),0)</f>
        <v>0</v>
      </c>
      <c r="I136" s="1232">
        <f ca="1">IFERROR(INDEX(INDIRECT(VLOOKUP($T136,Source_Master,2,0),),MATCH(TEXT($P136,0),INDIRECT(VLOOKUP($T136,Source_Master,4,0)),0),MATCH(I$1,INDIRECT(VLOOKUP($T136,Source_Master,3,0),),0)),0)</f>
        <v>0</v>
      </c>
      <c r="M136" s="2" t="str">
        <f t="shared" ca="1" si="10"/>
        <v>##H</v>
      </c>
      <c r="O136" s="271" t="s">
        <v>2328</v>
      </c>
      <c r="P136" s="271" t="s">
        <v>2329</v>
      </c>
      <c r="T136" s="24" t="s">
        <v>51</v>
      </c>
    </row>
    <row r="138" spans="4:20">
      <c r="D138" s="21" t="s">
        <v>2330</v>
      </c>
      <c r="K138" s="559"/>
      <c r="L138" s="559"/>
      <c r="M138" s="559"/>
    </row>
    <row r="139" spans="4:20" ht="70.5" customHeight="1">
      <c r="D139" s="1305" t="s">
        <v>2331</v>
      </c>
      <c r="E139" s="1305"/>
      <c r="F139" s="1305"/>
      <c r="G139" s="1305"/>
      <c r="H139" s="1305"/>
      <c r="I139" s="1305"/>
    </row>
    <row r="140" spans="4:20">
      <c r="D140" s="25" t="s">
        <v>2311</v>
      </c>
      <c r="I140" s="1124" t="str">
        <f>'Master Sheet'!$C$65</f>
        <v>(Amount in INR)</v>
      </c>
    </row>
    <row r="141" spans="4:20" ht="18" customHeight="1">
      <c r="D141" s="1490" t="s">
        <v>500</v>
      </c>
      <c r="E141" s="1491"/>
      <c r="F141" s="1494" t="e">
        <f ca="1">BS_CY</f>
        <v>#NAME?</v>
      </c>
      <c r="G141" s="1495"/>
      <c r="H141" s="1496" t="e">
        <f ca="1">BS_PY</f>
        <v>#NAME?</v>
      </c>
      <c r="I141" s="1497"/>
    </row>
    <row r="142" spans="4:20" ht="17.25" customHeight="1">
      <c r="D142" s="1492"/>
      <c r="E142" s="1493"/>
      <c r="F142" s="511" t="s">
        <v>2332</v>
      </c>
      <c r="G142" s="511" t="s">
        <v>2333</v>
      </c>
      <c r="H142" s="512" t="s">
        <v>2332</v>
      </c>
      <c r="I142" s="513" t="s">
        <v>2333</v>
      </c>
    </row>
    <row r="143" spans="4:20">
      <c r="D143" s="516" t="s">
        <v>2321</v>
      </c>
      <c r="E143" s="517"/>
      <c r="F143" s="515">
        <f ca="1">IFERROR(INDEX(INDIRECT(VLOOKUP($T143,Source_Master,2,0),),MATCH(TEXT($O143,0),INDIRECT(VLOOKUP($T143,Source_Master,4,0)),0),MATCH(G$1,INDIRECT(VLOOKUP($T143,Source_Master,3,0),),0)),0)</f>
        <v>0</v>
      </c>
      <c r="G143" s="515">
        <f ca="1">IFERROR(INDEX(INDIRECT(VLOOKUP($T143,Source_Master,2,0),),MATCH(TEXT($P143,0),INDIRECT(VLOOKUP($T143,Source_Master,4,0)),0),MATCH(G$1,INDIRECT(VLOOKUP($T143,Source_Master,3,0),),0)),0)</f>
        <v>0</v>
      </c>
      <c r="H143" s="1227">
        <f ca="1">IFERROR(INDEX(INDIRECT(VLOOKUP($T143,Source_Master,2,0),),MATCH(TEXT($O143,0),INDIRECT(VLOOKUP($T143,Source_Master,4,0)),0),MATCH(I$1,INDIRECT(VLOOKUP($T143,Source_Master,3,0),),0)),0)</f>
        <v>0</v>
      </c>
      <c r="I143" s="1228">
        <f ca="1">IFERROR(INDEX(INDIRECT(VLOOKUP($T143,Source_Master,2,0),),MATCH(TEXT($P143,0),INDIRECT(VLOOKUP($T143,Source_Master,4,0)),0),MATCH(I$1,INDIRECT(VLOOKUP($T143,Source_Master,3,0),),0)),0)</f>
        <v>0</v>
      </c>
      <c r="M143" s="2" t="str">
        <f t="shared" ref="M143" ca="1" si="11">IF(AND(F143=0,G143=0,H143=0,I143=0),"##H","")</f>
        <v>##H</v>
      </c>
      <c r="O143" s="271" t="s">
        <v>2334</v>
      </c>
      <c r="P143" s="271" t="s">
        <v>2335</v>
      </c>
      <c r="T143" s="24" t="s">
        <v>51</v>
      </c>
    </row>
    <row r="145" spans="2:15">
      <c r="D145" s="25" t="s">
        <v>2315</v>
      </c>
      <c r="I145" s="1124" t="str">
        <f>'Master Sheet'!$C$65</f>
        <v>(Amount in INR)</v>
      </c>
    </row>
    <row r="146" spans="2:15" ht="18.75" customHeight="1">
      <c r="D146" s="1490" t="s">
        <v>500</v>
      </c>
      <c r="E146" s="1491"/>
      <c r="F146" s="1494" t="e">
        <f ca="1">BS_CY</f>
        <v>#NAME?</v>
      </c>
      <c r="G146" s="1495"/>
      <c r="H146" s="1496" t="e">
        <f ca="1">BS_PY</f>
        <v>#NAME?</v>
      </c>
      <c r="I146" s="1497"/>
    </row>
    <row r="147" spans="2:15" ht="21" customHeight="1">
      <c r="D147" s="1492"/>
      <c r="E147" s="1493"/>
      <c r="F147" s="511" t="s">
        <v>2332</v>
      </c>
      <c r="G147" s="511" t="s">
        <v>2333</v>
      </c>
      <c r="H147" s="512" t="s">
        <v>2332</v>
      </c>
      <c r="I147" s="513" t="s">
        <v>2333</v>
      </c>
    </row>
    <row r="148" spans="2:15">
      <c r="D148" s="516" t="s">
        <v>2321</v>
      </c>
      <c r="E148" s="517"/>
      <c r="F148" s="515">
        <f ca="1">F143</f>
        <v>0</v>
      </c>
      <c r="G148" s="515">
        <f ca="1">G143</f>
        <v>0</v>
      </c>
      <c r="H148" s="1227">
        <f ca="1">H143</f>
        <v>0</v>
      </c>
      <c r="I148" s="1228">
        <f ca="1">I143</f>
        <v>0</v>
      </c>
      <c r="M148" s="2" t="str">
        <f t="shared" ref="M148" ca="1" si="12">IF(AND(F148=0,G148=0,H148=0,I148=0),"##H","")</f>
        <v>##H</v>
      </c>
    </row>
    <row r="150" spans="2:15">
      <c r="D150" s="25" t="s">
        <v>2336</v>
      </c>
    </row>
    <row r="151" spans="2:15">
      <c r="D151" s="1311" t="s">
        <v>2337</v>
      </c>
      <c r="E151" s="1311"/>
      <c r="F151" s="1311"/>
      <c r="G151" s="1311"/>
      <c r="H151" s="1311"/>
      <c r="I151" s="1311"/>
    </row>
    <row r="153" spans="2:15">
      <c r="B153" s="1123">
        <f>NTA!F189</f>
        <v>61.400000000000006</v>
      </c>
      <c r="C153" s="1123" t="str">
        <f>NTA!C189</f>
        <v>Fair value of financial assets and financial liabilities that are not measured at fair value (but fair value disclosures are required)</v>
      </c>
      <c r="K153" s="559"/>
      <c r="L153" s="559"/>
      <c r="M153" s="559" t="s">
        <v>172</v>
      </c>
      <c r="N153" s="295" t="s">
        <v>171</v>
      </c>
      <c r="O153" s="295" t="s">
        <v>170</v>
      </c>
    </row>
    <row r="154" spans="2:15" ht="4.5" customHeight="1"/>
    <row r="155" spans="2:15">
      <c r="C155" s="1311" t="s">
        <v>2338</v>
      </c>
      <c r="D155" s="1311"/>
      <c r="E155" s="1311"/>
      <c r="F155" s="1311"/>
      <c r="G155" s="1311"/>
      <c r="H155" s="1311"/>
      <c r="I155" s="1311"/>
    </row>
    <row r="157" spans="2:15">
      <c r="B157" s="1123">
        <f>NTA!F190</f>
        <v>61.500000000000007</v>
      </c>
      <c r="C157" s="1123" t="str">
        <f>NTA!C190</f>
        <v>Offsetting of financial assets and financial liabilities</v>
      </c>
      <c r="K157" s="559"/>
      <c r="L157" s="559"/>
      <c r="M157" s="559" t="s">
        <v>172</v>
      </c>
      <c r="N157" s="295" t="s">
        <v>171</v>
      </c>
      <c r="O157" s="295" t="s">
        <v>170</v>
      </c>
    </row>
    <row r="158" spans="2:15" ht="6" customHeight="1"/>
    <row r="159" spans="2:15">
      <c r="C159" s="15" t="s">
        <v>2339</v>
      </c>
    </row>
    <row r="161" spans="2:13">
      <c r="B161" s="1123">
        <f>NTA!F191</f>
        <v>61.600000000000009</v>
      </c>
      <c r="C161" s="1123" t="str">
        <f>NTA!C191</f>
        <v>Fair Value Measurement</v>
      </c>
      <c r="K161" s="559"/>
    </row>
    <row r="162" spans="2:13">
      <c r="C162" s="25" t="s">
        <v>2340</v>
      </c>
      <c r="I162" s="1124" t="str">
        <f>'Master Sheet'!$C$65</f>
        <v>(Amount in INR)</v>
      </c>
    </row>
    <row r="163" spans="2:13">
      <c r="C163" s="1454" t="s">
        <v>2341</v>
      </c>
      <c r="D163" s="1455"/>
      <c r="E163" s="1502" t="s">
        <v>2342</v>
      </c>
      <c r="F163" s="1502"/>
      <c r="G163" s="1502"/>
      <c r="H163" s="1503" t="s">
        <v>2268</v>
      </c>
      <c r="I163" s="1505" t="s">
        <v>2343</v>
      </c>
    </row>
    <row r="164" spans="2:13">
      <c r="C164" s="1456"/>
      <c r="D164" s="1457"/>
      <c r="E164" s="1211" t="e">
        <f ca="1">BS_CY</f>
        <v>#NAME?</v>
      </c>
      <c r="F164" s="1507" t="e">
        <f ca="1">BS_PY</f>
        <v>#NAME?</v>
      </c>
      <c r="G164" s="1507"/>
      <c r="H164" s="1504"/>
      <c r="I164" s="1506"/>
    </row>
    <row r="165" spans="2:13" ht="39.75" customHeight="1">
      <c r="C165" s="1498" t="s">
        <v>2344</v>
      </c>
      <c r="D165" s="1499"/>
      <c r="E165" s="956">
        <f ca="1">'NT BS1'!H163</f>
        <v>0</v>
      </c>
      <c r="F165" s="1500">
        <f ca="1">'NT BS1'!J163</f>
        <v>0</v>
      </c>
      <c r="G165" s="1501"/>
      <c r="H165" s="529" t="s">
        <v>2345</v>
      </c>
      <c r="I165" s="530" t="s">
        <v>2346</v>
      </c>
      <c r="M165" s="2" t="str">
        <f ca="1">IF(AND(E165=0,F165=0),"##H","")</f>
        <v>##H</v>
      </c>
    </row>
    <row r="166" spans="2:13" ht="5.25" customHeight="1"/>
    <row r="167" spans="2:13" ht="36" customHeight="1">
      <c r="C167" s="1305" t="s">
        <v>2347</v>
      </c>
      <c r="D167" s="1305"/>
      <c r="E167" s="1305"/>
      <c r="F167" s="1305"/>
      <c r="G167" s="1305"/>
      <c r="H167" s="1305"/>
      <c r="I167" s="1305"/>
    </row>
  </sheetData>
  <sheetProtection algorithmName="SHA-512" hashValue="PAOCvoUSl+7PhL9WO/z3Ko/vQlmIP30GWqbFO8O9thFos44eoF8U2ZLykIkmRYfdTt9NGhzCZM/DuroNAfuUuQ==" saltValue="lruMtXh15NYECawc0N1EZA==" spinCount="100000" sheet="1" objects="1" scenarios="1"/>
  <mergeCells count="58">
    <mergeCell ref="C165:D165"/>
    <mergeCell ref="F165:G165"/>
    <mergeCell ref="C167:I167"/>
    <mergeCell ref="D151:I151"/>
    <mergeCell ref="C155:I155"/>
    <mergeCell ref="C163:D164"/>
    <mergeCell ref="E163:G163"/>
    <mergeCell ref="H163:H164"/>
    <mergeCell ref="I163:I164"/>
    <mergeCell ref="F164:G164"/>
    <mergeCell ref="D139:I139"/>
    <mergeCell ref="D141:E142"/>
    <mergeCell ref="F141:G141"/>
    <mergeCell ref="H141:I141"/>
    <mergeCell ref="D146:E147"/>
    <mergeCell ref="F146:G146"/>
    <mergeCell ref="H146:I146"/>
    <mergeCell ref="D128:I128"/>
    <mergeCell ref="D129:I129"/>
    <mergeCell ref="D131:D132"/>
    <mergeCell ref="E131:E132"/>
    <mergeCell ref="F131:G131"/>
    <mergeCell ref="H131:I131"/>
    <mergeCell ref="D114:I114"/>
    <mergeCell ref="D117:E118"/>
    <mergeCell ref="F117:G117"/>
    <mergeCell ref="H117:I117"/>
    <mergeCell ref="D122:E123"/>
    <mergeCell ref="F122:G122"/>
    <mergeCell ref="H122:I122"/>
    <mergeCell ref="D110:I110"/>
    <mergeCell ref="D66:I66"/>
    <mergeCell ref="D68:I68"/>
    <mergeCell ref="D70:E70"/>
    <mergeCell ref="D81:I81"/>
    <mergeCell ref="D83:E83"/>
    <mergeCell ref="D95:I95"/>
    <mergeCell ref="D96:I96"/>
    <mergeCell ref="D98:I98"/>
    <mergeCell ref="D102:E102"/>
    <mergeCell ref="D107:I107"/>
    <mergeCell ref="D109:I109"/>
    <mergeCell ref="C10:I10"/>
    <mergeCell ref="C12:E12"/>
    <mergeCell ref="F12:G12"/>
    <mergeCell ref="H12:I12"/>
    <mergeCell ref="D64:I64"/>
    <mergeCell ref="C23:E23"/>
    <mergeCell ref="F23:G23"/>
    <mergeCell ref="H23:I23"/>
    <mergeCell ref="C48:I48"/>
    <mergeCell ref="C49:I49"/>
    <mergeCell ref="C52:I52"/>
    <mergeCell ref="C53:I53"/>
    <mergeCell ref="C54:I54"/>
    <mergeCell ref="C57:I57"/>
    <mergeCell ref="C58:I58"/>
    <mergeCell ref="C61:I61"/>
  </mergeCells>
  <pageMargins left="0.70866141732283472" right="0.70866141732283472" top="0.74803149606299213" bottom="0.74803149606299213" header="0.31496062992125984" footer="0.31496062992125984"/>
  <pageSetup scale="59" fitToHeight="0" orientation="portrait" r:id="rId1"/>
  <rowBreaks count="2" manualBreakCount="2">
    <brk id="58" max="9" man="1"/>
    <brk id="104" max="9" man="1"/>
  </rowBreaks>
  <ignoredErrors>
    <ignoredError sqref="G133:G136"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248BF5A2-A535-4830-8B5D-4F3AAA166651}">
          <x14:formula1>
            <xm:f>'Master Sheet'!$C$37:$C$41</xm:f>
          </x14:formula1>
          <xm:sqref>T119 T143 T133:T136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D9441-EC38-427B-A5DD-551F1E0B9635}">
  <sheetPr codeName="Sheet38">
    <tabColor theme="5" tint="0.59999389629810485"/>
  </sheetPr>
  <dimension ref="A1:U63"/>
  <sheetViews>
    <sheetView showGridLines="0" view="pageBreakPreview" topLeftCell="A3" zoomScaleNormal="100" zoomScaleSheetLayoutView="100" workbookViewId="0">
      <selection activeCell="A3" sqref="A3"/>
    </sheetView>
  </sheetViews>
  <sheetFormatPr defaultColWidth="9.42578125" defaultRowHeight="13.15" outlineLevelRow="1" outlineLevelCol="1"/>
  <cols>
    <col min="1" max="1" customWidth="true" style="39" width="4.7109375"/>
    <col min="2" max="2" customWidth="true" style="39" width="4.42578125"/>
    <col min="3" max="3" customWidth="true" style="39" width="42.0"/>
    <col min="4" max="4" customWidth="true" style="39" width="7.5703125"/>
    <col min="5" max="6" customWidth="true" style="39" width="23.42578125"/>
    <col min="7" max="7" customWidth="true" style="39" width="2.5703125"/>
    <col min="8" max="8" customWidth="true" hidden="true" style="39" width="11.5703125"/>
    <col min="9" max="10" customWidth="true" hidden="true" style="39" width="12.42578125"/>
    <col min="11" max="11" customWidth="true" hidden="true" style="39" width="0.0"/>
    <col min="12" max="12" customWidth="true" hidden="true" style="39" width="9.42578125" outlineLevel="1"/>
    <col min="13" max="14" customWidth="true" hidden="true" style="39" width="10.5703125" outlineLevel="1"/>
    <col min="15" max="15" customWidth="true" hidden="true" style="39" width="8.42578125" collapsed="true"/>
    <col min="16" max="16" customWidth="true" hidden="true" style="39" width="10.42578125"/>
    <col min="17" max="18" customWidth="true" hidden="true" style="39" width="0.0"/>
    <col min="19" max="20" customWidth="true" hidden="true" style="390" width="0.0"/>
    <col min="21" max="16384" style="39" width="9.42578125"/>
  </cols>
  <sheetData>
    <row r="1" spans="1:21" hidden="1" outlineLevel="1">
      <c r="E1" s="1605" t="str">
        <f>BS!C1</f>
        <v>7756|001|INR|Actual|Standalone</v>
      </c>
      <c r="F1" s="1233" t="str">
        <f>BS!D1</f>
        <v>7756|002|INR|Actual|Standalone</v>
      </c>
      <c r="K1" s="21" t="s">
        <v>492</v>
      </c>
      <c r="L1" s="112" t="s">
        <v>553</v>
      </c>
      <c r="M1" s="389" t="s">
        <v>493</v>
      </c>
      <c r="N1" s="389" t="s">
        <v>607</v>
      </c>
    </row>
    <row r="2" spans="1:21" hidden="1" outlineLevel="1"/>
    <row r="3" spans="1:21" ht="17.45" collapsed="1">
      <c r="A3" s="1106" t="e">
        <f ca="1">Company</f>
        <v>#NAME?</v>
      </c>
      <c r="I3" s="387"/>
      <c r="J3" s="387"/>
    </row>
    <row r="4" spans="1:21" ht="15.6">
      <c r="A4" s="1107" t="e">
        <f ca="1">"Notes to the Standalone Financial Statements for the period ended "&amp;Current_Date</f>
        <v>#NAME?</v>
      </c>
    </row>
    <row r="5" spans="1:21">
      <c r="O5" s="1508" t="s">
        <v>497</v>
      </c>
      <c r="P5" s="1509"/>
      <c r="Q5" s="20"/>
      <c r="R5" s="1508" t="s">
        <v>498</v>
      </c>
      <c r="S5" s="1509"/>
    </row>
    <row r="6" spans="1:21">
      <c r="A6" s="391">
        <v>50</v>
      </c>
      <c r="B6" s="21" t="s">
        <v>2348</v>
      </c>
    </row>
    <row r="7" spans="1:21" ht="15" customHeight="1">
      <c r="A7" s="1282"/>
      <c r="B7" s="392" t="s">
        <v>500</v>
      </c>
      <c r="C7" s="340"/>
      <c r="D7" s="393"/>
      <c r="E7" s="1234" t="e">
        <f ca="1">PL_CY</f>
        <v>#NAME?</v>
      </c>
      <c r="F7" s="1235" t="e">
        <f ca="1">PL_PY</f>
        <v>#NAME?</v>
      </c>
      <c r="H7" s="394" t="s">
        <v>5</v>
      </c>
      <c r="I7" s="394" t="s">
        <v>2349</v>
      </c>
      <c r="J7" s="394" t="s">
        <v>2350</v>
      </c>
      <c r="O7" s="1234" t="str">
        <f>FZ_Reference_Master!$G$15</f>
        <v>2023-24</v>
      </c>
      <c r="P7" s="1236" t="str">
        <f>FZ_Reference_Master!$H$15</f>
        <v>2022-23</v>
      </c>
      <c r="R7" s="1234" t="str">
        <f>FZ_Reference_Master!$G$15</f>
        <v>2023-24</v>
      </c>
      <c r="S7" s="1236" t="str">
        <f>FZ_Reference_Master!$H$15</f>
        <v>2022-23</v>
      </c>
    </row>
    <row r="8" spans="1:21" ht="15" customHeight="1">
      <c r="A8" s="1282"/>
      <c r="B8" s="169"/>
      <c r="C8" s="169"/>
      <c r="D8" s="395"/>
      <c r="E8" s="396"/>
      <c r="F8" s="395"/>
      <c r="G8" s="20"/>
      <c r="H8" s="20"/>
      <c r="I8" s="117"/>
      <c r="J8" s="20"/>
      <c r="O8" s="396"/>
      <c r="P8" s="395"/>
    </row>
    <row r="9" spans="1:21" ht="15" customHeight="1">
      <c r="A9" s="1282"/>
      <c r="B9" s="35" t="s">
        <v>2351</v>
      </c>
      <c r="C9" s="58" t="s">
        <v>2352</v>
      </c>
      <c r="D9" s="1253"/>
      <c r="E9" s="342">
        <f t="shared" ref="E9:F11" ca="1" si="0">IFERROR(INDEX(INDIRECT(VLOOKUP($M9,Source_Master,2,0),),MATCH(TEXT($L9,0),INDIRECT(VLOOKUP($M9,Source_Master,4,0)),0),MATCH(E$1,INDIRECT(VLOOKUP($M9,Source_Master,3,0),),0)),0)</f>
        <v>0</v>
      </c>
      <c r="F9" s="62">
        <f t="shared" ca="1" si="0"/>
        <v>0</v>
      </c>
      <c r="G9" s="20"/>
      <c r="H9" s="20"/>
      <c r="I9" s="1237" t="e">
        <f ca="1">(E11-F11)/F11</f>
        <v>#DIV/0!</v>
      </c>
      <c r="J9" s="397" t="s">
        <v>2353</v>
      </c>
      <c r="L9" s="39">
        <v>3402602</v>
      </c>
      <c r="M9" s="652" t="s">
        <v>2354</v>
      </c>
      <c r="N9" s="652"/>
      <c r="O9" s="398">
        <f t="shared" ref="O9:P11" ca="1" si="1">IFERROR(INDEX(INDIRECT(VLOOKUP($M9,Source_Master,2,0),),MATCH(TEXT($L9,0),INDIRECT(VLOOKUP($M9,Source_Master,4,0)),0),MATCH(E$1,INDIRECT(VLOOKUP($M9,Source_Master,3,0),),0)),0)</f>
        <v>0</v>
      </c>
      <c r="P9" s="399">
        <f t="shared" ca="1" si="1"/>
        <v>0</v>
      </c>
      <c r="R9" s="398">
        <f ca="1">E9-O9</f>
        <v>0</v>
      </c>
      <c r="S9" s="399">
        <f ca="1">F9-P9</f>
        <v>0</v>
      </c>
      <c r="T9" s="400"/>
      <c r="U9" s="400"/>
    </row>
    <row r="10" spans="1:21" ht="15" customHeight="1">
      <c r="A10" s="1282"/>
      <c r="B10" s="35" t="s">
        <v>2355</v>
      </c>
      <c r="C10" s="58" t="s">
        <v>2356</v>
      </c>
      <c r="D10" s="1253"/>
      <c r="E10" s="342">
        <f t="shared" ca="1" si="0"/>
        <v>0</v>
      </c>
      <c r="F10" s="62">
        <f t="shared" ca="1" si="0"/>
        <v>0</v>
      </c>
      <c r="G10" s="20"/>
      <c r="H10" s="20"/>
      <c r="I10" s="1237" t="e">
        <f ca="1">(E10-F10)/F10</f>
        <v>#DIV/0!</v>
      </c>
      <c r="J10" s="397" t="s">
        <v>2353</v>
      </c>
      <c r="L10" s="39" t="s">
        <v>2357</v>
      </c>
      <c r="M10" s="652" t="s">
        <v>2354</v>
      </c>
      <c r="N10" s="2"/>
      <c r="O10" s="398">
        <f t="shared" ca="1" si="1"/>
        <v>0</v>
      </c>
      <c r="P10" s="399">
        <f t="shared" ca="1" si="1"/>
        <v>0</v>
      </c>
      <c r="R10" s="398">
        <f t="shared" ref="R10:S19" ca="1" si="2">E10-O10</f>
        <v>0</v>
      </c>
      <c r="S10" s="399">
        <f t="shared" ca="1" si="2"/>
        <v>0</v>
      </c>
      <c r="T10" s="400"/>
      <c r="U10" s="400"/>
    </row>
    <row r="11" spans="1:21" ht="15" customHeight="1">
      <c r="A11" s="1282"/>
      <c r="B11" s="35" t="s">
        <v>2358</v>
      </c>
      <c r="C11" s="58" t="s">
        <v>2359</v>
      </c>
      <c r="D11" s="1253"/>
      <c r="E11" s="401">
        <f t="shared" ca="1" si="0"/>
        <v>0</v>
      </c>
      <c r="F11" s="62">
        <f t="shared" ca="1" si="0"/>
        <v>0</v>
      </c>
      <c r="G11" s="20"/>
      <c r="H11" s="20"/>
      <c r="I11" s="1237" t="e">
        <f ca="1">(E9-F9)/F9</f>
        <v>#DIV/0!</v>
      </c>
      <c r="J11" s="397" t="s">
        <v>2353</v>
      </c>
      <c r="L11" s="39">
        <v>3402601</v>
      </c>
      <c r="M11" s="652" t="s">
        <v>2354</v>
      </c>
      <c r="N11" s="2"/>
      <c r="O11" s="398">
        <f t="shared" ca="1" si="1"/>
        <v>0</v>
      </c>
      <c r="P11" s="399">
        <f t="shared" ca="1" si="1"/>
        <v>0</v>
      </c>
      <c r="R11" s="398">
        <f t="shared" ca="1" si="2"/>
        <v>0</v>
      </c>
      <c r="S11" s="399">
        <f t="shared" ca="1" si="2"/>
        <v>0</v>
      </c>
      <c r="T11" s="400"/>
      <c r="U11" s="400"/>
    </row>
    <row r="12" spans="1:21" ht="15" customHeight="1">
      <c r="A12" s="1282"/>
      <c r="B12" s="35" t="s">
        <v>2360</v>
      </c>
      <c r="C12" s="58" t="s">
        <v>2361</v>
      </c>
      <c r="D12" s="1253"/>
      <c r="E12" s="960">
        <f ca="1">IFERROR(INDEX(INDIRECT(VLOOKUP($M12,Source_Master,2,0),),MATCH(TEXT($L12,0),INDIRECT(VLOOKUP($M12,Source_Master,4,0)),0),MATCH(E$1,INDIRECT(VLOOKUP($M12,Source_Master,3,0),),0)),0)%</f>
        <v>0</v>
      </c>
      <c r="F12" s="961">
        <f ca="1">IFERROR(INDEX(INDIRECT(VLOOKUP($M12,Source_Master,2,0),),MATCH(TEXT($L12,0),INDIRECT(VLOOKUP($M12,Source_Master,4,0)),0),MATCH(F$1,INDIRECT(VLOOKUP($M12,Source_Master,3,0),),0)),0)%</f>
        <v>0</v>
      </c>
      <c r="G12" s="20"/>
      <c r="H12" s="20"/>
      <c r="I12" s="1237" t="e">
        <f t="shared" ref="I12" ca="1" si="3">(E14-F14)/F14</f>
        <v>#DIV/0!</v>
      </c>
      <c r="J12" s="397" t="s">
        <v>2353</v>
      </c>
      <c r="L12" s="39" t="s">
        <v>2362</v>
      </c>
      <c r="M12" s="652" t="s">
        <v>2354</v>
      </c>
      <c r="N12" s="2"/>
      <c r="O12" s="402">
        <f ca="1">IFERROR(INDEX(INDIRECT(VLOOKUP($M12,Source_Master,2,0),),MATCH(TEXT($L12,0),INDIRECT(VLOOKUP($M12,Source_Master,4,0)),0),MATCH(E$1,INDIRECT(VLOOKUP($M12,Source_Master,3,0),),0)),0)%</f>
        <v>0</v>
      </c>
      <c r="P12" s="403">
        <f ca="1">IFERROR(INDEX(INDIRECT(VLOOKUP($M12,Source_Master,2,0),),MATCH(TEXT($L12,0),INDIRECT(VLOOKUP($M12,Source_Master,4,0)),0),MATCH(F$1,INDIRECT(VLOOKUP($M12,Source_Master,3,0),),0)),0)%</f>
        <v>0</v>
      </c>
      <c r="R12" s="398">
        <f t="shared" ca="1" si="2"/>
        <v>0</v>
      </c>
      <c r="S12" s="399">
        <f t="shared" ca="1" si="2"/>
        <v>0</v>
      </c>
      <c r="T12" s="400"/>
      <c r="U12" s="400"/>
    </row>
    <row r="13" spans="1:21" ht="15" customHeight="1">
      <c r="A13" s="1282"/>
      <c r="B13" s="35" t="s">
        <v>2363</v>
      </c>
      <c r="C13" s="58" t="s">
        <v>2364</v>
      </c>
      <c r="D13" s="1253"/>
      <c r="E13" s="404">
        <f t="shared" ref="E13:F16" ca="1" si="4">IFERROR(INDEX(INDIRECT(VLOOKUP($M13,Source_Master,2,0),),MATCH(TEXT($L13,0),INDIRECT(VLOOKUP($M13,Source_Master,4,0)),0),MATCH(E$1,INDIRECT(VLOOKUP($M13,Source_Master,3,0),),0)),0)</f>
        <v>0</v>
      </c>
      <c r="F13" s="62">
        <f t="shared" ca="1" si="4"/>
        <v>0</v>
      </c>
      <c r="G13" s="117"/>
      <c r="H13" s="117"/>
      <c r="I13" s="1237" t="e">
        <f ca="1">(E13-F13)/F13</f>
        <v>#DIV/0!</v>
      </c>
      <c r="J13" s="397" t="s">
        <v>2353</v>
      </c>
      <c r="L13" s="39" t="s">
        <v>2365</v>
      </c>
      <c r="M13" s="652" t="s">
        <v>2354</v>
      </c>
      <c r="N13" s="2"/>
      <c r="O13" s="398">
        <f t="shared" ref="O13:P16" ca="1" si="5">IFERROR(INDEX(INDIRECT(VLOOKUP($M13,Source_Master,2,0),),MATCH(TEXT($L13,0),INDIRECT(VLOOKUP($M13,Source_Master,4,0)),0),MATCH(E$1,INDIRECT(VLOOKUP($M13,Source_Master,3,0),),0)),0)</f>
        <v>0</v>
      </c>
      <c r="P13" s="399">
        <f t="shared" ca="1" si="5"/>
        <v>0</v>
      </c>
      <c r="R13" s="398">
        <f t="shared" ca="1" si="2"/>
        <v>0</v>
      </c>
      <c r="S13" s="399">
        <f t="shared" ca="1" si="2"/>
        <v>0</v>
      </c>
      <c r="T13" s="400"/>
      <c r="U13" s="400"/>
    </row>
    <row r="14" spans="1:21" ht="27" customHeight="1">
      <c r="A14" s="1282"/>
      <c r="B14" s="35" t="s">
        <v>2366</v>
      </c>
      <c r="C14" s="1253" t="s">
        <v>2367</v>
      </c>
      <c r="D14" s="1253"/>
      <c r="E14" s="342">
        <f t="shared" ca="1" si="4"/>
        <v>0</v>
      </c>
      <c r="F14" s="62">
        <f t="shared" ca="1" si="4"/>
        <v>0</v>
      </c>
      <c r="G14" s="405"/>
      <c r="H14" s="405"/>
      <c r="I14" s="1237">
        <f ca="1">(E17-F17)/F17</f>
        <v>-1</v>
      </c>
      <c r="J14" s="397" t="s">
        <v>2353</v>
      </c>
      <c r="L14" s="39" t="s">
        <v>2368</v>
      </c>
      <c r="M14" s="652" t="s">
        <v>2354</v>
      </c>
      <c r="N14" s="2"/>
      <c r="O14" s="398">
        <f t="shared" ca="1" si="5"/>
        <v>0</v>
      </c>
      <c r="P14" s="399">
        <f t="shared" ca="1" si="5"/>
        <v>0</v>
      </c>
      <c r="R14" s="398">
        <f t="shared" ca="1" si="2"/>
        <v>0</v>
      </c>
      <c r="S14" s="399">
        <f t="shared" ca="1" si="2"/>
        <v>0</v>
      </c>
      <c r="T14" s="400"/>
      <c r="U14" s="400"/>
    </row>
    <row r="15" spans="1:21" ht="14.45">
      <c r="A15" s="1282"/>
      <c r="B15" s="35" t="s">
        <v>2369</v>
      </c>
      <c r="C15" s="58" t="s">
        <v>2370</v>
      </c>
      <c r="D15" s="1253"/>
      <c r="E15" s="342">
        <f t="shared" ca="1" si="4"/>
        <v>0</v>
      </c>
      <c r="F15" s="62">
        <f t="shared" ca="1" si="4"/>
        <v>0</v>
      </c>
      <c r="G15" s="405"/>
      <c r="H15" s="405"/>
      <c r="I15" s="1237" t="e">
        <f ca="1">(E12-F12)/F12</f>
        <v>#DIV/0!</v>
      </c>
      <c r="J15" s="397" t="s">
        <v>2371</v>
      </c>
      <c r="L15" s="39" t="s">
        <v>2372</v>
      </c>
      <c r="M15" s="652" t="s">
        <v>2354</v>
      </c>
      <c r="N15" s="2"/>
      <c r="O15" s="398">
        <f t="shared" ca="1" si="5"/>
        <v>0</v>
      </c>
      <c r="P15" s="399">
        <f t="shared" ca="1" si="5"/>
        <v>0</v>
      </c>
      <c r="R15" s="398">
        <f t="shared" ca="1" si="2"/>
        <v>0</v>
      </c>
      <c r="S15" s="399">
        <f t="shared" ca="1" si="2"/>
        <v>0</v>
      </c>
      <c r="T15" s="400"/>
      <c r="U15" s="400"/>
    </row>
    <row r="16" spans="1:21" ht="14.45">
      <c r="A16" s="1282"/>
      <c r="B16" s="35" t="s">
        <v>2373</v>
      </c>
      <c r="C16" s="58" t="s">
        <v>2374</v>
      </c>
      <c r="D16" s="1253"/>
      <c r="E16" s="342">
        <f t="shared" ca="1" si="4"/>
        <v>0</v>
      </c>
      <c r="F16" s="62">
        <f t="shared" ca="1" si="4"/>
        <v>0</v>
      </c>
      <c r="G16" s="20"/>
      <c r="H16" s="20"/>
      <c r="I16" s="1237" t="e">
        <f ca="1">(E15-F15)/F15</f>
        <v>#DIV/0!</v>
      </c>
      <c r="J16" s="397" t="s">
        <v>2371</v>
      </c>
      <c r="L16" s="39" t="s">
        <v>2375</v>
      </c>
      <c r="M16" s="652" t="s">
        <v>2354</v>
      </c>
      <c r="N16" s="2"/>
      <c r="O16" s="398">
        <f t="shared" ca="1" si="5"/>
        <v>0</v>
      </c>
      <c r="P16" s="399">
        <f t="shared" ca="1" si="5"/>
        <v>0</v>
      </c>
      <c r="R16" s="398">
        <f t="shared" ca="1" si="2"/>
        <v>0</v>
      </c>
      <c r="S16" s="399">
        <f t="shared" ca="1" si="2"/>
        <v>0</v>
      </c>
      <c r="T16" s="400"/>
      <c r="U16" s="400"/>
    </row>
    <row r="17" spans="1:21" ht="14.45">
      <c r="A17" s="1282"/>
      <c r="B17" s="35" t="s">
        <v>2376</v>
      </c>
      <c r="C17" s="58" t="s">
        <v>2377</v>
      </c>
      <c r="D17" s="1253"/>
      <c r="E17" s="960">
        <f ca="1">IFERROR(INDEX(INDIRECT(VLOOKUP($M17,Source_Master,2,0),),MATCH(TEXT($L17,0),INDIRECT(VLOOKUP($M17,Source_Master,4,0)),0),MATCH(E$1,INDIRECT(VLOOKUP($M17,Source_Master,3,0),),0)),0)%</f>
        <v>0</v>
      </c>
      <c r="F17" s="961">
        <f ca="1">IFERROR(INDEX(INDIRECT(VLOOKUP($M17,Source_Master,2,0),),MATCH(TEXT($L17,0),INDIRECT(VLOOKUP($M17,Source_Master,4,0)),0),MATCH(F$1,INDIRECT(VLOOKUP($M17,Source_Master,3,0),),0)),0)%-0.0001</f>
        <v>-1E-4</v>
      </c>
      <c r="G17" s="20"/>
      <c r="H17" s="20"/>
      <c r="I17" s="1237" t="e">
        <f ca="1">(E16-F16)/F16</f>
        <v>#DIV/0!</v>
      </c>
      <c r="J17" s="397" t="s">
        <v>2371</v>
      </c>
      <c r="L17" s="39" t="s">
        <v>2378</v>
      </c>
      <c r="M17" s="652" t="s">
        <v>2354</v>
      </c>
      <c r="N17" s="2"/>
      <c r="O17" s="398">
        <f t="shared" ref="O17:P19" ca="1" si="6">IFERROR(INDEX(INDIRECT(VLOOKUP($M17,Source_Master,2,0),),MATCH(TEXT($L17,0),INDIRECT(VLOOKUP($M17,Source_Master,4,0)),0),MATCH(E$1,INDIRECT(VLOOKUP($M17,Source_Master,3,0),),0)),0)%</f>
        <v>0</v>
      </c>
      <c r="P17" s="399">
        <f t="shared" ca="1" si="6"/>
        <v>0</v>
      </c>
      <c r="R17" s="398">
        <f t="shared" ca="1" si="2"/>
        <v>0</v>
      </c>
      <c r="S17" s="399">
        <f t="shared" ca="1" si="2"/>
        <v>-1E-4</v>
      </c>
      <c r="T17" s="400"/>
      <c r="U17" s="400"/>
    </row>
    <row r="18" spans="1:21" ht="14.45">
      <c r="A18" s="1282"/>
      <c r="B18" s="35" t="s">
        <v>2379</v>
      </c>
      <c r="C18" s="58" t="s">
        <v>2380</v>
      </c>
      <c r="D18" s="1253"/>
      <c r="E18" s="962">
        <f ca="1">IFERROR(INDEX(INDIRECT(VLOOKUP($M18,Source_Master,2,0),),MATCH(TEXT($L18,0),INDIRECT(VLOOKUP($M18,Source_Master,4,0)),0),MATCH(E$1,INDIRECT(VLOOKUP($M18,Source_Master,3,0),),0)),0)%</f>
        <v>0</v>
      </c>
      <c r="F18" s="963">
        <f ca="1">IFERROR(INDEX(INDIRECT(VLOOKUP($M18,Source_Master,2,0),),MATCH(TEXT($L18,0),INDIRECT(VLOOKUP($M18,Source_Master,4,0)),0),MATCH(F$1,INDIRECT(VLOOKUP($M18,Source_Master,3,0),),0)),0)%</f>
        <v>0</v>
      </c>
      <c r="G18" s="405"/>
      <c r="H18" s="405"/>
      <c r="I18" s="1237" t="e">
        <f ca="1">(E18-F18)/F18</f>
        <v>#DIV/0!</v>
      </c>
      <c r="J18" s="397" t="s">
        <v>2371</v>
      </c>
      <c r="L18" s="39" t="s">
        <v>2381</v>
      </c>
      <c r="M18" s="652" t="s">
        <v>2354</v>
      </c>
      <c r="N18" s="2"/>
      <c r="O18" s="402">
        <f t="shared" ca="1" si="6"/>
        <v>0</v>
      </c>
      <c r="P18" s="403">
        <f t="shared" ca="1" si="6"/>
        <v>0</v>
      </c>
      <c r="R18" s="402">
        <f t="shared" ca="1" si="2"/>
        <v>0</v>
      </c>
      <c r="S18" s="403">
        <f t="shared" ca="1" si="2"/>
        <v>0</v>
      </c>
      <c r="T18" s="400"/>
      <c r="U18" s="400"/>
    </row>
    <row r="19" spans="1:21" ht="14.45">
      <c r="A19" s="1282"/>
      <c r="B19" s="406" t="s">
        <v>2382</v>
      </c>
      <c r="C19" s="177" t="s">
        <v>2383</v>
      </c>
      <c r="D19" s="360"/>
      <c r="E19" s="964">
        <f ca="1">IFERROR(INDEX(INDIRECT(VLOOKUP($M19,Source_Master,2,0),),MATCH(TEXT($L19,0),INDIRECT(VLOOKUP($M19,Source_Master,4,0)),0),MATCH(E$1,INDIRECT(VLOOKUP($M19,Source_Master,3,0),),0)),0)%</f>
        <v>0</v>
      </c>
      <c r="F19" s="965">
        <f ca="1">IFERROR(INDEX(INDIRECT(VLOOKUP($M19,Source_Master,2,0),),MATCH(TEXT($L19,0),INDIRECT(VLOOKUP($M19,Source_Master,4,0)),0),MATCH(F$1,INDIRECT(VLOOKUP($M19,Source_Master,3,0),),0)),0)%+0.0001</f>
        <v>1E-4</v>
      </c>
      <c r="G19" s="405"/>
      <c r="H19" s="405"/>
      <c r="I19" s="1237">
        <f ca="1">(E19-F19)/F19</f>
        <v>-1</v>
      </c>
      <c r="J19" s="397" t="s">
        <v>2371</v>
      </c>
      <c r="L19" s="39" t="s">
        <v>2384</v>
      </c>
      <c r="M19" s="652" t="s">
        <v>2354</v>
      </c>
      <c r="N19" s="2"/>
      <c r="O19" s="407">
        <f t="shared" ca="1" si="6"/>
        <v>0</v>
      </c>
      <c r="P19" s="408">
        <f t="shared" ca="1" si="6"/>
        <v>0</v>
      </c>
      <c r="R19" s="407">
        <f t="shared" ca="1" si="2"/>
        <v>0</v>
      </c>
      <c r="S19" s="408">
        <f t="shared" ca="1" si="2"/>
        <v>1E-4</v>
      </c>
      <c r="T19" s="400"/>
      <c r="U19" s="400"/>
    </row>
    <row r="20" spans="1:21" ht="7.5" customHeight="1">
      <c r="A20" s="1282"/>
      <c r="B20" s="113"/>
      <c r="C20" s="20"/>
      <c r="D20" s="253"/>
      <c r="E20" s="1606"/>
      <c r="F20" s="1606"/>
      <c r="G20" s="405"/>
      <c r="H20" s="405"/>
      <c r="I20" s="957"/>
      <c r="J20" s="397"/>
      <c r="M20" s="652"/>
      <c r="N20" s="2"/>
      <c r="O20" s="1607"/>
      <c r="P20" s="1608"/>
      <c r="R20" s="1607"/>
      <c r="S20" s="1608"/>
      <c r="T20" s="400"/>
      <c r="U20" s="400"/>
    </row>
    <row r="21" spans="1:21" ht="15" customHeight="1">
      <c r="B21" s="958" t="s">
        <v>2385</v>
      </c>
      <c r="C21" s="1305" t="s">
        <v>2386</v>
      </c>
      <c r="D21" s="1305"/>
      <c r="E21" s="1305"/>
      <c r="F21" s="1305"/>
      <c r="G21" s="1242"/>
      <c r="H21" s="1242"/>
      <c r="I21" s="390"/>
      <c r="J21" s="390"/>
      <c r="S21" s="39"/>
      <c r="T21" s="39"/>
    </row>
    <row r="22" spans="1:21" ht="28.5" customHeight="1">
      <c r="B22" s="50" t="s">
        <v>2387</v>
      </c>
      <c r="C22" s="1305" t="s">
        <v>2388</v>
      </c>
      <c r="D22" s="1305"/>
      <c r="E22" s="1305"/>
      <c r="F22" s="1305"/>
      <c r="G22" s="1242"/>
      <c r="H22" s="1242"/>
      <c r="I22" s="390"/>
      <c r="J22" s="390"/>
      <c r="S22" s="39"/>
      <c r="T22" s="39"/>
    </row>
    <row r="23" spans="1:21" ht="30" customHeight="1">
      <c r="B23" s="958" t="s">
        <v>2389</v>
      </c>
      <c r="C23" s="1378" t="s">
        <v>2390</v>
      </c>
      <c r="D23" s="1378"/>
      <c r="E23" s="1378"/>
      <c r="F23" s="1378"/>
      <c r="G23" s="1242"/>
      <c r="H23" s="1242"/>
      <c r="I23" s="390"/>
      <c r="J23" s="390"/>
      <c r="S23" s="39"/>
      <c r="T23" s="39"/>
    </row>
    <row r="24" spans="1:21" ht="15" customHeight="1">
      <c r="B24" s="958" t="s">
        <v>2391</v>
      </c>
      <c r="C24" s="1305" t="s">
        <v>2392</v>
      </c>
      <c r="D24" s="1305"/>
      <c r="E24" s="1305"/>
      <c r="F24" s="1305"/>
      <c r="G24" s="1242"/>
      <c r="H24" s="1242"/>
      <c r="I24" s="390"/>
      <c r="J24" s="390"/>
      <c r="S24" s="39"/>
      <c r="T24" s="39"/>
    </row>
    <row r="25" spans="1:21" ht="15" customHeight="1">
      <c r="B25" s="958" t="s">
        <v>2393</v>
      </c>
      <c r="C25" s="1305" t="s">
        <v>2394</v>
      </c>
      <c r="D25" s="1305"/>
      <c r="E25" s="1305"/>
      <c r="F25" s="1305"/>
      <c r="G25" s="1242"/>
      <c r="H25" s="1242"/>
      <c r="I25" s="390"/>
      <c r="J25" s="390"/>
      <c r="S25" s="39"/>
      <c r="T25" s="39"/>
    </row>
    <row r="26" spans="1:21" ht="15" customHeight="1">
      <c r="B26" s="958" t="s">
        <v>2395</v>
      </c>
      <c r="C26" s="1305" t="s">
        <v>2396</v>
      </c>
      <c r="D26" s="1305"/>
      <c r="E26" s="1305"/>
      <c r="F26" s="1305"/>
      <c r="G26" s="1242"/>
      <c r="H26" s="1242"/>
      <c r="I26" s="390"/>
      <c r="J26" s="390"/>
      <c r="S26" s="39"/>
      <c r="T26" s="39"/>
    </row>
    <row r="27" spans="1:21" ht="17.25" customHeight="1">
      <c r="B27" s="959" t="s">
        <v>2397</v>
      </c>
      <c r="C27" s="1305" t="s">
        <v>2398</v>
      </c>
      <c r="D27" s="1305"/>
      <c r="E27" s="1305"/>
      <c r="F27" s="1305"/>
      <c r="G27" s="1242"/>
      <c r="H27" s="1242"/>
      <c r="I27" s="390"/>
      <c r="J27" s="390"/>
      <c r="S27" s="39"/>
      <c r="T27" s="39"/>
    </row>
    <row r="28" spans="1:21">
      <c r="A28" s="1282"/>
      <c r="C28" s="20"/>
      <c r="D28" s="20"/>
      <c r="E28" s="20"/>
      <c r="F28" s="20"/>
    </row>
    <row r="29" spans="1:21">
      <c r="A29" s="381">
        <v>50.1</v>
      </c>
      <c r="B29" s="146" t="s">
        <v>2399</v>
      </c>
      <c r="C29" s="47"/>
      <c r="D29" s="47"/>
      <c r="E29" s="47"/>
      <c r="F29" s="47"/>
      <c r="G29" s="47"/>
      <c r="H29" s="47"/>
    </row>
    <row r="30" spans="1:21">
      <c r="A30" s="1281"/>
      <c r="B30" s="42"/>
      <c r="C30" s="1281"/>
      <c r="D30" s="1281"/>
      <c r="E30" s="1281"/>
      <c r="F30" s="1281"/>
      <c r="G30" s="26"/>
      <c r="H30" s="26"/>
    </row>
    <row r="31" spans="1:21" ht="15" customHeight="1">
      <c r="A31" s="1281"/>
      <c r="B31" s="1510" t="s">
        <v>2351</v>
      </c>
      <c r="C31" s="1306" t="s">
        <v>2352</v>
      </c>
      <c r="D31" s="1511" t="s">
        <v>2400</v>
      </c>
      <c r="E31" s="1512" t="s">
        <v>2401</v>
      </c>
      <c r="F31" s="1512"/>
      <c r="G31" s="339"/>
      <c r="H31" s="339"/>
    </row>
    <row r="32" spans="1:21" ht="27" customHeight="1">
      <c r="A32" s="1281"/>
      <c r="B32" s="1510"/>
      <c r="C32" s="1306"/>
      <c r="D32" s="1511"/>
      <c r="E32" s="1487" t="s">
        <v>2402</v>
      </c>
      <c r="F32" s="1487"/>
      <c r="G32" s="1244"/>
      <c r="H32" s="1244"/>
    </row>
    <row r="33" spans="1:20" ht="9" customHeight="1">
      <c r="A33" s="1281"/>
      <c r="B33" s="1281"/>
      <c r="C33" s="339"/>
      <c r="D33" s="1281"/>
      <c r="E33" s="339"/>
      <c r="F33" s="409"/>
      <c r="G33" s="339"/>
      <c r="H33" s="339"/>
    </row>
    <row r="34" spans="1:20" ht="15" customHeight="1">
      <c r="A34" s="1281"/>
      <c r="B34" s="1510" t="s">
        <v>2355</v>
      </c>
      <c r="C34" s="1306" t="s">
        <v>2403</v>
      </c>
      <c r="D34" s="1511" t="s">
        <v>2400</v>
      </c>
      <c r="E34" s="1515" t="s">
        <v>2404</v>
      </c>
      <c r="F34" s="1515"/>
      <c r="G34" s="410"/>
      <c r="H34" s="410"/>
    </row>
    <row r="35" spans="1:20" ht="15" customHeight="1">
      <c r="A35" s="1281"/>
      <c r="B35" s="1510"/>
      <c r="C35" s="1306"/>
      <c r="D35" s="1511"/>
      <c r="E35" s="1516" t="s">
        <v>2405</v>
      </c>
      <c r="F35" s="1516"/>
      <c r="G35" s="339"/>
      <c r="H35" s="339"/>
    </row>
    <row r="36" spans="1:20" ht="9" customHeight="1">
      <c r="A36" s="1281"/>
      <c r="B36" s="1281"/>
      <c r="C36" s="339"/>
      <c r="D36" s="1281"/>
      <c r="E36" s="339"/>
      <c r="F36" s="409"/>
      <c r="G36" s="339"/>
      <c r="H36" s="339"/>
    </row>
    <row r="37" spans="1:20" ht="15" customHeight="1">
      <c r="A37" s="1281"/>
      <c r="B37" s="1510" t="s">
        <v>2358</v>
      </c>
      <c r="C37" s="1306" t="s">
        <v>2406</v>
      </c>
      <c r="D37" s="1511" t="s">
        <v>2400</v>
      </c>
      <c r="E37" s="1513" t="s">
        <v>2407</v>
      </c>
      <c r="F37" s="1513"/>
      <c r="G37" s="411"/>
      <c r="H37" s="411"/>
    </row>
    <row r="38" spans="1:20" ht="27" customHeight="1">
      <c r="A38" s="1281"/>
      <c r="B38" s="1510"/>
      <c r="C38" s="1306"/>
      <c r="D38" s="1511"/>
      <c r="E38" s="1514" t="s">
        <v>2408</v>
      </c>
      <c r="F38" s="1514"/>
      <c r="G38" s="384"/>
      <c r="H38" s="384"/>
    </row>
    <row r="39" spans="1:20" ht="9" customHeight="1">
      <c r="A39" s="1281"/>
      <c r="B39" s="1281"/>
      <c r="C39" s="339"/>
      <c r="D39" s="1281"/>
      <c r="E39" s="339"/>
      <c r="F39" s="409"/>
      <c r="G39" s="42"/>
      <c r="H39" s="42"/>
    </row>
    <row r="40" spans="1:20" ht="27" customHeight="1">
      <c r="B40" s="1521" t="s">
        <v>2366</v>
      </c>
      <c r="C40" s="1310" t="s">
        <v>2409</v>
      </c>
      <c r="D40" s="1518" t="s">
        <v>2400</v>
      </c>
      <c r="E40" s="1522" t="s">
        <v>2410</v>
      </c>
      <c r="F40" s="1522"/>
      <c r="S40" s="39"/>
      <c r="T40" s="39"/>
    </row>
    <row r="41" spans="1:20" ht="15" customHeight="1">
      <c r="B41" s="1521"/>
      <c r="C41" s="1310"/>
      <c r="D41" s="1518"/>
      <c r="E41" s="1520" t="s">
        <v>2411</v>
      </c>
      <c r="F41" s="1520"/>
      <c r="S41" s="39"/>
      <c r="T41" s="39"/>
    </row>
    <row r="42" spans="1:20" ht="9" customHeight="1">
      <c r="B42" s="1282"/>
      <c r="C42" s="1245"/>
      <c r="D42" s="1282"/>
      <c r="E42" s="1245"/>
      <c r="F42" s="1245"/>
      <c r="S42" s="39"/>
      <c r="T42" s="39"/>
    </row>
    <row r="43" spans="1:20" ht="15" customHeight="1">
      <c r="A43" s="1281"/>
      <c r="B43" s="1517" t="s">
        <v>2363</v>
      </c>
      <c r="C43" s="1310" t="s">
        <v>2364</v>
      </c>
      <c r="D43" s="1518" t="s">
        <v>2400</v>
      </c>
      <c r="E43" s="1519" t="s">
        <v>2412</v>
      </c>
      <c r="F43" s="1519"/>
      <c r="G43" s="339"/>
      <c r="H43" s="339"/>
      <c r="S43" s="39"/>
      <c r="T43" s="39"/>
    </row>
    <row r="44" spans="1:20" ht="15" customHeight="1">
      <c r="A44" s="1281"/>
      <c r="B44" s="1517"/>
      <c r="C44" s="1310"/>
      <c r="D44" s="1518"/>
      <c r="E44" s="1520" t="s">
        <v>2413</v>
      </c>
      <c r="F44" s="1520"/>
      <c r="G44" s="20"/>
      <c r="H44" s="20"/>
      <c r="S44" s="39"/>
      <c r="T44" s="39"/>
    </row>
    <row r="45" spans="1:20" ht="9" customHeight="1">
      <c r="A45" s="1281"/>
      <c r="B45" s="1281"/>
      <c r="C45" s="339"/>
      <c r="D45" s="1281"/>
      <c r="E45" s="339"/>
      <c r="F45" s="409"/>
      <c r="G45" s="339"/>
      <c r="H45" s="339"/>
      <c r="S45" s="39"/>
      <c r="T45" s="39"/>
    </row>
    <row r="46" spans="1:20" ht="15" customHeight="1">
      <c r="A46" s="1281"/>
      <c r="B46" s="1517" t="s">
        <v>2366</v>
      </c>
      <c r="C46" s="1310" t="s">
        <v>2414</v>
      </c>
      <c r="D46" s="1518" t="s">
        <v>2400</v>
      </c>
      <c r="E46" s="1525" t="s">
        <v>362</v>
      </c>
      <c r="F46" s="1525"/>
      <c r="G46" s="339"/>
      <c r="H46" s="339"/>
    </row>
    <row r="47" spans="1:20" ht="15" customHeight="1">
      <c r="A47" s="1281"/>
      <c r="B47" s="1517"/>
      <c r="C47" s="1310"/>
      <c r="D47" s="1518"/>
      <c r="E47" s="1516" t="s">
        <v>2415</v>
      </c>
      <c r="F47" s="1516"/>
      <c r="G47" s="339"/>
      <c r="H47" s="339"/>
      <c r="S47" s="39"/>
      <c r="T47" s="39"/>
    </row>
    <row r="48" spans="1:20" ht="9" customHeight="1">
      <c r="A48" s="1281"/>
      <c r="B48" s="1281"/>
      <c r="C48" s="339"/>
      <c r="D48" s="1281"/>
      <c r="E48" s="339"/>
      <c r="F48" s="409"/>
      <c r="G48" s="339"/>
      <c r="H48" s="339"/>
      <c r="S48" s="39"/>
      <c r="T48" s="39"/>
    </row>
    <row r="49" spans="1:20" ht="15" customHeight="1">
      <c r="B49" s="1521" t="s">
        <v>2369</v>
      </c>
      <c r="C49" s="1310" t="s">
        <v>2370</v>
      </c>
      <c r="D49" s="1518" t="s">
        <v>2400</v>
      </c>
      <c r="E49" s="1523" t="s">
        <v>2416</v>
      </c>
      <c r="F49" s="1523"/>
      <c r="S49" s="39"/>
      <c r="T49" s="39"/>
    </row>
    <row r="50" spans="1:20" ht="15" customHeight="1">
      <c r="B50" s="1521"/>
      <c r="C50" s="1310"/>
      <c r="D50" s="1518"/>
      <c r="E50" s="1524" t="s">
        <v>2417</v>
      </c>
      <c r="F50" s="1524"/>
      <c r="S50" s="39"/>
      <c r="T50" s="39"/>
    </row>
    <row r="51" spans="1:20" ht="9" customHeight="1">
      <c r="B51" s="1282"/>
      <c r="C51" s="1245"/>
      <c r="D51" s="1282"/>
      <c r="E51" s="1245"/>
      <c r="F51" s="1245"/>
      <c r="S51" s="39"/>
      <c r="T51" s="39"/>
    </row>
    <row r="52" spans="1:20" ht="15" customHeight="1">
      <c r="B52" s="1521" t="s">
        <v>2373</v>
      </c>
      <c r="C52" s="1310" t="s">
        <v>2374</v>
      </c>
      <c r="D52" s="1518" t="s">
        <v>2400</v>
      </c>
      <c r="E52" s="1519" t="s">
        <v>362</v>
      </c>
      <c r="F52" s="1519"/>
      <c r="S52" s="39"/>
      <c r="T52" s="39"/>
    </row>
    <row r="53" spans="1:20" ht="15" customHeight="1">
      <c r="B53" s="1521"/>
      <c r="C53" s="1310"/>
      <c r="D53" s="1518"/>
      <c r="E53" s="1524" t="s">
        <v>2418</v>
      </c>
      <c r="F53" s="1524"/>
      <c r="S53" s="39"/>
      <c r="T53" s="39"/>
    </row>
    <row r="54" spans="1:20" ht="9" customHeight="1">
      <c r="B54" s="1282"/>
      <c r="C54" s="1245"/>
      <c r="D54" s="1282"/>
      <c r="E54" s="1245"/>
      <c r="F54" s="1245"/>
      <c r="S54" s="39"/>
      <c r="T54" s="39"/>
    </row>
    <row r="55" spans="1:20" ht="15" customHeight="1">
      <c r="A55" s="1281"/>
      <c r="B55" s="1517" t="s">
        <v>2376</v>
      </c>
      <c r="C55" s="1311" t="s">
        <v>2419</v>
      </c>
      <c r="D55" s="1518" t="s">
        <v>2400</v>
      </c>
      <c r="E55" s="1525" t="s">
        <v>2420</v>
      </c>
      <c r="F55" s="1525"/>
      <c r="G55" s="339"/>
      <c r="H55" s="339"/>
      <c r="S55" s="39"/>
      <c r="T55" s="39"/>
    </row>
    <row r="56" spans="1:20" ht="15" customHeight="1">
      <c r="A56" s="1281"/>
      <c r="B56" s="1517"/>
      <c r="C56" s="1311"/>
      <c r="D56" s="1518"/>
      <c r="E56" s="1520" t="s">
        <v>374</v>
      </c>
      <c r="F56" s="1520"/>
      <c r="G56" s="339"/>
      <c r="H56" s="339"/>
      <c r="S56" s="39"/>
      <c r="T56" s="39"/>
    </row>
    <row r="57" spans="1:20" ht="9" customHeight="1">
      <c r="C57" s="1245"/>
      <c r="E57" s="1245"/>
      <c r="F57" s="1245"/>
      <c r="S57" s="39"/>
      <c r="T57" s="39"/>
    </row>
    <row r="58" spans="1:20" ht="15" customHeight="1">
      <c r="B58" s="1521" t="s">
        <v>2379</v>
      </c>
      <c r="C58" s="1310" t="s">
        <v>2421</v>
      </c>
      <c r="D58" s="1518" t="s">
        <v>2400</v>
      </c>
      <c r="E58" s="1515" t="s">
        <v>2422</v>
      </c>
      <c r="F58" s="1515"/>
      <c r="G58" s="383"/>
      <c r="H58" s="383"/>
      <c r="S58" s="39"/>
      <c r="T58" s="39"/>
    </row>
    <row r="59" spans="1:20" ht="15" customHeight="1">
      <c r="B59" s="1521"/>
      <c r="C59" s="1310"/>
      <c r="D59" s="1518"/>
      <c r="E59" s="1524" t="s">
        <v>2423</v>
      </c>
      <c r="F59" s="1524"/>
      <c r="S59" s="39"/>
      <c r="T59" s="39"/>
    </row>
    <row r="60" spans="1:20" ht="9" customHeight="1">
      <c r="B60" s="1282"/>
      <c r="C60" s="1245"/>
      <c r="D60" s="1282"/>
      <c r="E60" s="1245"/>
      <c r="F60" s="1245"/>
      <c r="S60" s="39"/>
      <c r="T60" s="39"/>
    </row>
    <row r="61" spans="1:20" ht="15" customHeight="1">
      <c r="B61" s="1521" t="s">
        <v>2382</v>
      </c>
      <c r="C61" s="1310" t="s">
        <v>2424</v>
      </c>
      <c r="D61" s="1518" t="s">
        <v>2400</v>
      </c>
      <c r="E61" s="1526" t="s">
        <v>2425</v>
      </c>
      <c r="F61" s="1526"/>
      <c r="G61" s="412"/>
      <c r="H61" s="412"/>
      <c r="S61" s="39"/>
      <c r="T61" s="39"/>
    </row>
    <row r="62" spans="1:20" ht="27" customHeight="1">
      <c r="B62" s="1521"/>
      <c r="C62" s="1310"/>
      <c r="D62" s="1518"/>
      <c r="E62" s="1527" t="s">
        <v>2426</v>
      </c>
      <c r="F62" s="1527"/>
      <c r="G62" s="412"/>
      <c r="H62" s="412"/>
      <c r="S62" s="39"/>
      <c r="T62" s="39"/>
    </row>
    <row r="63" spans="1:20" ht="5.0999999999999996" customHeight="1">
      <c r="D63" s="40"/>
      <c r="E63" s="40"/>
      <c r="F63" s="40"/>
      <c r="S63" s="39"/>
      <c r="T63" s="39"/>
    </row>
  </sheetData>
  <sheetProtection algorithmName="SHA-512" hashValue="rMNJva4gHlg1pr55S4RrzgLjLL9pP7msY3bDaKAJVfwRaYrtBAzsREt4pgBV4IFf+TVEcLAXVFLa52hRllZQDg==" saltValue="pzdi3SULQYx+/88QF2Ubvg==" spinCount="100000" sheet="1" objects="1" scenarios="1"/>
  <mergeCells count="64">
    <mergeCell ref="B58:B59"/>
    <mergeCell ref="C58:C59"/>
    <mergeCell ref="D58:D59"/>
    <mergeCell ref="E58:F58"/>
    <mergeCell ref="E59:F59"/>
    <mergeCell ref="B61:B62"/>
    <mergeCell ref="C61:C62"/>
    <mergeCell ref="D61:D62"/>
    <mergeCell ref="E61:F61"/>
    <mergeCell ref="E62:F62"/>
    <mergeCell ref="B52:B53"/>
    <mergeCell ref="C52:C53"/>
    <mergeCell ref="D52:D53"/>
    <mergeCell ref="E52:F52"/>
    <mergeCell ref="E53:F53"/>
    <mergeCell ref="B55:B56"/>
    <mergeCell ref="C55:C56"/>
    <mergeCell ref="D55:D56"/>
    <mergeCell ref="E55:F55"/>
    <mergeCell ref="E56:F56"/>
    <mergeCell ref="B46:B47"/>
    <mergeCell ref="C46:C47"/>
    <mergeCell ref="D46:D47"/>
    <mergeCell ref="E46:F46"/>
    <mergeCell ref="E47:F47"/>
    <mergeCell ref="B49:B50"/>
    <mergeCell ref="C49:C50"/>
    <mergeCell ref="D49:D50"/>
    <mergeCell ref="E49:F49"/>
    <mergeCell ref="E50:F50"/>
    <mergeCell ref="B40:B41"/>
    <mergeCell ref="C40:C41"/>
    <mergeCell ref="D40:D41"/>
    <mergeCell ref="E40:F40"/>
    <mergeCell ref="E41:F41"/>
    <mergeCell ref="B43:B44"/>
    <mergeCell ref="C43:C44"/>
    <mergeCell ref="D43:D44"/>
    <mergeCell ref="E43:F43"/>
    <mergeCell ref="E44:F44"/>
    <mergeCell ref="B34:B35"/>
    <mergeCell ref="C34:C35"/>
    <mergeCell ref="D34:D35"/>
    <mergeCell ref="E34:F34"/>
    <mergeCell ref="E35:F35"/>
    <mergeCell ref="B37:B38"/>
    <mergeCell ref="C37:C38"/>
    <mergeCell ref="D37:D38"/>
    <mergeCell ref="E37:F37"/>
    <mergeCell ref="E38:F38"/>
    <mergeCell ref="C25:F25"/>
    <mergeCell ref="C26:F26"/>
    <mergeCell ref="C27:F27"/>
    <mergeCell ref="B31:B32"/>
    <mergeCell ref="C31:C32"/>
    <mergeCell ref="D31:D32"/>
    <mergeCell ref="E31:F31"/>
    <mergeCell ref="E32:F32"/>
    <mergeCell ref="C24:F24"/>
    <mergeCell ref="O5:P5"/>
    <mergeCell ref="R5:S5"/>
    <mergeCell ref="C21:F21"/>
    <mergeCell ref="C22:F22"/>
    <mergeCell ref="C23:F23"/>
  </mergeCells>
  <pageMargins left="0.7" right="0.7" top="0.75" bottom="0.75" header="0.3" footer="0.3"/>
  <pageSetup paperSize="9" scale="82"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C8FFD0-AE2D-4D06-869E-4B6158F15239}">
          <x14:formula1>
            <xm:f>SourceMaster!$C$6:$C$9</xm:f>
          </x14:formula1>
          <xm:sqref>M9:N27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9365-F7F6-4194-8312-5B8D2F139ED9}">
  <sheetPr codeName="Sheet39">
    <tabColor theme="5" tint="0.59999389629810485"/>
  </sheetPr>
  <dimension ref="A1:E28"/>
  <sheetViews>
    <sheetView showGridLines="0" view="pageBreakPreview" zoomScaleNormal="100" zoomScaleSheetLayoutView="100" workbookViewId="0">
      <selection activeCell="G14" sqref="G14"/>
    </sheetView>
  </sheetViews>
  <sheetFormatPr defaultColWidth="8.85546875" defaultRowHeight="13.15"/>
  <cols>
    <col min="1" max="1" customWidth="true" style="2" width="48.0"/>
    <col min="2" max="2" bestFit="true" customWidth="true" style="2" width="20.7109375"/>
    <col min="3" max="3" style="2" width="8.85546875"/>
    <col min="4" max="4" bestFit="true" customWidth="true" style="2" width="18.28515625"/>
    <col min="5" max="16384" style="2" width="8.85546875"/>
  </cols>
  <sheetData>
    <row r="1" spans="1:5" ht="17.45">
      <c r="A1" s="1077" t="e">
        <f ca="1">Company</f>
        <v>#NAME?</v>
      </c>
    </row>
    <row r="2" spans="1:5" ht="15.6">
      <c r="A2" s="1078" t="e">
        <f ca="1">Note_Head</f>
        <v>#NAME?</v>
      </c>
    </row>
    <row r="5" spans="1:5">
      <c r="A5" s="1054" t="str">
        <f>'BS Sign page'!A6</f>
        <v>As per our report of even date attached</v>
      </c>
    </row>
    <row r="7" spans="1:5" ht="13.9">
      <c r="A7" s="1064" t="str">
        <f>'BS Sign page'!A8</f>
        <v>For 0</v>
      </c>
      <c r="B7" s="1101" t="str">
        <f>'BS Sign page'!B8</f>
        <v>For and on behalf of  Board of Directors</v>
      </c>
      <c r="C7" s="103"/>
      <c r="D7" s="103"/>
      <c r="E7" s="44"/>
    </row>
    <row r="8" spans="1:5" ht="13.9">
      <c r="A8" s="1064" t="str">
        <f>'BS Sign page'!A9</f>
        <v>Chartered Accountants</v>
      </c>
      <c r="B8" s="210"/>
      <c r="C8" s="44"/>
      <c r="D8" s="44"/>
      <c r="E8" s="44"/>
    </row>
    <row r="9" spans="1:5" ht="13.9">
      <c r="A9" s="1054" t="str">
        <f>'BS Sign page'!A10</f>
        <v>Firm's Registration Number: 0</v>
      </c>
      <c r="B9" s="108"/>
      <c r="C9" s="44"/>
      <c r="D9" s="44"/>
      <c r="E9" s="44"/>
    </row>
    <row r="10" spans="1:5" ht="13.9">
      <c r="A10" s="44"/>
      <c r="B10" s="108"/>
      <c r="C10" s="44"/>
      <c r="D10" s="44"/>
      <c r="E10" s="44"/>
    </row>
    <row r="11" spans="1:5" ht="13.9">
      <c r="A11" s="44"/>
      <c r="B11" s="108"/>
      <c r="C11" s="44"/>
      <c r="D11" s="44"/>
      <c r="E11" s="44"/>
    </row>
    <row r="12" spans="1:5" ht="13.9">
      <c r="A12" s="44"/>
      <c r="B12" s="108"/>
      <c r="C12" s="44"/>
      <c r="D12" s="44"/>
      <c r="E12" s="44"/>
    </row>
    <row r="13" spans="1:5" ht="13.9">
      <c r="A13" s="1064">
        <f>'BS Sign page'!A14</f>
        <v>0</v>
      </c>
      <c r="B13" s="1249" t="str">
        <f>'BS Sign page'!B14</f>
        <v/>
      </c>
      <c r="C13" s="20"/>
      <c r="D13" s="1102" t="str">
        <f>'BS Sign page'!D14</f>
        <v/>
      </c>
      <c r="E13" s="44"/>
    </row>
    <row r="14" spans="1:5" ht="13.9">
      <c r="A14" s="1054" t="str">
        <f>'BS Sign page'!A15</f>
        <v>Partner</v>
      </c>
      <c r="B14" s="1043" t="str">
        <f>'BS Sign page'!B15</f>
        <v/>
      </c>
      <c r="C14" s="20"/>
      <c r="D14" s="1054" t="str">
        <f>'BS Sign page'!D15</f>
        <v/>
      </c>
      <c r="E14" s="44"/>
    </row>
    <row r="15" spans="1:5" ht="13.9">
      <c r="A15" s="1054" t="str">
        <f>'BS Sign page'!A16</f>
        <v>Registration  No: 0</v>
      </c>
      <c r="B15" s="1043" t="str">
        <f>'BS Sign page'!B16</f>
        <v xml:space="preserve">DIN: </v>
      </c>
      <c r="C15" s="20"/>
      <c r="D15" s="1054" t="str">
        <f>'BS Sign page'!D16</f>
        <v xml:space="preserve">DIN: </v>
      </c>
      <c r="E15" s="44"/>
    </row>
    <row r="16" spans="1:5" ht="13.9">
      <c r="A16" s="20"/>
      <c r="B16" s="50"/>
      <c r="C16" s="20"/>
      <c r="D16" s="20"/>
      <c r="E16" s="44"/>
    </row>
    <row r="17" spans="1:5" ht="13.9">
      <c r="A17" s="20"/>
      <c r="B17" s="50"/>
      <c r="C17" s="20"/>
      <c r="D17" s="20"/>
      <c r="E17" s="44"/>
    </row>
    <row r="18" spans="1:5" ht="13.9">
      <c r="A18" s="20"/>
      <c r="B18" s="50"/>
      <c r="C18" s="20"/>
      <c r="D18" s="20"/>
      <c r="E18" s="44"/>
    </row>
    <row r="19" spans="1:5" ht="13.9">
      <c r="A19" s="20"/>
      <c r="B19" s="50"/>
      <c r="C19" s="20"/>
      <c r="D19" s="20"/>
      <c r="E19" s="44"/>
    </row>
    <row r="20" spans="1:5" ht="13.9">
      <c r="A20" s="20"/>
      <c r="B20" s="1249" t="str">
        <f>'BS Sign page'!B21</f>
        <v/>
      </c>
      <c r="C20" s="20"/>
      <c r="D20" s="1249" t="str">
        <f>'BS Sign page'!D21</f>
        <v/>
      </c>
      <c r="E20" s="44"/>
    </row>
    <row r="21" spans="1:5" ht="13.9">
      <c r="A21" s="20"/>
      <c r="B21" s="1043" t="str">
        <f>'BS Sign page'!B22</f>
        <v/>
      </c>
      <c r="C21" s="20"/>
      <c r="D21" s="1054" t="str">
        <f>'BS Sign page'!D22</f>
        <v/>
      </c>
      <c r="E21" s="44"/>
    </row>
    <row r="22" spans="1:5" ht="13.9">
      <c r="A22" s="44"/>
      <c r="B22" s="108"/>
      <c r="C22" s="44"/>
      <c r="D22" s="44"/>
      <c r="E22" s="44"/>
    </row>
    <row r="23" spans="1:5" ht="13.9">
      <c r="A23" s="44"/>
      <c r="B23" s="108"/>
      <c r="C23" s="44"/>
      <c r="D23" s="44"/>
      <c r="E23" s="44"/>
    </row>
    <row r="24" spans="1:5" ht="13.9">
      <c r="A24" s="44"/>
      <c r="B24" s="108"/>
      <c r="C24" s="44"/>
      <c r="D24" s="44"/>
      <c r="E24" s="44"/>
    </row>
    <row r="25" spans="1:5" ht="13.9">
      <c r="A25" s="44"/>
      <c r="B25" s="108"/>
      <c r="C25" s="44"/>
      <c r="D25" s="44"/>
      <c r="E25" s="44"/>
    </row>
    <row r="26" spans="1:5" ht="13.9">
      <c r="A26" s="44"/>
      <c r="B26" s="108"/>
      <c r="C26" s="44"/>
      <c r="D26" s="44"/>
      <c r="E26" s="44"/>
    </row>
    <row r="27" spans="1:5" ht="13.9">
      <c r="A27" s="21" t="s">
        <v>551</v>
      </c>
      <c r="B27" s="210" t="s">
        <v>551</v>
      </c>
      <c r="C27" s="20"/>
      <c r="D27" s="44"/>
      <c r="E27" s="44"/>
    </row>
    <row r="28" spans="1:5" ht="13.9">
      <c r="A28" s="20" t="s">
        <v>552</v>
      </c>
      <c r="B28" s="1264" t="s">
        <v>552</v>
      </c>
      <c r="C28" s="20"/>
      <c r="D28" s="44"/>
      <c r="E28" s="44"/>
    </row>
  </sheetData>
  <sheetProtection algorithmName="SHA-512" hashValue="WIwZZM/pOp6AqjlntQ0HrPlgBiUBcMfzDthDvtvr53JFzDAMNI4RcDP5pnRExBeJzl/lwdtJcctkcJ4S7OXE9A==" saltValue="2m7FCZyZjlyVf37PVZGu8w==" spinCount="100000" sheet="1" objects="1" scenarios="1"/>
  <pageMargins left="0.7" right="0.7" top="0.75" bottom="0.75" header="0.3" footer="0.3"/>
  <pageSetup scale="96"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030D8-4C34-4BDA-B5F9-E5F8C69B80C0}">
  <sheetPr codeName="Sheet41">
    <tabColor theme="9"/>
  </sheetPr>
  <dimension ref="C3:K11"/>
  <sheetViews>
    <sheetView showGridLines="0" view="pageBreakPreview" zoomScaleNormal="100" zoomScaleSheetLayoutView="100" workbookViewId="0">
      <selection activeCell="G20" sqref="G20"/>
    </sheetView>
  </sheetViews>
  <sheetFormatPr defaultColWidth="9.42578125" defaultRowHeight="13.15"/>
  <cols>
    <col min="1" max="2" style="2" width="9.42578125"/>
    <col min="3" max="3" customWidth="true" style="2" width="19.42578125"/>
    <col min="4" max="4" customWidth="true" style="2" width="16.42578125"/>
    <col min="5" max="5" customWidth="true" style="2" width="22.5703125"/>
    <col min="6" max="6" bestFit="true" customWidth="true" style="2" width="21.5703125"/>
    <col min="7" max="9" style="2" width="9.42578125"/>
    <col min="10" max="10" bestFit="true" customWidth="true" style="2" width="12.42578125"/>
    <col min="11" max="11" customWidth="true" style="2" width="7.5703125"/>
    <col min="12" max="16384" style="2" width="9.42578125"/>
  </cols>
  <sheetData>
    <row r="3" spans="3:11" ht="14.45">
      <c r="C3" s="416" t="s">
        <v>2427</v>
      </c>
    </row>
    <row r="4" spans="3:11" ht="14.45">
      <c r="J4" s="652"/>
      <c r="K4" s="652"/>
    </row>
    <row r="5" spans="3:11" ht="14.45">
      <c r="C5" s="415" t="s">
        <v>2428</v>
      </c>
      <c r="D5" s="415" t="s">
        <v>2429</v>
      </c>
      <c r="E5" s="415" t="s">
        <v>2430</v>
      </c>
      <c r="F5" s="415" t="s">
        <v>2431</v>
      </c>
      <c r="J5" s="652"/>
      <c r="K5" s="652"/>
    </row>
    <row r="6" spans="3:11" ht="14.45">
      <c r="C6" s="2" t="s">
        <v>51</v>
      </c>
      <c r="D6" s="2" t="s">
        <v>2432</v>
      </c>
      <c r="E6" s="2" t="s">
        <v>2433</v>
      </c>
      <c r="F6" s="652" t="s">
        <v>2434</v>
      </c>
      <c r="J6" s="652"/>
      <c r="K6" s="652"/>
    </row>
    <row r="7" spans="3:11" ht="14.45">
      <c r="C7" s="2" t="s">
        <v>50</v>
      </c>
      <c r="D7" s="652" t="s">
        <v>2435</v>
      </c>
      <c r="E7" s="2" t="s">
        <v>2436</v>
      </c>
      <c r="F7" s="652" t="s">
        <v>2437</v>
      </c>
      <c r="J7" s="652"/>
      <c r="K7" s="652"/>
    </row>
    <row r="8" spans="3:11" ht="14.45">
      <c r="C8" s="15" t="s">
        <v>6</v>
      </c>
      <c r="D8" s="652" t="s">
        <v>2438</v>
      </c>
      <c r="E8" s="15" t="s">
        <v>2439</v>
      </c>
      <c r="F8" s="652" t="s">
        <v>2440</v>
      </c>
      <c r="J8" s="652"/>
      <c r="K8" s="652"/>
    </row>
    <row r="9" spans="3:11" ht="14.45">
      <c r="C9" s="652" t="s">
        <v>54</v>
      </c>
      <c r="D9" s="652" t="s">
        <v>2441</v>
      </c>
      <c r="E9" s="652" t="s">
        <v>2442</v>
      </c>
      <c r="F9" s="652" t="s">
        <v>2443</v>
      </c>
      <c r="J9" s="652"/>
      <c r="K9" s="652"/>
    </row>
    <row r="10" spans="3:11" ht="14.45">
      <c r="C10" s="2" t="s">
        <v>52</v>
      </c>
      <c r="D10" s="652" t="s">
        <v>2444</v>
      </c>
      <c r="E10" s="652" t="s">
        <v>2445</v>
      </c>
      <c r="F10" s="652" t="s">
        <v>2446</v>
      </c>
      <c r="J10" s="652"/>
      <c r="K10" s="652"/>
    </row>
    <row r="11" spans="3:11" ht="14.45">
      <c r="C11" s="2" t="s">
        <v>53</v>
      </c>
      <c r="D11" s="652" t="s">
        <v>2447</v>
      </c>
      <c r="E11" s="652" t="s">
        <v>2448</v>
      </c>
      <c r="F11" s="652" t="s">
        <v>2449</v>
      </c>
    </row>
  </sheetData>
  <sheetProtection algorithmName="SHA-512" hashValue="Lm4L4bAtjA1fTmUukyrqQ+qXz89WDPGzvU6KEhL+vfnggGq3HGnLGsEL0gwVat/4BVNhXrEUrUHKk0LKPx7DCg==" saltValue="/UxqJdBtwGPUNCW9t9rtaQ==" spinCount="100000" sheet="1" objects="1" scenarios="1"/>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C19"/>
  <sheetViews>
    <sheetView zoomScaleNormal="100" zoomScaleSheetLayoutView="100" workbookViewId="0"/>
  </sheetViews>
  <sheetFormatPr defaultRowHeight="15"/>
  <sheetData>
    <row r="1" spans="1:3">
      <c r="A1" t="s" s="0">
        <v>2450</v>
      </c>
      <c r="B1" t="s" s="0">
        <v>2451</v>
      </c>
      <c r="C1" t="s" s="0">
        <v>2</v>
      </c>
    </row>
    <row r="2" spans="1:3">
      <c r="A2" t="s" s="0">
        <v>2452</v>
      </c>
      <c r="B2" s="0">
        <v>7756</v>
      </c>
      <c r="C2" t="s" s="0">
        <v>2453</v>
      </c>
    </row>
    <row r="3" spans="1:3">
      <c r="A3" t="s" s="0">
        <v>2454</v>
      </c>
      <c r="B3" t="s" s="0">
        <v>2455</v>
      </c>
      <c r="C3" t="s" s="0">
        <v>2455</v>
      </c>
    </row>
    <row r="4" spans="1:3">
      <c r="A4" t="s" s="0">
        <v>2456</v>
      </c>
      <c r="B4" t="s" s="0">
        <v>2457</v>
      </c>
      <c r="C4" t="s" s="0">
        <v>2457</v>
      </c>
    </row>
    <row r="5" spans="1:3">
      <c r="A5" t="s" s="0">
        <v>2458</v>
      </c>
      <c r="B5" t="s" s="0">
        <v>95</v>
      </c>
      <c r="C5" t="s" s="0">
        <v>95</v>
      </c>
    </row>
    <row r="6" spans="1:3">
      <c r="A6" t="s" s="0">
        <v>2459</v>
      </c>
      <c r="B6" s="0">
        <v>189</v>
      </c>
      <c r="C6" t="s" s="0">
        <v>2460</v>
      </c>
    </row>
    <row r="7" spans="1:3">
      <c r="A7" t="s" s="0">
        <v>2461</v>
      </c>
      <c r="B7" t="s" s="0">
        <v>2462</v>
      </c>
      <c r="C7" t="s" s="0">
        <v>2463</v>
      </c>
    </row>
    <row r="8" spans="1:3">
      <c r="A8" t="s" s="0">
        <v>2464</v>
      </c>
      <c r="B8" s="0">
        <v>55438</v>
      </c>
      <c r="C8" t="s" s="0">
        <v>2465</v>
      </c>
    </row>
    <row r="9" spans="1:3">
      <c r="A9" t="s" s="0">
        <v>2466</v>
      </c>
      <c r="B9" s="0">
        <v>3588</v>
      </c>
      <c r="C9" t="s" s="0">
        <v>2467</v>
      </c>
    </row>
    <row r="10" spans="1:3">
      <c r="A10" t="s" s="0">
        <v>2468</v>
      </c>
      <c r="B10" t="s" s="0">
        <v>2469</v>
      </c>
    </row>
    <row r="11" spans="1:3">
      <c r="A11" t="s" s="0">
        <v>2470</v>
      </c>
      <c r="B11" t="s" s="0">
        <v>2453</v>
      </c>
      <c r="C11" t="s" s="0">
        <v>2471</v>
      </c>
    </row>
    <row r="12" spans="1:3">
      <c r="A12" t="s" s="0">
        <v>2472</v>
      </c>
      <c r="B12" t="s" s="0">
        <v>2462</v>
      </c>
      <c r="C12" t="s" s="0">
        <v>2463</v>
      </c>
    </row>
    <row r="13" spans="1:3">
      <c r="A13" t="s" s="0">
        <v>2473</v>
      </c>
    </row>
    <row r="14" spans="1:3">
      <c r="A14" t="s" s="0">
        <v>2474</v>
      </c>
    </row>
    <row r="15" spans="1:3">
      <c r="A15" t="s" s="0">
        <v>2475</v>
      </c>
    </row>
    <row r="16" spans="1:3">
      <c r="A16" t="s" s="0">
        <v>2476</v>
      </c>
    </row>
    <row r="17" spans="1:2">
      <c r="A17" t="s" s="0">
        <v>2477</v>
      </c>
      <c r="B17" t="s" s="0">
        <v>2478</v>
      </c>
    </row>
    <row r="18" spans="1:2">
      <c r="A18" t="s" s="0">
        <v>2479</v>
      </c>
      <c r="B18" t="s" s="0">
        <v>2480</v>
      </c>
    </row>
    <row r="19" spans="1:2">
      <c r="A19" t="s" s="0">
        <v>2481</v>
      </c>
      <c r="B19" t="s" s="0">
        <v>2482</v>
      </c>
    </row>
  </sheetData>
  <pageMargins left="0" right="0" top="0" bottom="0" header="0" footer="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N19"/>
  <sheetViews>
    <sheetView zoomScaleNormal="100" zoomScaleSheetLayoutView="100" workbookViewId="0"/>
  </sheetViews>
  <sheetFormatPr defaultRowHeight="15"/>
  <sheetData>
    <row r="1" spans="1:14">
      <c r="A1" t="s" s="0">
        <v>2450</v>
      </c>
      <c r="B1" t="s" s="0">
        <v>2451</v>
      </c>
      <c r="C1" t="s" s="0">
        <v>2</v>
      </c>
    </row>
    <row r="2" spans="1:14">
      <c r="A2" t="s" s="0">
        <v>2483</v>
      </c>
      <c r="B2" s="0">
        <v>11917</v>
      </c>
    </row>
    <row r="3" spans="1:14">
      <c r="A3" t="s" s="0">
        <v>2484</v>
      </c>
      <c r="B3" s="0">
        <v>7756</v>
      </c>
      <c r="C3" t="s" s="0">
        <v>2453</v>
      </c>
      <c r="D3" t="s" s="0">
        <v>2471</v>
      </c>
      <c r="F3" t="s" s="0">
        <v>2485</v>
      </c>
      <c r="G3" t="s" s="0">
        <v>2485</v>
      </c>
    </row>
    <row r="4" spans="1:14">
      <c r="A4" t="s" s="0">
        <v>2454</v>
      </c>
      <c r="B4" t="s" s="0">
        <v>2455</v>
      </c>
      <c r="C4" t="s" s="0">
        <v>2455</v>
      </c>
    </row>
    <row r="5" spans="1:14">
      <c r="A5" t="s" s="0">
        <v>2456</v>
      </c>
      <c r="B5" t="s" s="0">
        <v>2457</v>
      </c>
      <c r="C5" t="s" s="0">
        <v>2457</v>
      </c>
    </row>
    <row r="6" spans="1:14">
      <c r="A6" t="s" s="0">
        <v>2458</v>
      </c>
      <c r="B6" t="s" s="0">
        <v>95</v>
      </c>
      <c r="C6" t="s" s="0">
        <v>95</v>
      </c>
    </row>
    <row r="7" spans="1:14">
      <c r="A7" t="s" s="0">
        <v>2486</v>
      </c>
      <c r="B7" s="0">
        <v>189</v>
      </c>
      <c r="C7" t="s" s="0">
        <v>2460</v>
      </c>
    </row>
    <row r="8" spans="1:14">
      <c r="A8" t="s" s="0">
        <v>2461</v>
      </c>
      <c r="B8" t="s" s="0">
        <v>2462</v>
      </c>
      <c r="C8" t="s" s="0">
        <v>2463</v>
      </c>
    </row>
    <row r="9" spans="1:14">
      <c r="A9" t="s" s="0">
        <v>2487</v>
      </c>
      <c r="B9" s="0">
        <v>55438</v>
      </c>
      <c r="C9" t="s" s="0">
        <v>2465</v>
      </c>
    </row>
    <row r="10" spans="1:14">
      <c r="A10" t="s" s="0">
        <v>2488</v>
      </c>
      <c r="B10" s="0">
        <v>3588</v>
      </c>
      <c r="C10" t="s" s="0">
        <v>2467</v>
      </c>
      <c r="D10" t="s" s="0">
        <v>2478</v>
      </c>
      <c r="E10" t="s" s="0">
        <v>2489</v>
      </c>
      <c r="F10" t="s" s="0">
        <v>2480</v>
      </c>
    </row>
    <row r="11" spans="1:14">
      <c r="A11" t="s" s="0">
        <v>2468</v>
      </c>
      <c r="B11" t="s" s="0">
        <v>2469</v>
      </c>
    </row>
    <row r="12" spans="1:14">
      <c r="A12" t="s" s="0">
        <v>2490</v>
      </c>
      <c r="B12" s="0">
        <v>77858</v>
      </c>
      <c r="C12" t="s" s="0">
        <v>2491</v>
      </c>
    </row>
    <row r="13" spans="1:14">
      <c r="A13" t="s" s="0">
        <v>2492</v>
      </c>
      <c r="B13" s="0">
        <v>19678</v>
      </c>
      <c r="C13" t="s" s="0">
        <v>2493</v>
      </c>
    </row>
    <row r="14" spans="1:14">
      <c r="B14" t="s" s="0">
        <v>2494</v>
      </c>
      <c r="C14" t="s" s="0">
        <v>2495</v>
      </c>
      <c r="D14" t="s" s="0">
        <v>2496</v>
      </c>
      <c r="E14" t="s" s="0">
        <v>2497</v>
      </c>
      <c r="F14" t="s" s="0">
        <v>2498</v>
      </c>
      <c r="G14" t="s" s="0">
        <v>2499</v>
      </c>
      <c r="H14" t="s" s="0">
        <v>2500</v>
      </c>
      <c r="I14" t="s" s="0">
        <v>2501</v>
      </c>
      <c r="J14" t="s" s="0">
        <v>2502</v>
      </c>
      <c r="K14" t="s" s="0">
        <v>2503</v>
      </c>
      <c r="L14" t="s" s="0">
        <v>2504</v>
      </c>
      <c r="M14" t="s" s="0">
        <v>2505</v>
      </c>
      <c r="N14" t="s" s="0">
        <v>2506</v>
      </c>
    </row>
    <row r="15" spans="1:14">
      <c r="A15" t="s" s="0">
        <v>2507</v>
      </c>
      <c r="B15" t="s" s="0">
        <v>2462</v>
      </c>
      <c r="C15" t="s" s="0">
        <v>2508</v>
      </c>
      <c r="D15" t="s" s="0">
        <v>2509</v>
      </c>
      <c r="E15" t="s" s="0">
        <v>2510</v>
      </c>
      <c r="F15" t="s" s="0">
        <v>2511</v>
      </c>
      <c r="G15" t="s" s="0">
        <v>2512</v>
      </c>
      <c r="H15" t="s" s="0">
        <v>2120</v>
      </c>
      <c r="I15" t="s" s="0">
        <v>2121</v>
      </c>
      <c r="J15" t="s" s="0">
        <v>2513</v>
      </c>
    </row>
    <row r="16" spans="1:14">
      <c r="A16" t="s" s="0">
        <v>2514</v>
      </c>
    </row>
    <row r="17" spans="1:2">
      <c r="A17" t="s" s="0">
        <v>2515</v>
      </c>
      <c r="B17" t="s" s="0">
        <v>2457</v>
      </c>
    </row>
    <row r="18" spans="1:2">
      <c r="A18" t="s" s="0">
        <v>2516</v>
      </c>
    </row>
    <row r="19" spans="1:2">
      <c r="A19" t="s" s="0">
        <v>2517</v>
      </c>
      <c r="B19" t="s" s="0">
        <v>2518</v>
      </c>
    </row>
  </sheetData>
  <pageMargins left="0" right="0" top="0" bottom="0" header="0" footer="0"/>
</worksheet>
</file>

<file path=xl/worksheets/sheet97.xml><?xml version="1.0" encoding="utf-8"?>
<worksheet xmlns="http://schemas.openxmlformats.org/spreadsheetml/2006/main">
  <sheetPr>
    <outlinePr showOutlineSymbols="true" summaryBelow="false" summaryRight="true"/>
    <pageSetUpPr autoPageBreaks="true" fitToPage="false"/>
  </sheetPr>
  <dimension ref="A1:C61"/>
  <sheetViews>
    <sheetView workbookViewId="0" showFormulas="false" showGridLines="false" showRowColHeaders="true" showZeros="true" rightToLeft="false" zoomScale="100"/>
  </sheetViews>
  <sheetFormatPr defaultRowHeight="15.0" baseColWidth="8" customHeight="true"/>
  <cols>
    <col min="1" max="1" width="58.33203125" customWidth="true" style="1283"/>
    <col min="2" max="2" width="8.33203125" customWidth="true" style="1283"/>
    <col min="3" max="3" width="17.5" customWidth="true" style="1283"/>
    <col min="4" max="4" width="8.0" customWidth="true" style="1283"/>
  </cols>
  <sheetData>
    <row r="1" ht="25.0" customHeight="true">
      <c r="A1" s="1609" t="s">
        <v>2574</v>
      </c>
      <c r="B1" s="1609" t="s">
        <v>1938</v>
      </c>
      <c r="C1" s="1609" t="s">
        <v>1938</v>
      </c>
    </row>
    <row r="2" ht="27.0" customHeight="true">
      <c r="A2" s="1610" t="s">
        <v>2575</v>
      </c>
      <c r="B2" s="1610" t="s">
        <v>2576</v>
      </c>
      <c r="C2" s="1610" t="s">
        <v>2577</v>
      </c>
    </row>
    <row r="3" ht="14.0" customHeight="true">
      <c r="A3" s="1610" t="s">
        <v>1938</v>
      </c>
      <c r="B3" s="1610" t="s">
        <v>1938</v>
      </c>
      <c r="C3" s="1610" t="s">
        <v>2578</v>
      </c>
    </row>
    <row r="4" ht="14.0" customHeight="true">
      <c r="A4" s="1610" t="s">
        <v>1938</v>
      </c>
      <c r="B4" s="1610" t="s">
        <v>1938</v>
      </c>
      <c r="C4" s="1610" t="s">
        <v>95</v>
      </c>
    </row>
    <row r="5" ht="14.0" customHeight="true">
      <c r="A5" s="1610" t="s">
        <v>1938</v>
      </c>
      <c r="B5" s="1610" t="s">
        <v>1938</v>
      </c>
      <c r="C5" s="1610" t="s">
        <v>2457</v>
      </c>
    </row>
    <row r="6" ht="27.0" customHeight="true">
      <c r="A6" s="1610" t="s">
        <v>1938</v>
      </c>
      <c r="B6" s="1610" t="s">
        <v>1938</v>
      </c>
      <c r="C6" s="1610" t="s">
        <v>2455</v>
      </c>
    </row>
    <row r="7" ht="18.0" customHeight="true">
      <c r="A7" s="1611" t="s">
        <v>2579</v>
      </c>
      <c r="B7" s="1611" t="s">
        <v>1938</v>
      </c>
      <c r="C7" s="1614" t="s">
        <v>1938</v>
      </c>
    </row>
    <row r="8" ht="18.0" customHeight="true">
      <c r="A8" s="1611" t="s">
        <v>2580</v>
      </c>
      <c r="B8" s="1611" t="s">
        <v>1938</v>
      </c>
      <c r="C8" s="1615" t="n">
        <v>0.0</v>
      </c>
    </row>
    <row r="9" ht="18.0" customHeight="true">
      <c r="A9" s="1611" t="s">
        <v>2581</v>
      </c>
      <c r="B9" s="1611" t="s">
        <v>1938</v>
      </c>
      <c r="C9" s="1615"/>
    </row>
    <row r="10" ht="18.0" customHeight="true">
      <c r="A10" s="1611" t="s">
        <v>2582</v>
      </c>
      <c r="B10" s="1611" t="s">
        <v>1938</v>
      </c>
      <c r="C10" s="1615"/>
    </row>
    <row r="11" ht="18.0" customHeight="true">
      <c r="A11" s="1611" t="s">
        <v>2583</v>
      </c>
      <c r="B11" s="1611" t="s">
        <v>1938</v>
      </c>
      <c r="C11" s="1615" t="n">
        <v>784498.85</v>
      </c>
    </row>
    <row r="12" ht="18.0" customHeight="true">
      <c r="A12" s="1611" t="s">
        <v>2584</v>
      </c>
      <c r="B12" s="1611" t="s">
        <v>2585</v>
      </c>
      <c r="C12" s="1615" t="n">
        <v>0.0</v>
      </c>
    </row>
    <row r="13" ht="18.0" customHeight="true">
      <c r="A13" s="1611" t="s">
        <v>2586</v>
      </c>
      <c r="B13" s="1611" t="s">
        <v>2587</v>
      </c>
      <c r="C13" s="1615" t="n">
        <v>1055399.55</v>
      </c>
    </row>
    <row r="14" ht="18.0" customHeight="true">
      <c r="A14" s="1616" t="s">
        <v>2588</v>
      </c>
      <c r="B14" s="1616" t="s">
        <v>1938</v>
      </c>
      <c r="C14" s="1617" t="n">
        <v>1839898.4</v>
      </c>
    </row>
    <row r="15" ht="18.0" customHeight="true">
      <c r="A15" s="1611" t="s">
        <v>2589</v>
      </c>
      <c r="B15" s="1611" t="s">
        <v>1938</v>
      </c>
      <c r="C15" s="1615"/>
    </row>
    <row r="16" ht="18.0" customHeight="true">
      <c r="A16" s="1611" t="s">
        <v>2590</v>
      </c>
      <c r="B16" s="1611" t="s">
        <v>2591</v>
      </c>
      <c r="C16" s="1615" t="n">
        <v>194002.0</v>
      </c>
    </row>
    <row r="17" ht="18.0" customHeight="true">
      <c r="A17" s="1611" t="s">
        <v>2592</v>
      </c>
      <c r="B17" s="1611" t="s">
        <v>1938</v>
      </c>
      <c r="C17" s="1615" t="n">
        <v>160000.0</v>
      </c>
    </row>
    <row r="18" ht="18.0" customHeight="true">
      <c r="A18" s="1611" t="s">
        <v>2593</v>
      </c>
      <c r="B18" s="1611" t="s">
        <v>1938</v>
      </c>
      <c r="C18" s="1615" t="n">
        <v>34002.0</v>
      </c>
    </row>
    <row r="19" ht="18.0" customHeight="true">
      <c r="A19" s="1611" t="s">
        <v>2594</v>
      </c>
      <c r="B19" s="1611" t="s">
        <v>2595</v>
      </c>
      <c r="C19" s="1615" t="n">
        <v>33009.87</v>
      </c>
    </row>
    <row r="20" ht="18.0" customHeight="true">
      <c r="A20" s="1618" t="s">
        <v>2596</v>
      </c>
      <c r="B20" s="1618" t="s">
        <v>1938</v>
      </c>
      <c r="C20" s="1619" t="n">
        <v>227011.87</v>
      </c>
    </row>
    <row r="21" ht="18.0" customHeight="true">
      <c r="A21" s="1611" t="s">
        <v>2597</v>
      </c>
      <c r="B21" s="1611" t="s">
        <v>2598</v>
      </c>
      <c r="C21" s="1615" t="n">
        <v>32693.02</v>
      </c>
    </row>
    <row r="22" ht="18.0" customHeight="true">
      <c r="A22" s="1611" t="s">
        <v>2599</v>
      </c>
      <c r="B22" s="1611" t="s">
        <v>2600</v>
      </c>
      <c r="C22" s="1615" t="n">
        <v>179011.73</v>
      </c>
    </row>
    <row r="23" ht="18.0" customHeight="true">
      <c r="A23" s="1618" t="s">
        <v>2601</v>
      </c>
      <c r="B23" s="1618" t="s">
        <v>1938</v>
      </c>
      <c r="C23" s="1619" t="n">
        <v>2278615.02</v>
      </c>
    </row>
    <row r="24" ht="18.0" customHeight="true">
      <c r="A24" s="1611" t="s">
        <v>2602</v>
      </c>
      <c r="B24" s="1611" t="s">
        <v>1938</v>
      </c>
      <c r="C24" s="1615"/>
    </row>
    <row r="25" ht="18.0" customHeight="true">
      <c r="A25" s="1611" t="s">
        <v>2603</v>
      </c>
      <c r="B25" s="1611" t="s">
        <v>1938</v>
      </c>
      <c r="C25" s="1615" t="n">
        <v>451634.58</v>
      </c>
    </row>
    <row r="26" ht="18.0" customHeight="true">
      <c r="A26" s="1611" t="s">
        <v>2589</v>
      </c>
      <c r="B26" s="1611" t="s">
        <v>1938</v>
      </c>
      <c r="C26" s="1615"/>
    </row>
    <row r="27" ht="18.0" customHeight="true">
      <c r="A27" s="1611" t="s">
        <v>2604</v>
      </c>
      <c r="B27" s="1611" t="s">
        <v>2605</v>
      </c>
      <c r="C27" s="1615" t="n">
        <v>1573729.63</v>
      </c>
    </row>
    <row r="28" ht="18.0" customHeight="true">
      <c r="A28" s="1611" t="s">
        <v>2606</v>
      </c>
      <c r="B28" s="1611" t="s">
        <v>2607</v>
      </c>
      <c r="C28" s="1615" t="n">
        <v>509064.97</v>
      </c>
    </row>
    <row r="29" ht="18.0" customHeight="true">
      <c r="A29" s="1611" t="s">
        <v>2594</v>
      </c>
      <c r="B29" s="1611" t="s">
        <v>2608</v>
      </c>
      <c r="C29" s="1615" t="n">
        <v>39107.3</v>
      </c>
    </row>
    <row r="30" ht="18.0" customHeight="true">
      <c r="A30" s="1611" t="s">
        <v>2609</v>
      </c>
      <c r="B30" s="1611" t="s">
        <v>2610</v>
      </c>
      <c r="C30" s="1615" t="n">
        <v>136636.73</v>
      </c>
    </row>
    <row r="31" ht="18.0" customHeight="true">
      <c r="A31" s="1616" t="s">
        <v>2611</v>
      </c>
      <c r="B31" s="1616" t="s">
        <v>1938</v>
      </c>
      <c r="C31" s="1617" t="n">
        <v>2710173.22</v>
      </c>
    </row>
    <row r="32" ht="18.0" customHeight="true">
      <c r="A32" s="1618" t="s">
        <v>2612</v>
      </c>
      <c r="B32" s="1618" t="s">
        <v>1938</v>
      </c>
      <c r="C32" s="1619" t="n">
        <v>4988788.24</v>
      </c>
    </row>
    <row r="33" ht="18.0" customHeight="true">
      <c r="A33" s="1611" t="s">
        <v>2613</v>
      </c>
      <c r="B33" s="1611" t="s">
        <v>1938</v>
      </c>
      <c r="C33" s="1615"/>
    </row>
    <row r="34" ht="18.0" customHeight="true">
      <c r="A34" s="1611" t="s">
        <v>2614</v>
      </c>
      <c r="B34" s="1611" t="s">
        <v>1938</v>
      </c>
      <c r="C34" s="1615"/>
    </row>
    <row r="35" ht="18.0" customHeight="true">
      <c r="A35" s="1611" t="s">
        <v>2615</v>
      </c>
      <c r="B35" s="1611" t="s">
        <v>2616</v>
      </c>
      <c r="C35" s="1615" t="n">
        <v>50000.0</v>
      </c>
    </row>
    <row r="36" ht="18.0" customHeight="true">
      <c r="A36" s="1611" t="s">
        <v>2617</v>
      </c>
      <c r="B36" s="1611" t="s">
        <v>2618</v>
      </c>
      <c r="C36" s="1615" t="n">
        <v>-2113741.66</v>
      </c>
    </row>
    <row r="37" ht="18.0" customHeight="true">
      <c r="A37" s="1616" t="s">
        <v>2619</v>
      </c>
      <c r="B37" s="1616" t="s">
        <v>1938</v>
      </c>
      <c r="C37" s="1617" t="n">
        <v>-2063741.66</v>
      </c>
    </row>
    <row r="38" ht="18.0" customHeight="true">
      <c r="A38" s="1611" t="s">
        <v>2620</v>
      </c>
      <c r="B38" s="1611" t="s">
        <v>1938</v>
      </c>
      <c r="C38" s="1615"/>
    </row>
    <row r="39" ht="18.0" customHeight="true">
      <c r="A39" s="1611" t="s">
        <v>2621</v>
      </c>
      <c r="B39" s="1611" t="s">
        <v>1938</v>
      </c>
      <c r="C39" s="1615"/>
    </row>
    <row r="40" ht="18.0" customHeight="true">
      <c r="A40" s="1611" t="s">
        <v>2622</v>
      </c>
      <c r="B40" s="1611" t="s">
        <v>1938</v>
      </c>
      <c r="C40" s="1615"/>
    </row>
    <row r="41" ht="18.0" customHeight="true">
      <c r="A41" s="1611" t="s">
        <v>2623</v>
      </c>
      <c r="B41" s="1611" t="s">
        <v>2624</v>
      </c>
      <c r="C41" s="1615" t="n">
        <v>4666168.9</v>
      </c>
    </row>
    <row r="42" ht="18.0" customHeight="true">
      <c r="A42" s="1611" t="s">
        <v>2625</v>
      </c>
      <c r="B42" s="1611" t="s">
        <v>2626</v>
      </c>
      <c r="C42" s="1615" t="n">
        <v>560039.44</v>
      </c>
    </row>
    <row r="43" ht="18.0" customHeight="true">
      <c r="A43" s="1618" t="s">
        <v>2627</v>
      </c>
      <c r="B43" s="1618" t="s">
        <v>1938</v>
      </c>
      <c r="C43" s="1619" t="n">
        <v>5226208.34</v>
      </c>
    </row>
    <row r="44" ht="18.0" customHeight="true">
      <c r="A44" s="1611" t="s">
        <v>2628</v>
      </c>
      <c r="B44" s="1611" t="s">
        <v>2629</v>
      </c>
      <c r="C44" s="1615" t="n">
        <v>-0.03</v>
      </c>
    </row>
    <row r="45" ht="18.0" customHeight="true">
      <c r="A45" s="1616" t="s">
        <v>2630</v>
      </c>
      <c r="B45" s="1616" t="s">
        <v>1938</v>
      </c>
      <c r="C45" s="1617" t="n">
        <v>5226208.31</v>
      </c>
    </row>
    <row r="46" ht="18.0" customHeight="true">
      <c r="A46" s="1611" t="s">
        <v>2631</v>
      </c>
      <c r="B46" s="1611" t="s">
        <v>1938</v>
      </c>
      <c r="C46" s="1615"/>
    </row>
    <row r="47" ht="18.0" customHeight="true">
      <c r="A47" s="1611" t="s">
        <v>2622</v>
      </c>
      <c r="B47" s="1611" t="s">
        <v>1938</v>
      </c>
      <c r="C47" s="1615"/>
    </row>
    <row r="48" ht="18.0" customHeight="true">
      <c r="A48" s="1618" t="s">
        <v>2623</v>
      </c>
      <c r="B48" s="1618" t="s">
        <v>2632</v>
      </c>
      <c r="C48" s="1619" t="n">
        <v>4725.45</v>
      </c>
    </row>
    <row r="49" ht="18.0" customHeight="true">
      <c r="A49" s="1611" t="s">
        <v>2625</v>
      </c>
      <c r="B49" s="1611" t="s">
        <v>2633</v>
      </c>
      <c r="C49" s="1615" t="n">
        <v>551159.65</v>
      </c>
    </row>
    <row r="50" ht="18.0" customHeight="true">
      <c r="A50" s="1611" t="s">
        <v>2634</v>
      </c>
      <c r="B50" s="1611" t="s">
        <v>2635</v>
      </c>
      <c r="C50" s="1615"/>
    </row>
    <row r="51" ht="31.0" customHeight="true">
      <c r="A51" s="1611" t="s">
        <v>2636</v>
      </c>
      <c r="B51" s="1611" t="s">
        <v>1938</v>
      </c>
      <c r="C51" s="1615" t="n">
        <v>959086.21</v>
      </c>
    </row>
    <row r="52" ht="18.0" customHeight="true">
      <c r="A52" s="1618" t="s">
        <v>2637</v>
      </c>
      <c r="B52" s="1618" t="s">
        <v>1938</v>
      </c>
      <c r="C52" s="1619" t="n">
        <v>959086.21</v>
      </c>
    </row>
    <row r="53" ht="18.0" customHeight="true">
      <c r="A53" s="1611" t="s">
        <v>2638</v>
      </c>
      <c r="B53" s="1611" t="s">
        <v>2639</v>
      </c>
      <c r="C53" s="1615" t="n">
        <v>-443.22</v>
      </c>
    </row>
    <row r="54" ht="18.0" customHeight="true">
      <c r="A54" s="1618" t="s">
        <v>2640</v>
      </c>
      <c r="B54" s="1618" t="s">
        <v>1938</v>
      </c>
      <c r="C54" s="1619" t="n">
        <v>1514528.09</v>
      </c>
    </row>
    <row r="55" ht="18.0" customHeight="true">
      <c r="A55" s="1611" t="s">
        <v>2641</v>
      </c>
      <c r="B55" s="1611" t="s">
        <v>2642</v>
      </c>
      <c r="C55" s="1615" t="n">
        <v>231100.85</v>
      </c>
    </row>
    <row r="56" ht="18.0" customHeight="true">
      <c r="A56" s="1611" t="s">
        <v>2643</v>
      </c>
      <c r="B56" s="1611" t="s">
        <v>2644</v>
      </c>
      <c r="C56" s="1615" t="n">
        <v>80692.66</v>
      </c>
    </row>
    <row r="57" ht="18.0" customHeight="true">
      <c r="A57" s="1616" t="s">
        <v>2645</v>
      </c>
      <c r="B57" s="1616" t="s">
        <v>1938</v>
      </c>
      <c r="C57" s="1617" t="n">
        <v>1826321.6</v>
      </c>
    </row>
    <row r="58" ht="18.0" customHeight="true">
      <c r="A58" s="1618" t="s">
        <v>2646</v>
      </c>
      <c r="B58" s="1618" t="s">
        <v>1938</v>
      </c>
      <c r="C58" s="1619" t="n">
        <v>7052529.9</v>
      </c>
    </row>
    <row r="59" ht="18.0" customHeight="true">
      <c r="A59" s="1618" t="s">
        <v>2647</v>
      </c>
      <c r="B59" s="1618" t="s">
        <v>1938</v>
      </c>
      <c r="C59" s="1619" t="n">
        <v>4988788.24</v>
      </c>
    </row>
    <row r="60" ht="18.0" customHeight="true">
      <c r="A60" s="1616" t="s">
        <v>1938</v>
      </c>
      <c r="B60" s="1616" t="s">
        <v>1938</v>
      </c>
      <c r="C60" s="1617"/>
    </row>
    <row r="61" ht="1.0" customHeight="true">
      <c r="A61" s="1613" t="s">
        <v>1938</v>
      </c>
      <c r="B61" s="1613" t="s">
        <v>1938</v>
      </c>
      <c r="C61" s="1613" t="s">
        <v>1938</v>
      </c>
    </row>
  </sheetData>
  <mergeCells count="4">
    <mergeCell ref="A1:C1"/>
    <mergeCell ref="A2:A6"/>
    <mergeCell ref="B2:B6"/>
    <mergeCell ref="A61:C61"/>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98.xml><?xml version="1.0" encoding="utf-8"?>
<worksheet xmlns="http://schemas.openxmlformats.org/spreadsheetml/2006/main">
  <sheetPr>
    <outlinePr showOutlineSymbols="true" summaryBelow="false" summaryRight="true"/>
    <pageSetUpPr autoPageBreaks="true" fitToPage="false"/>
  </sheetPr>
  <dimension ref="A1:D29"/>
  <sheetViews>
    <sheetView workbookViewId="0" showFormulas="false" showGridLines="false" showRowColHeaders="true" showZeros="true" rightToLeft="false" zoomScale="100"/>
  </sheetViews>
  <sheetFormatPr defaultRowHeight="15.0" baseColWidth="8" customHeight="true"/>
  <cols>
    <col min="1" max="1" width="58.33203125" customWidth="true" style="1283"/>
    <col min="2" max="2" width="13.33203125" customWidth="true" style="1283"/>
    <col min="3" max="3" width="50.0" customWidth="true" style="1283"/>
    <col min="4" max="4" width="17.5" customWidth="true" style="1283"/>
    <col min="5" max="5" width="8.0" customWidth="true" style="1283"/>
  </cols>
  <sheetData>
    <row r="1" ht="25.0" customHeight="true">
      <c r="A1" s="1609" t="s">
        <v>2648</v>
      </c>
      <c r="B1" s="1609" t="s">
        <v>1938</v>
      </c>
      <c r="C1" s="1609" t="s">
        <v>1938</v>
      </c>
      <c r="D1" s="1609" t="s">
        <v>1938</v>
      </c>
    </row>
    <row r="2" ht="27.0" customHeight="true">
      <c r="A2" s="1610" t="s">
        <v>2575</v>
      </c>
      <c r="B2" s="1610" t="s">
        <v>2649</v>
      </c>
      <c r="C2" s="1610" t="s">
        <v>5</v>
      </c>
      <c r="D2" s="1610" t="s">
        <v>2577</v>
      </c>
    </row>
    <row r="3" ht="14.0" customHeight="true">
      <c r="A3" s="1610" t="s">
        <v>1938</v>
      </c>
      <c r="B3" s="1610" t="s">
        <v>1938</v>
      </c>
      <c r="C3" s="1610" t="s">
        <v>1938</v>
      </c>
      <c r="D3" s="1610" t="s">
        <v>2578</v>
      </c>
    </row>
    <row r="4" ht="14.0" customHeight="true">
      <c r="A4" s="1610" t="s">
        <v>1938</v>
      </c>
      <c r="B4" s="1610" t="s">
        <v>1938</v>
      </c>
      <c r="C4" s="1610" t="s">
        <v>1938</v>
      </c>
      <c r="D4" s="1610" t="s">
        <v>95</v>
      </c>
    </row>
    <row r="5" ht="14.0" customHeight="true">
      <c r="A5" s="1610" t="s">
        <v>1938</v>
      </c>
      <c r="B5" s="1610" t="s">
        <v>1938</v>
      </c>
      <c r="C5" s="1610" t="s">
        <v>1938</v>
      </c>
      <c r="D5" s="1610" t="s">
        <v>2457</v>
      </c>
    </row>
    <row r="6" ht="27.0" customHeight="true">
      <c r="A6" s="1610" t="s">
        <v>1938</v>
      </c>
      <c r="B6" s="1610" t="s">
        <v>1938</v>
      </c>
      <c r="C6" s="1610" t="s">
        <v>1938</v>
      </c>
      <c r="D6" s="1610" t="s">
        <v>2455</v>
      </c>
    </row>
    <row r="7" ht="18.0" customHeight="true">
      <c r="A7" s="1611" t="s">
        <v>2650</v>
      </c>
      <c r="B7" s="1611" t="s">
        <v>1938</v>
      </c>
      <c r="C7" s="1611" t="s">
        <v>1938</v>
      </c>
      <c r="D7" s="1614" t="s">
        <v>1938</v>
      </c>
    </row>
    <row r="8" ht="18.0" customHeight="true">
      <c r="A8" s="1611" t="s">
        <v>2651</v>
      </c>
      <c r="B8" s="1611" t="s">
        <v>1938</v>
      </c>
      <c r="C8" s="1611" t="s">
        <v>1938</v>
      </c>
      <c r="D8" s="1614" t="s">
        <v>1938</v>
      </c>
    </row>
    <row r="9" ht="18.0" customHeight="true">
      <c r="A9" s="1611" t="s">
        <v>2652</v>
      </c>
      <c r="B9" s="1611" t="s">
        <v>2653</v>
      </c>
      <c r="C9" s="1611" t="s">
        <v>1938</v>
      </c>
      <c r="D9" s="1615" t="n">
        <v>6518361.89</v>
      </c>
    </row>
    <row r="10" ht="18.0" customHeight="true">
      <c r="A10" s="1611" t="s">
        <v>2654</v>
      </c>
      <c r="B10" s="1611" t="s">
        <v>2655</v>
      </c>
      <c r="C10" s="1611" t="s">
        <v>1938</v>
      </c>
      <c r="D10" s="1615" t="n">
        <v>0.0</v>
      </c>
    </row>
    <row r="11" ht="18.0" customHeight="true">
      <c r="A11" s="1616" t="s">
        <v>2656</v>
      </c>
      <c r="B11" s="1616" t="s">
        <v>1938</v>
      </c>
      <c r="C11" s="1616" t="s">
        <v>1938</v>
      </c>
      <c r="D11" s="1617" t="n">
        <v>6518361.9</v>
      </c>
    </row>
    <row r="12" ht="18.0" customHeight="true">
      <c r="A12" s="1611" t="s">
        <v>2657</v>
      </c>
      <c r="B12" s="1611" t="s">
        <v>1938</v>
      </c>
      <c r="C12" s="1611" t="s">
        <v>1938</v>
      </c>
      <c r="D12" s="1615"/>
    </row>
    <row r="13" ht="18.0" customHeight="true">
      <c r="A13" s="1611" t="s">
        <v>2658</v>
      </c>
      <c r="B13" s="1611" t="s">
        <v>2659</v>
      </c>
      <c r="C13" s="1611" t="s">
        <v>1938</v>
      </c>
      <c r="D13" s="1615" t="n">
        <v>963037.02</v>
      </c>
    </row>
    <row r="14" ht="18.0" customHeight="true">
      <c r="A14" s="1611" t="s">
        <v>2660</v>
      </c>
      <c r="B14" s="1611" t="s">
        <v>2661</v>
      </c>
      <c r="C14" s="1611" t="s">
        <v>1938</v>
      </c>
      <c r="D14" s="1615" t="n">
        <v>1878845.7</v>
      </c>
    </row>
    <row r="15" ht="18.0" customHeight="true">
      <c r="A15" s="1611" t="s">
        <v>2662</v>
      </c>
      <c r="B15" s="1611" t="s">
        <v>2663</v>
      </c>
      <c r="C15" s="1611" t="s">
        <v>1938</v>
      </c>
      <c r="D15" s="1615" t="n">
        <v>130559.79</v>
      </c>
    </row>
    <row r="16" ht="18.0" customHeight="true">
      <c r="A16" s="1611" t="s">
        <v>2664</v>
      </c>
      <c r="B16" s="1611" t="s">
        <v>2665</v>
      </c>
      <c r="C16" s="1611" t="s">
        <v>1938</v>
      </c>
      <c r="D16" s="1615" t="n">
        <v>733527.71</v>
      </c>
    </row>
    <row r="17" ht="18.0" customHeight="true">
      <c r="A17" s="1611" t="s">
        <v>2666</v>
      </c>
      <c r="B17" s="1611" t="s">
        <v>2667</v>
      </c>
      <c r="C17" s="1611" t="s">
        <v>1938</v>
      </c>
      <c r="D17" s="1615" t="n">
        <v>2664989.0</v>
      </c>
    </row>
    <row r="18" ht="18.0" customHeight="true">
      <c r="A18" s="1616" t="s">
        <v>2668</v>
      </c>
      <c r="B18" s="1616" t="s">
        <v>1938</v>
      </c>
      <c r="C18" s="1616" t="s">
        <v>1938</v>
      </c>
      <c r="D18" s="1617" t="n">
        <v>6370959.22</v>
      </c>
    </row>
    <row r="19" ht="18.0" customHeight="true">
      <c r="A19" s="1618" t="s">
        <v>2669</v>
      </c>
      <c r="B19" s="1618" t="s">
        <v>1938</v>
      </c>
      <c r="C19" s="1618" t="s">
        <v>1938</v>
      </c>
      <c r="D19" s="1619" t="n">
        <v>147402.68</v>
      </c>
    </row>
    <row r="20" ht="18.0" customHeight="true">
      <c r="A20" s="1611" t="s">
        <v>2670</v>
      </c>
      <c r="B20" s="1611" t="s">
        <v>1938</v>
      </c>
      <c r="C20" s="1611" t="s">
        <v>1938</v>
      </c>
      <c r="D20" s="1615"/>
    </row>
    <row r="21" ht="18.0" customHeight="true">
      <c r="A21" s="1611" t="s">
        <v>2671</v>
      </c>
      <c r="B21" s="1611" t="s">
        <v>2672</v>
      </c>
      <c r="C21" s="1611" t="s">
        <v>1938</v>
      </c>
      <c r="D21" s="1615" t="n">
        <v>395692.66</v>
      </c>
    </row>
    <row r="22" ht="18.0" customHeight="true">
      <c r="A22" s="1620" t="s">
        <v>2673</v>
      </c>
      <c r="B22" s="1620" t="s">
        <v>2672</v>
      </c>
      <c r="C22" s="1620" t="s">
        <v>1938</v>
      </c>
      <c r="D22" s="1621" t="n">
        <v>395692.66</v>
      </c>
    </row>
    <row r="23" ht="18.0" customHeight="true">
      <c r="A23" s="1611" t="s">
        <v>2674</v>
      </c>
      <c r="B23" s="1611" t="s">
        <v>2675</v>
      </c>
      <c r="C23" s="1611" t="s">
        <v>1938</v>
      </c>
      <c r="D23" s="1615" t="n">
        <v>-248925.94</v>
      </c>
    </row>
    <row r="24" ht="18.0" customHeight="true">
      <c r="A24" s="1620" t="s">
        <v>2676</v>
      </c>
      <c r="B24" s="1620" t="s">
        <v>2675</v>
      </c>
      <c r="C24" s="1620" t="s">
        <v>1938</v>
      </c>
      <c r="D24" s="1621" t="n">
        <v>-248925.94</v>
      </c>
    </row>
    <row r="25" ht="18.0" customHeight="true">
      <c r="A25" s="1616" t="s">
        <v>2677</v>
      </c>
      <c r="B25" s="1616" t="s">
        <v>1938</v>
      </c>
      <c r="C25" s="1616" t="s">
        <v>1938</v>
      </c>
      <c r="D25" s="1617" t="n">
        <v>146766.72</v>
      </c>
    </row>
    <row r="26" ht="18.0" customHeight="true">
      <c r="A26" s="1618" t="s">
        <v>2678</v>
      </c>
      <c r="B26" s="1618" t="s">
        <v>1938</v>
      </c>
      <c r="C26" s="1618" t="s">
        <v>1938</v>
      </c>
      <c r="D26" s="1619" t="n">
        <v>635.96</v>
      </c>
    </row>
    <row r="27" ht="18.0" customHeight="true">
      <c r="A27" s="1618" t="s">
        <v>2679</v>
      </c>
      <c r="B27" s="1618" t="s">
        <v>1938</v>
      </c>
      <c r="C27" s="1618" t="s">
        <v>1938</v>
      </c>
      <c r="D27" s="1619" t="n">
        <v>635.96</v>
      </c>
    </row>
    <row r="28" ht="18.0" customHeight="true">
      <c r="A28" s="1616" t="s">
        <v>1938</v>
      </c>
      <c r="B28" s="1616" t="s">
        <v>1938</v>
      </c>
      <c r="C28" s="1616" t="s">
        <v>1938</v>
      </c>
      <c r="D28" s="1617"/>
    </row>
    <row r="29" ht="1.0" customHeight="true">
      <c r="A29" s="1613" t="s">
        <v>1938</v>
      </c>
      <c r="B29" s="1613" t="s">
        <v>1938</v>
      </c>
      <c r="C29" s="1613" t="s">
        <v>1938</v>
      </c>
      <c r="D29" s="1613" t="s">
        <v>1938</v>
      </c>
    </row>
  </sheetData>
  <mergeCells count="5">
    <mergeCell ref="A1:D1"/>
    <mergeCell ref="A2:A6"/>
    <mergeCell ref="B2:B6"/>
    <mergeCell ref="C2:C6"/>
    <mergeCell ref="A29:D29"/>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99.xml><?xml version="1.0" encoding="utf-8"?>
<worksheet xmlns="http://schemas.openxmlformats.org/spreadsheetml/2006/main">
  <sheetPr>
    <outlinePr showOutlineSymbols="true" summaryBelow="false" summaryRight="true"/>
    <pageSetUpPr autoPageBreaks="true" fitToPage="false"/>
  </sheetPr>
  <dimension ref="A1:D55"/>
  <sheetViews>
    <sheetView workbookViewId="0" showFormulas="false" showGridLines="false" showRowColHeaders="true" showZeros="true" rightToLeft="false" zoomScale="100"/>
  </sheetViews>
  <sheetFormatPr defaultRowHeight="15.0" baseColWidth="8" customHeight="true"/>
  <cols>
    <col min="1" max="1" width="66.66796875" customWidth="true" style="1283"/>
    <col min="2" max="2" width="17.5" customWidth="true" style="1283"/>
    <col min="3" max="3" width="17.5" customWidth="true" style="1283"/>
    <col min="4" max="4" width="17.5" customWidth="true" style="1283"/>
    <col min="5" max="5" width="8.0" customWidth="true" style="1283"/>
  </cols>
  <sheetData>
    <row r="1" ht="25.0" customHeight="true">
      <c r="A1" s="1609" t="s">
        <v>2680</v>
      </c>
      <c r="B1" s="1609" t="s">
        <v>1938</v>
      </c>
      <c r="C1" s="1609" t="s">
        <v>1938</v>
      </c>
      <c r="D1" s="1609" t="s">
        <v>1938</v>
      </c>
    </row>
    <row r="2" ht="14.0" customHeight="true">
      <c r="A2" s="1610" t="s">
        <v>2575</v>
      </c>
      <c r="B2" s="1610" t="s">
        <v>2681</v>
      </c>
      <c r="C2" s="1610" t="s">
        <v>2682</v>
      </c>
      <c r="D2" s="1610" t="s">
        <v>2683</v>
      </c>
    </row>
    <row r="3" ht="14.0" customHeight="true">
      <c r="A3" s="1610" t="s">
        <v>1938</v>
      </c>
      <c r="B3" s="1610" t="s">
        <v>2684</v>
      </c>
      <c r="C3" s="1610" t="s">
        <v>2578</v>
      </c>
      <c r="D3" s="1610" t="s">
        <v>2578</v>
      </c>
    </row>
    <row r="4" ht="27.0" customHeight="true">
      <c r="A4" s="1610" t="s">
        <v>1938</v>
      </c>
      <c r="B4" s="1610" t="s">
        <v>2680</v>
      </c>
      <c r="C4" s="1610" t="s">
        <v>2680</v>
      </c>
      <c r="D4" s="1610" t="s">
        <v>2685</v>
      </c>
    </row>
    <row r="5" ht="18.0" customHeight="true">
      <c r="A5" s="1611" t="s">
        <v>2686</v>
      </c>
      <c r="B5" s="1614" t="s">
        <v>1938</v>
      </c>
      <c r="C5" s="1614" t="s">
        <v>1938</v>
      </c>
      <c r="D5" s="1614" t="s">
        <v>1938</v>
      </c>
    </row>
    <row r="6" ht="18.0" customHeight="true">
      <c r="A6" s="1611" t="s">
        <v>2687</v>
      </c>
      <c r="B6" s="1615" t="n">
        <v>-635.96</v>
      </c>
      <c r="C6" s="1615" t="n">
        <v>0.0</v>
      </c>
      <c r="D6" s="1614" t="n">
        <v>0.0</v>
      </c>
    </row>
    <row r="7" ht="18.0" customHeight="true">
      <c r="A7" s="1611" t="s">
        <v>2688</v>
      </c>
      <c r="B7" s="1615" t="n">
        <v>0.0</v>
      </c>
      <c r="C7" s="1615" t="n">
        <v>-310662.95</v>
      </c>
      <c r="D7" s="1614" t="n">
        <v>-3106.63</v>
      </c>
    </row>
    <row r="8" ht="18.0" customHeight="true">
      <c r="A8" s="1611" t="s">
        <v>2689</v>
      </c>
      <c r="B8" s="1615"/>
      <c r="C8" s="1615" t="n">
        <v>1011490.17</v>
      </c>
      <c r="D8" s="1614" t="n">
        <v>10114.9</v>
      </c>
    </row>
    <row r="9" ht="18.0" customHeight="true">
      <c r="A9" s="1611" t="s">
        <v>2690</v>
      </c>
      <c r="B9" s="1615"/>
      <c r="C9" s="1615" t="n">
        <v>147402.68</v>
      </c>
      <c r="D9" s="1614" t="n">
        <v>1474.02</v>
      </c>
    </row>
    <row r="10" ht="18.0" customHeight="true">
      <c r="A10" s="1611" t="s">
        <v>2691</v>
      </c>
      <c r="B10" s="1615"/>
      <c r="C10" s="1615" t="n">
        <v>147402.68</v>
      </c>
      <c r="D10" s="1614"/>
    </row>
    <row r="11" ht="18.0" customHeight="true">
      <c r="A11" s="1611" t="s">
        <v>2692</v>
      </c>
      <c r="B11" s="1615"/>
      <c r="C11" s="1615" t="n">
        <v>733527.71</v>
      </c>
      <c r="D11" s="1614" t="n">
        <v>7335.28</v>
      </c>
    </row>
    <row r="12" ht="18.0" customHeight="true">
      <c r="A12" s="1611" t="s">
        <v>2693</v>
      </c>
      <c r="B12" s="1615"/>
      <c r="C12" s="1615" t="n">
        <v>130559.79</v>
      </c>
      <c r="D12" s="1614" t="n">
        <v>1305.6</v>
      </c>
    </row>
    <row r="13" ht="18.0" customHeight="true">
      <c r="A13" s="1611" t="s">
        <v>2694</v>
      </c>
      <c r="B13" s="1615" t="n">
        <v>0.0</v>
      </c>
      <c r="C13" s="1615" t="n">
        <v>-1044374.28</v>
      </c>
      <c r="D13" s="1614" t="n">
        <v>-10443.74</v>
      </c>
    </row>
    <row r="14" ht="18.0" customHeight="true">
      <c r="A14" s="1611" t="s">
        <v>2695</v>
      </c>
      <c r="B14" s="1615" t="n">
        <v>0.0</v>
      </c>
      <c r="C14" s="1615" t="n">
        <v>-1782483.53</v>
      </c>
      <c r="D14" s="1614" t="n">
        <v>-17824.84</v>
      </c>
    </row>
    <row r="15" ht="18.0" customHeight="true">
      <c r="A15" s="1611" t="s">
        <v>2696</v>
      </c>
      <c r="B15" s="1615" t="n">
        <v>0.0</v>
      </c>
      <c r="C15" s="1615" t="n">
        <v>-1573729.63</v>
      </c>
      <c r="D15" s="1614" t="n">
        <v>-15737.3</v>
      </c>
    </row>
    <row r="16" ht="18.0" customHeight="true">
      <c r="A16" s="1611" t="s">
        <v>2697</v>
      </c>
      <c r="B16" s="1615" t="n">
        <v>0.0</v>
      </c>
      <c r="C16" s="1615" t="n">
        <v>-39107.3</v>
      </c>
      <c r="D16" s="1614" t="n">
        <v>-391.07</v>
      </c>
    </row>
    <row r="17" ht="18.0" customHeight="true">
      <c r="A17" s="1611" t="s">
        <v>2698</v>
      </c>
      <c r="B17" s="1615" t="n">
        <v>0.0</v>
      </c>
      <c r="C17" s="1615" t="n">
        <v>-33009.87</v>
      </c>
      <c r="D17" s="1614" t="n">
        <v>-330.1</v>
      </c>
    </row>
    <row r="18" ht="18.0" customHeight="true">
      <c r="A18" s="1611" t="s">
        <v>2699</v>
      </c>
      <c r="B18" s="1615" t="n">
        <v>0.0</v>
      </c>
      <c r="C18" s="1615" t="n">
        <v>-136636.73</v>
      </c>
      <c r="D18" s="1614" t="n">
        <v>-1366.37</v>
      </c>
    </row>
    <row r="19" ht="18.0" customHeight="true">
      <c r="A19" s="1611" t="s">
        <v>2700</v>
      </c>
      <c r="B19" s="1615" t="n">
        <v>0.0</v>
      </c>
      <c r="C19" s="1615" t="n">
        <v>1189743.84</v>
      </c>
      <c r="D19" s="1614" t="n">
        <v>11897.44</v>
      </c>
    </row>
    <row r="20" ht="18.0" customHeight="true">
      <c r="A20" s="1611" t="s">
        <v>2701</v>
      </c>
      <c r="B20" s="1615" t="n">
        <v>0.0</v>
      </c>
      <c r="C20" s="1615" t="n">
        <v>959086.21</v>
      </c>
      <c r="D20" s="1614" t="n">
        <v>9590.86</v>
      </c>
    </row>
    <row r="21" ht="18.0" customHeight="true">
      <c r="A21" s="1611" t="s">
        <v>2702</v>
      </c>
      <c r="B21" s="1615" t="n">
        <v>0.0</v>
      </c>
      <c r="C21" s="1615" t="n">
        <v>-443.22</v>
      </c>
      <c r="D21" s="1614" t="n">
        <v>-4.43</v>
      </c>
    </row>
    <row r="22" ht="18.0" customHeight="true">
      <c r="A22" s="1611" t="s">
        <v>2703</v>
      </c>
      <c r="B22" s="1615" t="n">
        <v>0.0</v>
      </c>
      <c r="C22" s="1615" t="n">
        <v>231100.85</v>
      </c>
      <c r="D22" s="1614" t="n">
        <v>2311.01</v>
      </c>
    </row>
    <row r="23" ht="18.0" customHeight="true">
      <c r="A23" s="1611" t="s">
        <v>2704</v>
      </c>
      <c r="B23" s="1615" t="n">
        <v>0.0</v>
      </c>
      <c r="C23" s="1615" t="n">
        <v>-451634.58</v>
      </c>
      <c r="D23" s="1614" t="n">
        <v>-4516.34</v>
      </c>
    </row>
    <row r="24" ht="18.0" customHeight="true">
      <c r="A24" s="1611" t="s">
        <v>2705</v>
      </c>
      <c r="B24" s="1615" t="n">
        <v>0.0</v>
      </c>
      <c r="C24" s="1615" t="n">
        <v>-451634.58</v>
      </c>
      <c r="D24" s="1614" t="n">
        <v>-4516.34</v>
      </c>
    </row>
    <row r="25" ht="18.0" customHeight="true">
      <c r="A25" s="1611" t="s">
        <v>2706</v>
      </c>
      <c r="B25" s="1615" t="n">
        <v>0.0</v>
      </c>
      <c r="C25" s="1615" t="n">
        <v>-277778.84</v>
      </c>
      <c r="D25" s="1614" t="n">
        <v>-2777.79</v>
      </c>
    </row>
    <row r="26" ht="18.0" customHeight="true">
      <c r="A26" s="1611" t="s">
        <v>2628</v>
      </c>
      <c r="B26" s="1615" t="n">
        <v>0.0</v>
      </c>
      <c r="C26" s="1615" t="n">
        <v>-0.03</v>
      </c>
      <c r="D26" s="1614" t="n">
        <v>0.0</v>
      </c>
    </row>
    <row r="27" ht="18.0" customHeight="true">
      <c r="A27" s="1611" t="s">
        <v>2643</v>
      </c>
      <c r="B27" s="1615" t="n">
        <v>0.0</v>
      </c>
      <c r="C27" s="1615" t="n">
        <v>80692.66</v>
      </c>
      <c r="D27" s="1614" t="n">
        <v>806.93</v>
      </c>
    </row>
    <row r="28" ht="18.0" customHeight="true">
      <c r="A28" s="1611" t="s">
        <v>2707</v>
      </c>
      <c r="B28" s="1615" t="n">
        <v>0.0</v>
      </c>
      <c r="C28" s="1615" t="n">
        <v>-32693.02</v>
      </c>
      <c r="D28" s="1614" t="n">
        <v>-326.93</v>
      </c>
    </row>
    <row r="29" ht="18.0" customHeight="true">
      <c r="A29" s="1611" t="s">
        <v>2708</v>
      </c>
      <c r="B29" s="1615" t="n">
        <v>0.0</v>
      </c>
      <c r="C29" s="1615" t="n">
        <v>-179011.73</v>
      </c>
      <c r="D29" s="1614" t="n">
        <v>-1790.12</v>
      </c>
    </row>
    <row r="30" ht="18.0" customHeight="true">
      <c r="A30" s="1611" t="s">
        <v>2709</v>
      </c>
      <c r="B30" s="1615"/>
      <c r="C30" s="1615" t="n">
        <v>-146766.72</v>
      </c>
      <c r="D30" s="1614" t="n">
        <v>-1467.67</v>
      </c>
    </row>
    <row r="31" ht="18.0" customHeight="true">
      <c r="A31" s="1611" t="s">
        <v>2710</v>
      </c>
      <c r="B31" s="1615" t="n">
        <v>0.0</v>
      </c>
      <c r="C31" s="1615" t="n">
        <v>-2767428.11</v>
      </c>
      <c r="D31" s="1614" t="n">
        <v>-27674.28</v>
      </c>
    </row>
    <row r="32" ht="31.0" customHeight="true">
      <c r="A32" s="1611" t="s">
        <v>2711</v>
      </c>
      <c r="B32" s="1615" t="n">
        <v>0.0</v>
      </c>
      <c r="C32" s="1615" t="n">
        <v>-2573426.11</v>
      </c>
      <c r="D32" s="1614" t="n">
        <v>-25734.26</v>
      </c>
    </row>
    <row r="33" ht="18.0" customHeight="true">
      <c r="A33" s="1611" t="s">
        <v>2712</v>
      </c>
      <c r="B33" s="1615" t="n">
        <v>0.0</v>
      </c>
      <c r="C33" s="1615" t="n">
        <v>-1839898.4</v>
      </c>
      <c r="D33" s="1614" t="n">
        <v>-18398.98</v>
      </c>
    </row>
    <row r="34" ht="18.0" customHeight="true">
      <c r="A34" s="1611" t="s">
        <v>2713</v>
      </c>
      <c r="B34" s="1615"/>
      <c r="C34" s="1615" t="n">
        <v>-733527.71</v>
      </c>
      <c r="D34" s="1614" t="n">
        <v>7335.28</v>
      </c>
    </row>
    <row r="35" ht="18.0" customHeight="true">
      <c r="A35" s="1611" t="s">
        <v>2714</v>
      </c>
      <c r="B35" s="1615" t="n">
        <v>0.0</v>
      </c>
      <c r="C35" s="1615" t="n">
        <v>-194002.0</v>
      </c>
      <c r="D35" s="1614" t="n">
        <v>-1940.02</v>
      </c>
    </row>
    <row r="36" ht="18.0" customHeight="true">
      <c r="A36" s="1611" t="s">
        <v>2715</v>
      </c>
      <c r="B36" s="1615" t="n">
        <v>0.0</v>
      </c>
      <c r="C36" s="1615" t="n">
        <v>-194002.0</v>
      </c>
      <c r="D36" s="1614" t="n">
        <v>-1940.02</v>
      </c>
    </row>
    <row r="37" ht="18.0" customHeight="true">
      <c r="A37" s="1611" t="s">
        <v>2716</v>
      </c>
      <c r="B37" s="1615" t="n">
        <v>-635.96</v>
      </c>
      <c r="C37" s="1615" t="n">
        <v>3587156.03</v>
      </c>
      <c r="D37" s="1614" t="n">
        <v>35871.56</v>
      </c>
    </row>
    <row r="38" ht="18.0" customHeight="true">
      <c r="A38" s="1611" t="s">
        <v>2617</v>
      </c>
      <c r="B38" s="1615" t="n">
        <v>-635.96</v>
      </c>
      <c r="C38" s="1615" t="n">
        <v>-2114377.63</v>
      </c>
      <c r="D38" s="1614" t="n">
        <v>-21143.78</v>
      </c>
    </row>
    <row r="39" ht="18.0" customHeight="true">
      <c r="A39" s="1611" t="s">
        <v>2717</v>
      </c>
      <c r="B39" s="1615" t="n">
        <v>-635.96</v>
      </c>
      <c r="C39" s="1615" t="n">
        <v>-2113105.7</v>
      </c>
      <c r="D39" s="1614" t="n">
        <v>-21137.42</v>
      </c>
    </row>
    <row r="40" ht="18.0" customHeight="true">
      <c r="A40" s="1611" t="s">
        <v>2718</v>
      </c>
      <c r="B40" s="1615"/>
      <c r="C40" s="1615" t="n">
        <v>635.96</v>
      </c>
      <c r="D40" s="1614"/>
    </row>
    <row r="41" ht="18.0" customHeight="true">
      <c r="A41" s="1611" t="s">
        <v>2719</v>
      </c>
      <c r="B41" s="1615" t="n">
        <v>0.0</v>
      </c>
      <c r="C41" s="1615" t="n">
        <v>4666168.9</v>
      </c>
      <c r="D41" s="1614" t="n">
        <v>46661.69</v>
      </c>
    </row>
    <row r="42" ht="18.0" customHeight="true">
      <c r="A42" s="1611" t="s">
        <v>2720</v>
      </c>
      <c r="B42" s="1615" t="n">
        <v>0.0</v>
      </c>
      <c r="C42" s="1615" t="n">
        <v>4666168.9</v>
      </c>
      <c r="D42" s="1614" t="n">
        <v>46661.69</v>
      </c>
    </row>
    <row r="43" ht="18.0" customHeight="true">
      <c r="A43" s="1611" t="s">
        <v>2721</v>
      </c>
      <c r="B43" s="1615" t="n">
        <v>0.0</v>
      </c>
      <c r="C43" s="1615" t="n">
        <v>4725.45</v>
      </c>
      <c r="D43" s="1614" t="n">
        <v>47.25</v>
      </c>
    </row>
    <row r="44" ht="18.0" customHeight="true">
      <c r="A44" s="1611" t="s">
        <v>2722</v>
      </c>
      <c r="B44" s="1615" t="n">
        <v>0.0</v>
      </c>
      <c r="C44" s="1615" t="n">
        <v>4725.45</v>
      </c>
      <c r="D44" s="1614" t="n">
        <v>47.25</v>
      </c>
    </row>
    <row r="45" ht="18.0" customHeight="true">
      <c r="A45" s="1611" t="s">
        <v>2723</v>
      </c>
      <c r="B45" s="1615" t="n">
        <v>0.0</v>
      </c>
      <c r="C45" s="1615" t="n">
        <v>1111199.09</v>
      </c>
      <c r="D45" s="1614" t="n">
        <v>11111.99</v>
      </c>
    </row>
    <row r="46" ht="18.0" customHeight="true">
      <c r="A46" s="1611" t="s">
        <v>2724</v>
      </c>
      <c r="B46" s="1615" t="n">
        <v>0.0</v>
      </c>
      <c r="C46" s="1615" t="n">
        <v>560039.44</v>
      </c>
      <c r="D46" s="1614" t="n">
        <v>5600.39</v>
      </c>
    </row>
    <row r="47" ht="18.0" customHeight="true">
      <c r="A47" s="1611" t="s">
        <v>2725</v>
      </c>
      <c r="B47" s="1615" t="n">
        <v>0.0</v>
      </c>
      <c r="C47" s="1615" t="n">
        <v>551159.65</v>
      </c>
      <c r="D47" s="1614" t="n">
        <v>5511.6</v>
      </c>
    </row>
    <row r="48" ht="18.0" customHeight="true">
      <c r="A48" s="1611" t="s">
        <v>2726</v>
      </c>
      <c r="B48" s="1615" t="n">
        <v>0.0</v>
      </c>
      <c r="C48" s="1615" t="n">
        <v>50000.0</v>
      </c>
      <c r="D48" s="1614" t="n">
        <v>500.0</v>
      </c>
    </row>
    <row r="49" ht="18.0" customHeight="true">
      <c r="A49" s="1611" t="s">
        <v>2727</v>
      </c>
      <c r="B49" s="1615" t="n">
        <v>0.0</v>
      </c>
      <c r="C49" s="1615" t="n">
        <v>50000.0</v>
      </c>
      <c r="D49" s="1614" t="n">
        <v>500.0</v>
      </c>
    </row>
    <row r="50" ht="18.0" customHeight="true">
      <c r="A50" s="1611" t="s">
        <v>2728</v>
      </c>
      <c r="B50" s="1615"/>
      <c r="C50" s="1615" t="n">
        <v>-130559.79</v>
      </c>
      <c r="D50" s="1614" t="n">
        <v>-1305.59</v>
      </c>
    </row>
    <row r="51" ht="18.0" customHeight="true">
      <c r="A51" s="1611" t="s">
        <v>2729</v>
      </c>
      <c r="B51" s="1615"/>
      <c r="C51" s="1615" t="n">
        <v>-130559.79</v>
      </c>
      <c r="D51" s="1614" t="n">
        <v>1305.6</v>
      </c>
    </row>
    <row r="52" ht="18.0" customHeight="true">
      <c r="A52" s="1611" t="s">
        <v>2730</v>
      </c>
      <c r="B52" s="1615" t="n">
        <v>0.0</v>
      </c>
      <c r="C52" s="1615" t="n">
        <v>-509064.97</v>
      </c>
      <c r="D52" s="1614" t="n">
        <v>-5090.65</v>
      </c>
    </row>
    <row r="53" ht="18.0" customHeight="true">
      <c r="A53" s="1611" t="s">
        <v>2731</v>
      </c>
      <c r="B53" s="1615" t="n">
        <v>0.0</v>
      </c>
      <c r="C53" s="1615" t="n">
        <v>-509064.97</v>
      </c>
      <c r="D53" s="1614" t="n">
        <v>-5090.65</v>
      </c>
    </row>
    <row r="54" ht="18.0" customHeight="true">
      <c r="A54" s="1616" t="s">
        <v>1938</v>
      </c>
      <c r="B54" s="1617"/>
      <c r="C54" s="1617"/>
      <c r="D54" s="1622"/>
    </row>
    <row r="55" ht="1.0" customHeight="true">
      <c r="A55" s="1613" t="s">
        <v>1938</v>
      </c>
      <c r="B55" s="1613" t="s">
        <v>1938</v>
      </c>
      <c r="C55" s="1613" t="s">
        <v>1938</v>
      </c>
      <c r="D55" s="1613" t="s">
        <v>1938</v>
      </c>
    </row>
  </sheetData>
  <mergeCells count="3">
    <mergeCell ref="A1:D1"/>
    <mergeCell ref="A2:A4"/>
    <mergeCell ref="A55:D55"/>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0.xml><?xml version="1.0" encoding="utf-8"?>
<worksheet xmlns="http://schemas.openxmlformats.org/spreadsheetml/2006/main">
  <sheetPr>
    <outlinePr showOutlineSymbols="true" summaryBelow="false" summaryRight="true"/>
    <pageSetUpPr autoPageBreaks="true" fitToPage="false"/>
  </sheetPr>
  <dimension ref="A1:C67"/>
  <sheetViews>
    <sheetView workbookViewId="0" showFormulas="false" showGridLines="false" showRowColHeaders="true" showZeros="true" rightToLeft="false" zoomScale="100"/>
  </sheetViews>
  <sheetFormatPr defaultRowHeight="15.0" baseColWidth="8" customHeight="true"/>
  <cols>
    <col min="1" max="1" width="58.33203125" customWidth="true" style="1283"/>
    <col min="2" max="2" width="50.0" customWidth="true" style="1283"/>
    <col min="3" max="3" width="17.5" customWidth="true" style="1283"/>
    <col min="4" max="4" width="8.0" customWidth="true" style="1283"/>
  </cols>
  <sheetData>
    <row r="1" ht="25.0" customHeight="true">
      <c r="A1" s="1609" t="s">
        <v>2732</v>
      </c>
      <c r="B1" s="1609" t="s">
        <v>1938</v>
      </c>
      <c r="C1" s="1609" t="s">
        <v>1938</v>
      </c>
    </row>
    <row r="2" ht="27.0" customHeight="true">
      <c r="A2" s="1610" t="s">
        <v>2575</v>
      </c>
      <c r="B2" s="1610" t="s">
        <v>5</v>
      </c>
      <c r="C2" s="1610" t="s">
        <v>2577</v>
      </c>
    </row>
    <row r="3" ht="14.0" customHeight="true">
      <c r="A3" s="1610" t="s">
        <v>1938</v>
      </c>
      <c r="B3" s="1610" t="s">
        <v>1938</v>
      </c>
      <c r="C3" s="1610" t="s">
        <v>2578</v>
      </c>
    </row>
    <row r="4" ht="14.0" customHeight="true">
      <c r="A4" s="1610" t="s">
        <v>1938</v>
      </c>
      <c r="B4" s="1610" t="s">
        <v>1938</v>
      </c>
      <c r="C4" s="1610" t="s">
        <v>95</v>
      </c>
    </row>
    <row r="5" ht="14.0" customHeight="true">
      <c r="A5" s="1610" t="s">
        <v>1938</v>
      </c>
      <c r="B5" s="1610" t="s">
        <v>1938</v>
      </c>
      <c r="C5" s="1610" t="s">
        <v>2457</v>
      </c>
    </row>
    <row r="6" ht="27.0" customHeight="true">
      <c r="A6" s="1610" t="s">
        <v>1938</v>
      </c>
      <c r="B6" s="1610" t="s">
        <v>1938</v>
      </c>
      <c r="C6" s="1610" t="s">
        <v>2455</v>
      </c>
    </row>
    <row r="7" ht="18.0" customHeight="true">
      <c r="A7" s="1611" t="s">
        <v>2733</v>
      </c>
      <c r="B7" s="1611" t="s">
        <v>1938</v>
      </c>
      <c r="C7" s="1614" t="s">
        <v>1938</v>
      </c>
    </row>
    <row r="8" ht="18.0" customHeight="true">
      <c r="A8" s="1611" t="s">
        <v>2734</v>
      </c>
      <c r="B8" s="1611" t="s">
        <v>1938</v>
      </c>
      <c r="C8" s="1614" t="s">
        <v>1938</v>
      </c>
    </row>
    <row r="9" ht="18.0" customHeight="true">
      <c r="A9" s="1611" t="s">
        <v>2735</v>
      </c>
      <c r="B9" s="1611" t="s">
        <v>2736</v>
      </c>
      <c r="C9" s="1615" t="n">
        <v>34002.0</v>
      </c>
    </row>
    <row r="10" ht="18.0" customHeight="true">
      <c r="A10" s="1611" t="s">
        <v>2737</v>
      </c>
      <c r="B10" s="1611" t="s">
        <v>1938</v>
      </c>
      <c r="C10" s="1615" t="n">
        <v>160000.0</v>
      </c>
    </row>
    <row r="11" ht="18.0" customHeight="true">
      <c r="A11" s="1616" t="s">
        <v>2738</v>
      </c>
      <c r="B11" s="1616" t="s">
        <v>1938</v>
      </c>
      <c r="C11" s="1617" t="n">
        <v>194002.0</v>
      </c>
    </row>
    <row r="12" ht="18.0" customHeight="true">
      <c r="A12" s="1611" t="s">
        <v>2739</v>
      </c>
      <c r="B12" s="1611" t="s">
        <v>1938</v>
      </c>
      <c r="C12" s="1615"/>
    </row>
    <row r="13" ht="18.0" customHeight="true">
      <c r="A13" s="1611" t="s">
        <v>2740</v>
      </c>
      <c r="B13" s="1611" t="s">
        <v>1938</v>
      </c>
      <c r="C13" s="1615" t="n">
        <v>33009.87</v>
      </c>
    </row>
    <row r="14" ht="18.0" customHeight="true">
      <c r="A14" s="1616" t="s">
        <v>2741</v>
      </c>
      <c r="B14" s="1616" t="s">
        <v>1938</v>
      </c>
      <c r="C14" s="1617" t="n">
        <v>33009.87</v>
      </c>
    </row>
    <row r="15" ht="18.0" customHeight="true">
      <c r="A15" s="1611" t="s">
        <v>2742</v>
      </c>
      <c r="B15" s="1611" t="s">
        <v>1938</v>
      </c>
      <c r="C15" s="1615"/>
    </row>
    <row r="16" ht="18.0" customHeight="true">
      <c r="A16" s="1611" t="s">
        <v>2743</v>
      </c>
      <c r="B16" s="1611" t="s">
        <v>1938</v>
      </c>
      <c r="C16" s="1615" t="n">
        <v>32693.02</v>
      </c>
    </row>
    <row r="17" ht="18.0" customHeight="true">
      <c r="A17" s="1616" t="s">
        <v>2744</v>
      </c>
      <c r="B17" s="1616" t="s">
        <v>1938</v>
      </c>
      <c r="C17" s="1617" t="n">
        <v>32693.02</v>
      </c>
    </row>
    <row r="18" ht="18.0" customHeight="true">
      <c r="A18" s="1611" t="s">
        <v>2745</v>
      </c>
      <c r="B18" s="1611" t="s">
        <v>1938</v>
      </c>
      <c r="C18" s="1615" t="n">
        <v>179011.73</v>
      </c>
    </row>
    <row r="19" ht="18.0" customHeight="true">
      <c r="A19" s="1611" t="s">
        <v>2746</v>
      </c>
      <c r="B19" s="1611" t="s">
        <v>1938</v>
      </c>
      <c r="C19" s="1615"/>
    </row>
    <row r="20" ht="18.0" customHeight="true">
      <c r="A20" s="1611" t="s">
        <v>2747</v>
      </c>
      <c r="B20" s="1611" t="s">
        <v>1938</v>
      </c>
      <c r="C20" s="1615"/>
    </row>
    <row r="21" ht="18.0" customHeight="true">
      <c r="A21" s="1611" t="s">
        <v>2748</v>
      </c>
      <c r="B21" s="1611" t="s">
        <v>1938</v>
      </c>
      <c r="C21" s="1615" t="n">
        <v>62263.78</v>
      </c>
    </row>
    <row r="22" ht="18.0" customHeight="true">
      <c r="A22" s="1611" t="s">
        <v>2749</v>
      </c>
      <c r="B22" s="1611" t="s">
        <v>1938</v>
      </c>
      <c r="C22" s="1615" t="n">
        <v>71805.8</v>
      </c>
    </row>
    <row r="23" ht="18.0" customHeight="true">
      <c r="A23" s="1611" t="s">
        <v>2750</v>
      </c>
      <c r="B23" s="1611" t="s">
        <v>1938</v>
      </c>
      <c r="C23" s="1615" t="n">
        <v>3335.3</v>
      </c>
    </row>
    <row r="24" ht="18.0" customHeight="true">
      <c r="A24" s="1611" t="s">
        <v>2751</v>
      </c>
      <c r="B24" s="1611" t="s">
        <v>1938</v>
      </c>
      <c r="C24" s="1615" t="n">
        <v>314229.7</v>
      </c>
    </row>
    <row r="25" ht="18.0" customHeight="true">
      <c r="A25" s="1618" t="s">
        <v>2752</v>
      </c>
      <c r="B25" s="1618" t="s">
        <v>1938</v>
      </c>
      <c r="C25" s="1619" t="n">
        <v>451634.58</v>
      </c>
    </row>
    <row r="26" ht="18.0" customHeight="true">
      <c r="A26" s="1611" t="s">
        <v>2753</v>
      </c>
      <c r="B26" s="1611" t="s">
        <v>1938</v>
      </c>
      <c r="C26" s="1615"/>
    </row>
    <row r="27" ht="18.0" customHeight="true">
      <c r="A27" s="1611" t="s">
        <v>2754</v>
      </c>
      <c r="B27" s="1611" t="s">
        <v>1938</v>
      </c>
      <c r="C27" s="1615" t="n">
        <v>2409364.85</v>
      </c>
    </row>
    <row r="28" ht="18.0" customHeight="true">
      <c r="A28" s="1611" t="s">
        <v>2755</v>
      </c>
      <c r="B28" s="1611" t="s">
        <v>1938</v>
      </c>
      <c r="C28" s="1615" t="n">
        <v>-835635.21</v>
      </c>
    </row>
    <row r="29" ht="18.0" customHeight="true">
      <c r="A29" s="1616" t="s">
        <v>2756</v>
      </c>
      <c r="B29" s="1616" t="s">
        <v>1938</v>
      </c>
      <c r="C29" s="1617" t="n">
        <v>1573729.63</v>
      </c>
    </row>
    <row r="30" ht="18.0" customHeight="true">
      <c r="A30" s="1611" t="s">
        <v>2757</v>
      </c>
      <c r="B30" s="1611" t="s">
        <v>1938</v>
      </c>
      <c r="C30" s="1615"/>
    </row>
    <row r="31" ht="18.0" customHeight="true">
      <c r="A31" s="1611" t="s">
        <v>2758</v>
      </c>
      <c r="B31" s="1611" t="s">
        <v>1938</v>
      </c>
      <c r="C31" s="1615" t="n">
        <v>14473.5</v>
      </c>
    </row>
    <row r="32" ht="18.0" customHeight="true">
      <c r="A32" s="1611" t="s">
        <v>2759</v>
      </c>
      <c r="B32" s="1611" t="s">
        <v>1938</v>
      </c>
      <c r="C32" s="1615"/>
    </row>
    <row r="33" ht="18.0" customHeight="true">
      <c r="A33" s="1611" t="s">
        <v>2760</v>
      </c>
      <c r="B33" s="1611" t="s">
        <v>1938</v>
      </c>
      <c r="C33" s="1615" t="n">
        <v>494591.47</v>
      </c>
    </row>
    <row r="34" ht="18.0" customHeight="true">
      <c r="A34" s="1616" t="s">
        <v>2761</v>
      </c>
      <c r="B34" s="1616" t="s">
        <v>1938</v>
      </c>
      <c r="C34" s="1617" t="n">
        <v>509064.97</v>
      </c>
    </row>
    <row r="35" ht="18.0" customHeight="true">
      <c r="A35" s="1611" t="s">
        <v>2762</v>
      </c>
      <c r="B35" s="1611" t="s">
        <v>1938</v>
      </c>
      <c r="C35" s="1615"/>
    </row>
    <row r="36" ht="18.0" customHeight="true">
      <c r="A36" s="1611" t="s">
        <v>2763</v>
      </c>
      <c r="B36" s="1611" t="s">
        <v>1938</v>
      </c>
      <c r="C36" s="1615"/>
    </row>
    <row r="37" ht="18.0" customHeight="true">
      <c r="A37" s="1611" t="s">
        <v>2764</v>
      </c>
      <c r="B37" s="1611" t="s">
        <v>1938</v>
      </c>
      <c r="C37" s="1615" t="n">
        <v>39107.3</v>
      </c>
    </row>
    <row r="38" ht="18.0" customHeight="true">
      <c r="A38" s="1618" t="s">
        <v>2765</v>
      </c>
      <c r="B38" s="1618" t="s">
        <v>1938</v>
      </c>
      <c r="C38" s="1619" t="n">
        <v>39107.3</v>
      </c>
    </row>
    <row r="39" ht="18.0" customHeight="true">
      <c r="A39" s="1611" t="s">
        <v>2766</v>
      </c>
      <c r="B39" s="1611" t="s">
        <v>1938</v>
      </c>
      <c r="C39" s="1615"/>
    </row>
    <row r="40" ht="18.0" customHeight="true">
      <c r="A40" s="1611" t="s">
        <v>2767</v>
      </c>
      <c r="B40" s="1611" t="s">
        <v>1938</v>
      </c>
      <c r="C40" s="1615" t="n">
        <v>94637.37</v>
      </c>
    </row>
    <row r="41" ht="18.0" customHeight="true">
      <c r="A41" s="1611" t="s">
        <v>2768</v>
      </c>
      <c r="B41" s="1611" t="s">
        <v>1938</v>
      </c>
      <c r="C41" s="1615" t="n">
        <v>18192.83</v>
      </c>
    </row>
    <row r="42" ht="18.0" customHeight="true">
      <c r="A42" s="1611" t="s">
        <v>2769</v>
      </c>
      <c r="B42" s="1611" t="s">
        <v>1938</v>
      </c>
      <c r="C42" s="1615" t="n">
        <v>23806.52</v>
      </c>
    </row>
    <row r="43" ht="18.0" customHeight="true">
      <c r="A43" s="1618" t="s">
        <v>2770</v>
      </c>
      <c r="B43" s="1618" t="s">
        <v>1938</v>
      </c>
      <c r="C43" s="1619" t="n">
        <v>136636.73</v>
      </c>
    </row>
    <row r="44" ht="18.0" customHeight="true">
      <c r="A44" s="1611" t="s">
        <v>2771</v>
      </c>
      <c r="B44" s="1611" t="s">
        <v>1938</v>
      </c>
      <c r="C44" s="1615"/>
    </row>
    <row r="45" ht="18.0" customHeight="true">
      <c r="A45" s="1611" t="s">
        <v>2772</v>
      </c>
      <c r="B45" s="1611" t="s">
        <v>1938</v>
      </c>
      <c r="C45" s="1615" t="n">
        <v>4666168.9</v>
      </c>
    </row>
    <row r="46" ht="18.0" customHeight="true">
      <c r="A46" s="1616" t="s">
        <v>2773</v>
      </c>
      <c r="B46" s="1616" t="s">
        <v>1938</v>
      </c>
      <c r="C46" s="1617" t="n">
        <v>4666168.9</v>
      </c>
    </row>
    <row r="47" ht="18.0" customHeight="true">
      <c r="A47" s="1616" t="s">
        <v>2774</v>
      </c>
      <c r="B47" s="1616" t="s">
        <v>1938</v>
      </c>
      <c r="C47" s="1617" t="n">
        <v>560039.44</v>
      </c>
    </row>
    <row r="48" ht="18.0" customHeight="true">
      <c r="A48" s="1611" t="s">
        <v>2775</v>
      </c>
      <c r="B48" s="1611" t="s">
        <v>1938</v>
      </c>
      <c r="C48" s="1615"/>
    </row>
    <row r="49" ht="18.0" customHeight="true">
      <c r="A49" s="1616" t="s">
        <v>2776</v>
      </c>
      <c r="B49" s="1616" t="s">
        <v>1938</v>
      </c>
      <c r="C49" s="1617" t="n">
        <v>-0.03</v>
      </c>
    </row>
    <row r="50" ht="18.0" customHeight="true">
      <c r="A50" s="1611" t="s">
        <v>2777</v>
      </c>
      <c r="B50" s="1611" t="s">
        <v>1938</v>
      </c>
      <c r="C50" s="1615"/>
    </row>
    <row r="51" ht="18.0" customHeight="true">
      <c r="A51" s="1611" t="s">
        <v>2778</v>
      </c>
      <c r="B51" s="1611" t="s">
        <v>1938</v>
      </c>
      <c r="C51" s="1615" t="n">
        <v>4725.45</v>
      </c>
    </row>
    <row r="52" ht="18.0" customHeight="true">
      <c r="A52" s="1616" t="s">
        <v>2779</v>
      </c>
      <c r="B52" s="1616" t="s">
        <v>1938</v>
      </c>
      <c r="C52" s="1617" t="n">
        <v>4725.45</v>
      </c>
    </row>
    <row r="53" ht="18.0" customHeight="true">
      <c r="A53" s="1611" t="s">
        <v>2780</v>
      </c>
      <c r="B53" s="1611" t="s">
        <v>1938</v>
      </c>
      <c r="C53" s="1615"/>
    </row>
    <row r="54" ht="18.0" customHeight="true">
      <c r="A54" s="1611" t="s">
        <v>2781</v>
      </c>
      <c r="B54" s="1611" t="s">
        <v>1938</v>
      </c>
      <c r="C54" s="1615" t="n">
        <v>959086.21</v>
      </c>
    </row>
    <row r="55" ht="18.0" customHeight="true">
      <c r="A55" s="1616" t="s">
        <v>2782</v>
      </c>
      <c r="B55" s="1616" t="s">
        <v>1938</v>
      </c>
      <c r="C55" s="1617" t="n">
        <v>959086.21</v>
      </c>
    </row>
    <row r="56" ht="18.0" customHeight="true">
      <c r="A56" s="1611" t="s">
        <v>2783</v>
      </c>
      <c r="B56" s="1611" t="s">
        <v>1938</v>
      </c>
      <c r="C56" s="1615"/>
    </row>
    <row r="57" ht="18.0" customHeight="true">
      <c r="A57" s="1611" t="s">
        <v>2784</v>
      </c>
      <c r="B57" s="1611" t="s">
        <v>1938</v>
      </c>
      <c r="C57" s="1615" t="n">
        <v>-443.22</v>
      </c>
    </row>
    <row r="58" ht="18.0" customHeight="true">
      <c r="A58" s="1616" t="s">
        <v>2785</v>
      </c>
      <c r="B58" s="1616" t="s">
        <v>1938</v>
      </c>
      <c r="C58" s="1617" t="n">
        <v>-443.22</v>
      </c>
    </row>
    <row r="59" ht="18.0" customHeight="true">
      <c r="A59" s="1616" t="s">
        <v>2786</v>
      </c>
      <c r="B59" s="1616" t="s">
        <v>1938</v>
      </c>
      <c r="C59" s="1617" t="n">
        <v>551159.65</v>
      </c>
    </row>
    <row r="60" ht="18.0" customHeight="true">
      <c r="A60" s="1611" t="s">
        <v>2787</v>
      </c>
      <c r="B60" s="1611" t="s">
        <v>1938</v>
      </c>
      <c r="C60" s="1615"/>
    </row>
    <row r="61" ht="18.0" customHeight="true">
      <c r="A61" s="1611" t="s">
        <v>2788</v>
      </c>
      <c r="B61" s="1611" t="s">
        <v>1938</v>
      </c>
      <c r="C61" s="1615" t="n">
        <v>174518.65</v>
      </c>
    </row>
    <row r="62" ht="18.0" customHeight="true">
      <c r="A62" s="1611" t="s">
        <v>2789</v>
      </c>
      <c r="B62" s="1611" t="s">
        <v>1938</v>
      </c>
      <c r="C62" s="1615" t="n">
        <v>56582.2</v>
      </c>
    </row>
    <row r="63" ht="18.0" customHeight="true">
      <c r="A63" s="1616" t="s">
        <v>2790</v>
      </c>
      <c r="B63" s="1616" t="s">
        <v>1938</v>
      </c>
      <c r="C63" s="1617" t="n">
        <v>231100.85</v>
      </c>
    </row>
    <row r="64" ht="18.0" customHeight="true">
      <c r="A64" s="1611" t="s">
        <v>2791</v>
      </c>
      <c r="B64" s="1611" t="s">
        <v>1938</v>
      </c>
      <c r="C64" s="1615"/>
    </row>
    <row r="65" ht="18.0" customHeight="true">
      <c r="A65" s="1616" t="s">
        <v>2792</v>
      </c>
      <c r="B65" s="1616" t="s">
        <v>1938</v>
      </c>
      <c r="C65" s="1617" t="n">
        <v>80692.66</v>
      </c>
    </row>
    <row r="66" ht="18.0" customHeight="true">
      <c r="A66" s="1616" t="s">
        <v>1938</v>
      </c>
      <c r="B66" s="1616" t="s">
        <v>1938</v>
      </c>
      <c r="C66" s="1617"/>
    </row>
    <row r="67" ht="1.0" customHeight="true">
      <c r="A67" s="1613" t="s">
        <v>1938</v>
      </c>
      <c r="B67" s="1613" t="s">
        <v>1938</v>
      </c>
      <c r="C67" s="1613" t="s">
        <v>1938</v>
      </c>
    </row>
  </sheetData>
  <mergeCells count="4">
    <mergeCell ref="A1:C1"/>
    <mergeCell ref="A2:A6"/>
    <mergeCell ref="B2:B6"/>
    <mergeCell ref="A67:C67"/>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1.xml><?xml version="1.0" encoding="utf-8"?>
<worksheet xmlns="http://schemas.openxmlformats.org/spreadsheetml/2006/main">
  <sheetPr>
    <outlinePr showOutlineSymbols="true" summaryBelow="false" summaryRight="true"/>
    <pageSetUpPr autoPageBreaks="true" fitToPage="false"/>
  </sheetPr>
  <dimension ref="A1:B61"/>
  <sheetViews>
    <sheetView workbookViewId="0" showFormulas="false" showGridLines="false" showRowColHeaders="true" showZeros="true" rightToLeft="false" zoomScale="100"/>
  </sheetViews>
  <sheetFormatPr defaultRowHeight="15.0" baseColWidth="8" customHeight="true"/>
  <cols>
    <col min="1" max="1" width="58.33203125" customWidth="true" style="1283"/>
    <col min="2" max="2" width="17.5" customWidth="true" style="1283"/>
    <col min="3" max="3" width="8.0" customWidth="true" style="1283"/>
  </cols>
  <sheetData>
    <row r="1" ht="25.0" customHeight="true">
      <c r="A1" s="1609" t="s">
        <v>2793</v>
      </c>
      <c r="B1" s="1609" t="s">
        <v>1938</v>
      </c>
    </row>
    <row r="2" ht="27.0" customHeight="true">
      <c r="A2" s="1610" t="s">
        <v>2575</v>
      </c>
      <c r="B2" s="1610" t="s">
        <v>2577</v>
      </c>
    </row>
    <row r="3" ht="14.0" customHeight="true">
      <c r="A3" s="1610" t="s">
        <v>1938</v>
      </c>
      <c r="B3" s="1610" t="s">
        <v>2578</v>
      </c>
    </row>
    <row r="4" ht="14.0" customHeight="true">
      <c r="A4" s="1610" t="s">
        <v>1938</v>
      </c>
      <c r="B4" s="1610" t="s">
        <v>95</v>
      </c>
    </row>
    <row r="5" ht="14.0" customHeight="true">
      <c r="A5" s="1610" t="s">
        <v>1938</v>
      </c>
      <c r="B5" s="1610" t="s">
        <v>2457</v>
      </c>
    </row>
    <row r="6" ht="27.0" customHeight="true">
      <c r="A6" s="1610" t="s">
        <v>1938</v>
      </c>
      <c r="B6" s="1610" t="s">
        <v>2455</v>
      </c>
    </row>
    <row r="7" ht="18.0" customHeight="true">
      <c r="A7" s="1611" t="s">
        <v>2794</v>
      </c>
      <c r="B7" s="1614" t="s">
        <v>1938</v>
      </c>
    </row>
    <row r="8" ht="18.0" customHeight="true">
      <c r="A8" s="1611" t="s">
        <v>2795</v>
      </c>
      <c r="B8" s="1615" t="n">
        <v>2365844.47</v>
      </c>
    </row>
    <row r="9" ht="18.0" customHeight="true">
      <c r="A9" s="1611" t="s">
        <v>2796</v>
      </c>
      <c r="B9" s="1615" t="n">
        <v>4152517.42</v>
      </c>
    </row>
    <row r="10" ht="18.0" customHeight="true">
      <c r="A10" s="1616" t="s">
        <v>2797</v>
      </c>
      <c r="B10" s="1617" t="n">
        <v>6518361.89</v>
      </c>
    </row>
    <row r="11" ht="18.0" customHeight="true">
      <c r="A11" s="1611" t="s">
        <v>2798</v>
      </c>
      <c r="B11" s="1615"/>
    </row>
    <row r="12" ht="18.0" customHeight="true">
      <c r="A12" s="1611" t="s">
        <v>2799</v>
      </c>
      <c r="B12" s="1615" t="n">
        <v>0.0</v>
      </c>
    </row>
    <row r="13" ht="18.0" customHeight="true">
      <c r="A13" s="1616" t="s">
        <v>2800</v>
      </c>
      <c r="B13" s="1617" t="n">
        <v>0.0</v>
      </c>
    </row>
    <row r="14" ht="18.0" customHeight="true">
      <c r="A14" s="1611" t="s">
        <v>2801</v>
      </c>
      <c r="B14" s="1615"/>
    </row>
    <row r="15" ht="18.0" customHeight="true">
      <c r="A15" s="1611" t="s">
        <v>2802</v>
      </c>
      <c r="B15" s="1615" t="n">
        <v>385841.78</v>
      </c>
    </row>
    <row r="16" ht="18.0" customHeight="true">
      <c r="A16" s="1611" t="s">
        <v>2803</v>
      </c>
      <c r="B16" s="1615" t="n">
        <v>569507.87</v>
      </c>
    </row>
    <row r="17" ht="18.0" customHeight="true">
      <c r="A17" s="1611" t="s">
        <v>2804</v>
      </c>
      <c r="B17" s="1615" t="n">
        <v>7687.37</v>
      </c>
    </row>
    <row r="18" ht="18.0" customHeight="true">
      <c r="A18" s="1616" t="s">
        <v>2805</v>
      </c>
      <c r="B18" s="1617" t="n">
        <v>963037.02</v>
      </c>
    </row>
    <row r="19" ht="18.0" customHeight="true">
      <c r="A19" s="1611" t="s">
        <v>2806</v>
      </c>
      <c r="B19" s="1615"/>
    </row>
    <row r="20" ht="18.0" customHeight="true">
      <c r="A20" s="1611" t="s">
        <v>2807</v>
      </c>
      <c r="B20" s="1615" t="n">
        <v>1335777.53</v>
      </c>
    </row>
    <row r="21" ht="18.0" customHeight="true">
      <c r="A21" s="1611" t="s">
        <v>2808</v>
      </c>
      <c r="B21" s="1615" t="n">
        <v>410313.45</v>
      </c>
    </row>
    <row r="22" ht="18.0" customHeight="true">
      <c r="A22" s="1611" t="s">
        <v>2809</v>
      </c>
      <c r="B22" s="1615" t="n">
        <v>132754.72</v>
      </c>
    </row>
    <row r="23" ht="18.0" customHeight="true">
      <c r="A23" s="1616" t="s">
        <v>2810</v>
      </c>
      <c r="B23" s="1617" t="n">
        <v>1878845.7</v>
      </c>
    </row>
    <row r="24" ht="18.0" customHeight="true">
      <c r="A24" s="1611" t="s">
        <v>2811</v>
      </c>
      <c r="B24" s="1615"/>
    </row>
    <row r="25" ht="18.0" customHeight="true">
      <c r="A25" s="1611" t="s">
        <v>2812</v>
      </c>
      <c r="B25" s="1615" t="n">
        <v>125696.76</v>
      </c>
    </row>
    <row r="26" ht="31.0" customHeight="true">
      <c r="A26" s="1611" t="s">
        <v>2813</v>
      </c>
      <c r="B26" s="1615" t="n">
        <v>4863.03</v>
      </c>
    </row>
    <row r="27" ht="18.0" customHeight="true">
      <c r="A27" s="1616" t="s">
        <v>2814</v>
      </c>
      <c r="B27" s="1617" t="n">
        <v>130559.79</v>
      </c>
    </row>
    <row r="28" ht="18.0" customHeight="true">
      <c r="A28" s="1611" t="s">
        <v>2815</v>
      </c>
      <c r="B28" s="1615"/>
    </row>
    <row r="29" ht="18.0" customHeight="true">
      <c r="A29" s="1611" t="s">
        <v>2816</v>
      </c>
      <c r="B29" s="1615" t="n">
        <v>166635.35</v>
      </c>
    </row>
    <row r="30" ht="18.0" customHeight="true">
      <c r="A30" s="1611" t="s">
        <v>2817</v>
      </c>
      <c r="B30" s="1615" t="n">
        <v>12705.91</v>
      </c>
    </row>
    <row r="31" ht="18.0" customHeight="true">
      <c r="A31" s="1611" t="s">
        <v>2818</v>
      </c>
      <c r="B31" s="1615" t="n">
        <v>554186.45</v>
      </c>
    </row>
    <row r="32" ht="18.0" customHeight="true">
      <c r="A32" s="1616" t="s">
        <v>2819</v>
      </c>
      <c r="B32" s="1617" t="n">
        <v>733527.71</v>
      </c>
    </row>
    <row r="33" ht="18.0" customHeight="true">
      <c r="A33" s="1611" t="s">
        <v>2820</v>
      </c>
      <c r="B33" s="1615"/>
    </row>
    <row r="34" ht="18.0" customHeight="true">
      <c r="A34" s="1611" t="s">
        <v>2821</v>
      </c>
      <c r="B34" s="1615" t="n">
        <v>80839.5</v>
      </c>
    </row>
    <row r="35" ht="18.0" customHeight="true">
      <c r="A35" s="1611" t="s">
        <v>2822</v>
      </c>
      <c r="B35" s="1615" t="n">
        <v>473405.94</v>
      </c>
    </row>
    <row r="36" ht="18.0" customHeight="true">
      <c r="A36" s="1611" t="s">
        <v>2823</v>
      </c>
      <c r="B36" s="1615" t="n">
        <v>202848.56</v>
      </c>
    </row>
    <row r="37" ht="18.0" customHeight="true">
      <c r="A37" s="1611" t="s">
        <v>2824</v>
      </c>
      <c r="B37" s="1615" t="n">
        <v>9351.43</v>
      </c>
    </row>
    <row r="38" ht="18.0" customHeight="true">
      <c r="A38" s="1611" t="s">
        <v>2825</v>
      </c>
      <c r="B38" s="1615" t="n">
        <v>59291.73</v>
      </c>
    </row>
    <row r="39" ht="18.0" customHeight="true">
      <c r="A39" s="1611" t="s">
        <v>2826</v>
      </c>
      <c r="B39" s="1615" t="n">
        <v>23827.5</v>
      </c>
    </row>
    <row r="40" ht="18.0" customHeight="true">
      <c r="A40" s="1611" t="s">
        <v>2827</v>
      </c>
      <c r="B40" s="1615" t="n">
        <v>103573.18</v>
      </c>
    </row>
    <row r="41" ht="18.0" customHeight="true">
      <c r="A41" s="1611" t="s">
        <v>2828</v>
      </c>
      <c r="B41" s="1615"/>
    </row>
    <row r="42" ht="18.0" customHeight="true">
      <c r="A42" s="1611" t="s">
        <v>2829</v>
      </c>
      <c r="B42" s="1615" t="n">
        <v>50840.03</v>
      </c>
    </row>
    <row r="43" ht="18.0" customHeight="true">
      <c r="A43" s="1611" t="s">
        <v>2830</v>
      </c>
      <c r="B43" s="1615" t="n">
        <v>88833.89</v>
      </c>
    </row>
    <row r="44" ht="18.0" customHeight="true">
      <c r="A44" s="1611" t="s">
        <v>2831</v>
      </c>
      <c r="B44" s="1615" t="n">
        <v>217967.89</v>
      </c>
    </row>
    <row r="45" ht="18.0" customHeight="true">
      <c r="A45" s="1611" t="s">
        <v>2832</v>
      </c>
      <c r="B45" s="1615" t="n">
        <v>128672.31</v>
      </c>
    </row>
    <row r="46" ht="18.0" customHeight="true">
      <c r="A46" s="1611" t="s">
        <v>2833</v>
      </c>
      <c r="B46" s="1615" t="n">
        <v>63349.93</v>
      </c>
    </row>
    <row r="47" ht="18.0" customHeight="true">
      <c r="A47" s="1611" t="s">
        <v>2834</v>
      </c>
      <c r="B47" s="1615" t="n">
        <v>168902.54</v>
      </c>
    </row>
    <row r="48" ht="18.0" customHeight="true">
      <c r="A48" s="1611" t="s">
        <v>2835</v>
      </c>
      <c r="B48" s="1615" t="n">
        <v>431821.98</v>
      </c>
    </row>
    <row r="49" ht="18.0" customHeight="true">
      <c r="A49" s="1611" t="s">
        <v>2836</v>
      </c>
      <c r="B49" s="1615" t="n">
        <v>12661.3</v>
      </c>
    </row>
    <row r="50" ht="18.0" customHeight="true">
      <c r="A50" s="1611" t="s">
        <v>2837</v>
      </c>
      <c r="B50" s="1615" t="n">
        <v>94580.56</v>
      </c>
    </row>
    <row r="51" ht="18.0" customHeight="true">
      <c r="A51" s="1611" t="s">
        <v>2838</v>
      </c>
      <c r="B51" s="1615" t="n">
        <v>40927.21</v>
      </c>
    </row>
    <row r="52" ht="18.0" customHeight="true">
      <c r="A52" s="1611" t="s">
        <v>2839</v>
      </c>
      <c r="B52" s="1615" t="n">
        <v>360895.0</v>
      </c>
    </row>
    <row r="53" ht="18.0" customHeight="true">
      <c r="A53" s="1611" t="s">
        <v>2840</v>
      </c>
      <c r="B53" s="1615" t="n">
        <v>20786.33</v>
      </c>
    </row>
    <row r="54" ht="18.0" customHeight="true">
      <c r="A54" s="1611" t="s">
        <v>2841</v>
      </c>
      <c r="B54" s="1615" t="n">
        <v>236.16</v>
      </c>
    </row>
    <row r="55" ht="18.0" customHeight="true">
      <c r="A55" s="1616" t="s">
        <v>2842</v>
      </c>
      <c r="B55" s="1617" t="n">
        <v>2664989.0</v>
      </c>
    </row>
    <row r="56" ht="18.0" customHeight="true">
      <c r="A56" s="1611" t="s">
        <v>2843</v>
      </c>
      <c r="B56" s="1615"/>
    </row>
    <row r="57" ht="18.0" customHeight="true">
      <c r="A57" s="1611" t="s">
        <v>2844</v>
      </c>
      <c r="B57" s="1615" t="n">
        <v>395692.66</v>
      </c>
    </row>
    <row r="58" ht="18.0" customHeight="true">
      <c r="A58" s="1611" t="s">
        <v>2845</v>
      </c>
      <c r="B58" s="1615" t="n">
        <v>-248925.94</v>
      </c>
    </row>
    <row r="59" ht="18.0" customHeight="true">
      <c r="A59" s="1616" t="s">
        <v>2677</v>
      </c>
      <c r="B59" s="1617" t="n">
        <v>146766.72</v>
      </c>
    </row>
    <row r="60" ht="18.0" customHeight="true">
      <c r="A60" s="1616" t="s">
        <v>1938</v>
      </c>
      <c r="B60" s="1617"/>
    </row>
    <row r="61" ht="1.0" customHeight="true">
      <c r="A61" s="1613" t="s">
        <v>1938</v>
      </c>
      <c r="B61" s="1613" t="s">
        <v>1938</v>
      </c>
    </row>
  </sheetData>
  <mergeCells count="3">
    <mergeCell ref="A1:B1"/>
    <mergeCell ref="A2:A6"/>
    <mergeCell ref="A61:B61"/>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2.xml><?xml version="1.0" encoding="utf-8"?>
<worksheet xmlns="http://schemas.openxmlformats.org/spreadsheetml/2006/main">
  <sheetPr>
    <outlinePr showOutlineSymbols="true" summaryBelow="false" summaryRight="true"/>
    <pageSetUpPr autoPageBreaks="true" fitToPage="false"/>
  </sheetPr>
  <dimension ref="A1"/>
  <sheetViews>
    <sheetView workbookViewId="0" showFormulas="false" showGridLines="false" showRowColHeaders="true" showZeros="true" rightToLeft="false" zoomScale="100"/>
  </sheetViews>
  <sheetFormatPr defaultRowHeight="15.0" baseColWidth="8" customHeight="true"/>
  <cols>
    <col min="1" max="1" width="8.0" customWidth="true" style="1283"/>
  </cols>
  <sheetData/>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3.xml><?xml version="1.0" encoding="utf-8"?>
<worksheet xmlns="http://schemas.openxmlformats.org/spreadsheetml/2006/main">
  <sheetPr>
    <outlinePr showOutlineSymbols="true" summaryBelow="false" summaryRight="true"/>
    <pageSetUpPr autoPageBreaks="true" fitToPage="false"/>
  </sheetPr>
  <dimension ref="A1"/>
  <sheetViews>
    <sheetView workbookViewId="0" showFormulas="false" showGridLines="false" showRowColHeaders="true" showZeros="true" rightToLeft="false" zoomScale="100"/>
  </sheetViews>
  <sheetFormatPr defaultRowHeight="15.0" baseColWidth="8" customHeight="true"/>
  <cols>
    <col min="1" max="1" width="8.0" customWidth="true" style="1283"/>
  </cols>
  <sheetData/>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4.xml><?xml version="1.0" encoding="utf-8"?>
<worksheet xmlns="http://schemas.openxmlformats.org/spreadsheetml/2006/main">
  <sheetPr>
    <outlinePr showOutlineSymbols="true" summaryBelow="false" summaryRight="true"/>
    <pageSetUpPr autoPageBreaks="true" fitToPage="false"/>
  </sheetPr>
  <dimension ref="A1"/>
  <sheetViews>
    <sheetView workbookViewId="0" showFormulas="false" showGridLines="false" showRowColHeaders="true" showZeros="true" rightToLeft="false" zoomScale="100"/>
  </sheetViews>
  <sheetFormatPr defaultRowHeight="15.0" baseColWidth="8" customHeight="true"/>
  <cols>
    <col min="1" max="1" width="8.0" customWidth="true" style="1283"/>
  </cols>
  <sheetData/>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5.xml><?xml version="1.0" encoding="utf-8"?>
<worksheet xmlns="http://schemas.openxmlformats.org/spreadsheetml/2006/main">
  <sheetPr>
    <outlinePr showOutlineSymbols="true" summaryBelow="false" summaryRight="true"/>
    <pageSetUpPr autoPageBreaks="true" fitToPage="false"/>
  </sheetPr>
  <dimension ref="A1"/>
  <sheetViews>
    <sheetView workbookViewId="0" showFormulas="false" showGridLines="false" showRowColHeaders="true" showZeros="true" rightToLeft="false" zoomScale="100"/>
  </sheetViews>
  <sheetFormatPr defaultRowHeight="15.0" baseColWidth="8" customHeight="true"/>
  <cols>
    <col min="1" max="1" width="8.0" customWidth="true" style="1283"/>
  </cols>
  <sheetData/>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6.xml><?xml version="1.0" encoding="utf-8"?>
<worksheet xmlns="http://schemas.openxmlformats.org/spreadsheetml/2006/main">
  <sheetPr>
    <outlinePr showOutlineSymbols="true" summaryBelow="false" summaryRight="true"/>
    <pageSetUpPr autoPageBreaks="true" fitToPage="false"/>
  </sheetPr>
  <dimension ref="A1"/>
  <sheetViews>
    <sheetView workbookViewId="0" showFormulas="false" showGridLines="false" showRowColHeaders="true" showZeros="true" rightToLeft="false" zoomScale="100"/>
  </sheetViews>
  <sheetFormatPr defaultRowHeight="15.0" baseColWidth="8" customHeight="true"/>
  <cols>
    <col min="1" max="1" width="8.0" customWidth="true" style="1283"/>
  </cols>
  <sheetData/>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7.xml><?xml version="1.0" encoding="utf-8"?>
<worksheet xmlns="http://schemas.openxmlformats.org/spreadsheetml/2006/main">
  <sheetPr>
    <outlinePr showOutlineSymbols="true" summaryBelow="false" summaryRight="true"/>
    <pageSetUpPr autoPageBreaks="true" fitToPage="false"/>
  </sheetPr>
  <dimension ref="A1:S13"/>
  <sheetViews>
    <sheetView workbookViewId="0" showFormulas="false" showGridLines="false" showRowColHeaders="true" showZeros="true" rightToLeft="false" zoomScale="100"/>
  </sheetViews>
  <sheetFormatPr defaultRowHeight="15.0" baseColWidth="8" customHeight="true"/>
  <cols>
    <col min="1" max="1" width="16.66796875" customWidth="true" style="1283"/>
    <col min="2" max="2" width="13.33203125" customWidth="true" style="1283"/>
    <col min="3" max="3" width="13.33203125" customWidth="true" style="1283"/>
    <col min="4" max="4" width="13.33203125" customWidth="true" style="1283"/>
    <col min="5" max="5" width="13.33203125" customWidth="true" style="1283"/>
    <col min="6" max="6" width="20.0" customWidth="true" style="1283"/>
    <col min="7" max="7" width="20.0" customWidth="true" style="1283"/>
    <col min="8" max="8" width="20.0" customWidth="true" style="1283"/>
    <col min="9" max="9" width="41.66796875" customWidth="true" style="1283"/>
    <col min="10" max="10" width="41.66796875" customWidth="true" style="1283"/>
    <col min="11" max="11" width="16.66796875" customWidth="true" style="1283"/>
    <col min="12" max="12" width="41.66796875" customWidth="true" style="1283"/>
    <col min="13" max="13" width="16.66796875" customWidth="true" style="1283"/>
    <col min="14" max="14" width="33.33203125" customWidth="true" style="1283"/>
    <col min="15" max="15" width="33.33203125" customWidth="true" style="1283"/>
    <col min="16" max="16" width="13.33203125" customWidth="true" style="1283"/>
    <col min="17" max="17" width="16.66796875" customWidth="true" style="1283"/>
    <col min="18" max="18" width="16.66796875" customWidth="true" style="1283"/>
    <col min="19" max="19" width="17.5" customWidth="true" style="1283"/>
    <col min="20" max="20" width="8.0" customWidth="true" style="1283"/>
  </cols>
  <sheetData>
    <row r="1" ht="25.0" customHeight="true">
      <c r="A1" s="1609" t="s">
        <v>2846</v>
      </c>
      <c r="B1" s="1609" t="s">
        <v>1938</v>
      </c>
      <c r="C1" s="1609" t="s">
        <v>1938</v>
      </c>
      <c r="D1" s="1609" t="s">
        <v>1938</v>
      </c>
      <c r="E1" s="1609" t="s">
        <v>1938</v>
      </c>
      <c r="F1" s="1609" t="s">
        <v>1938</v>
      </c>
      <c r="G1" s="1609" t="s">
        <v>1938</v>
      </c>
      <c r="H1" s="1609" t="s">
        <v>1938</v>
      </c>
      <c r="I1" s="1609" t="s">
        <v>1938</v>
      </c>
      <c r="J1" s="1609" t="s">
        <v>1938</v>
      </c>
      <c r="K1" s="1609" t="s">
        <v>1938</v>
      </c>
      <c r="L1" s="1609" t="s">
        <v>1938</v>
      </c>
      <c r="M1" s="1609" t="s">
        <v>1938</v>
      </c>
      <c r="N1" s="1609" t="s">
        <v>1938</v>
      </c>
      <c r="O1" s="1609" t="s">
        <v>1938</v>
      </c>
      <c r="P1" s="1609" t="s">
        <v>1938</v>
      </c>
      <c r="Q1" s="1609" t="s">
        <v>1938</v>
      </c>
      <c r="R1" s="1609" t="s">
        <v>1938</v>
      </c>
      <c r="S1" s="1609" t="s">
        <v>1938</v>
      </c>
    </row>
    <row r="2" ht="14.0" customHeight="true">
      <c r="A2" s="1610" t="s">
        <v>2847</v>
      </c>
      <c r="B2" s="1610" t="s">
        <v>2848</v>
      </c>
      <c r="C2" s="1610" t="s">
        <v>2849</v>
      </c>
      <c r="D2" s="1610" t="s">
        <v>2850</v>
      </c>
      <c r="E2" s="1610" t="s">
        <v>2851</v>
      </c>
      <c r="F2" s="1610" t="s">
        <v>2852</v>
      </c>
      <c r="G2" s="1610" t="s">
        <v>2853</v>
      </c>
      <c r="H2" s="1610" t="s">
        <v>2854</v>
      </c>
      <c r="I2" s="1610" t="s">
        <v>2855</v>
      </c>
      <c r="J2" s="1610" t="s">
        <v>2856</v>
      </c>
      <c r="K2" s="1610" t="s">
        <v>2857</v>
      </c>
      <c r="L2" s="1610" t="s">
        <v>2858</v>
      </c>
      <c r="M2" s="1610" t="s">
        <v>2859</v>
      </c>
      <c r="N2" s="1610" t="s">
        <v>2860</v>
      </c>
      <c r="O2" s="1610" t="s">
        <v>2861</v>
      </c>
      <c r="P2" s="1610" t="s">
        <v>2862</v>
      </c>
      <c r="Q2" s="1610" t="s">
        <v>2863</v>
      </c>
      <c r="R2" s="1610" t="s">
        <v>2864</v>
      </c>
      <c r="S2" s="1610" t="s">
        <v>2865</v>
      </c>
    </row>
    <row r="3" ht="27.0" customHeight="true">
      <c r="A3" s="1610" t="s">
        <v>1938</v>
      </c>
      <c r="B3" s="1610" t="s">
        <v>1938</v>
      </c>
      <c r="C3" s="1610" t="s">
        <v>1938</v>
      </c>
      <c r="D3" s="1610" t="s">
        <v>1938</v>
      </c>
      <c r="E3" s="1610" t="s">
        <v>1938</v>
      </c>
      <c r="F3" s="1610" t="s">
        <v>1938</v>
      </c>
      <c r="G3" s="1610" t="s">
        <v>1938</v>
      </c>
      <c r="H3" s="1610" t="s">
        <v>1938</v>
      </c>
      <c r="I3" s="1610" t="s">
        <v>1938</v>
      </c>
      <c r="J3" s="1610" t="s">
        <v>1938</v>
      </c>
      <c r="K3" s="1610" t="s">
        <v>1938</v>
      </c>
      <c r="L3" s="1610" t="s">
        <v>1938</v>
      </c>
      <c r="M3" s="1610" t="s">
        <v>1938</v>
      </c>
      <c r="N3" s="1610" t="s">
        <v>1938</v>
      </c>
      <c r="O3" s="1610" t="s">
        <v>1938</v>
      </c>
      <c r="P3" s="1610" t="s">
        <v>1938</v>
      </c>
      <c r="Q3" s="1610" t="s">
        <v>1938</v>
      </c>
      <c r="R3" s="1610" t="s">
        <v>1938</v>
      </c>
      <c r="S3" s="1610" t="s">
        <v>2865</v>
      </c>
    </row>
    <row r="4" ht="18.0" customHeight="true">
      <c r="A4" s="1611" t="s">
        <v>2866</v>
      </c>
      <c r="B4" s="1611" t="s">
        <v>2867</v>
      </c>
      <c r="C4" s="1611" t="s">
        <v>2868</v>
      </c>
      <c r="D4" s="1614" t="n">
        <v>1.1389865E7</v>
      </c>
      <c r="E4" s="1614" t="n">
        <v>203631.0</v>
      </c>
      <c r="F4" s="1614" t="s">
        <v>2869</v>
      </c>
      <c r="G4" s="1614" t="s">
        <v>2870</v>
      </c>
      <c r="H4" s="1611" t="s">
        <v>1938</v>
      </c>
      <c r="I4" s="1611" t="s">
        <v>2871</v>
      </c>
      <c r="J4" s="1611" t="s">
        <v>2872</v>
      </c>
      <c r="K4" s="1611" t="s">
        <v>2873</v>
      </c>
      <c r="L4" s="1611" t="s">
        <v>1737</v>
      </c>
      <c r="M4" s="1611" t="s">
        <v>2874</v>
      </c>
      <c r="N4" s="1611" t="s">
        <v>2736</v>
      </c>
      <c r="O4" s="1611" t="s">
        <v>1938</v>
      </c>
      <c r="P4" s="1611" t="s">
        <v>2875</v>
      </c>
      <c r="Q4" s="1612" t="n">
        <v>0.0</v>
      </c>
      <c r="R4" s="1612" t="n">
        <v>10.0</v>
      </c>
      <c r="S4" s="1612" t="n">
        <v>-10.0</v>
      </c>
    </row>
    <row r="5" ht="18.0" customHeight="true">
      <c r="A5" s="1611" t="s">
        <v>2866</v>
      </c>
      <c r="B5" s="1611" t="s">
        <v>2867</v>
      </c>
      <c r="C5" s="1611" t="s">
        <v>2868</v>
      </c>
      <c r="D5" s="1614" t="n">
        <v>1.1389866E7</v>
      </c>
      <c r="E5" s="1614" t="n">
        <v>203631.0</v>
      </c>
      <c r="F5" s="1614" t="s">
        <v>2869</v>
      </c>
      <c r="G5" s="1614" t="s">
        <v>2870</v>
      </c>
      <c r="H5" s="1611" t="s">
        <v>1938</v>
      </c>
      <c r="I5" s="1611" t="s">
        <v>2876</v>
      </c>
      <c r="J5" s="1611" t="s">
        <v>2877</v>
      </c>
      <c r="K5" s="1611" t="s">
        <v>2878</v>
      </c>
      <c r="L5" s="1611" t="s">
        <v>1387</v>
      </c>
      <c r="M5" s="1611" t="s">
        <v>2879</v>
      </c>
      <c r="N5" s="1611" t="s">
        <v>2736</v>
      </c>
      <c r="O5" s="1611" t="s">
        <v>1938</v>
      </c>
      <c r="P5" s="1611" t="s">
        <v>2875</v>
      </c>
      <c r="Q5" s="1612" t="n">
        <v>10.0</v>
      </c>
      <c r="R5" s="1612" t="n">
        <v>0.0</v>
      </c>
      <c r="S5" s="1612" t="n">
        <v>10.0</v>
      </c>
    </row>
    <row r="6" ht="18.0" customHeight="true">
      <c r="A6" s="1611" t="s">
        <v>2866</v>
      </c>
      <c r="B6" s="1611" t="s">
        <v>2867</v>
      </c>
      <c r="C6" s="1611" t="s">
        <v>2880</v>
      </c>
      <c r="D6" s="1614" t="n">
        <v>1.1389867E7</v>
      </c>
      <c r="E6" s="1614" t="n">
        <v>203630.0</v>
      </c>
      <c r="F6" s="1614" t="s">
        <v>2869</v>
      </c>
      <c r="G6" s="1614" t="s">
        <v>2869</v>
      </c>
      <c r="H6" s="1611" t="s">
        <v>1938</v>
      </c>
      <c r="I6" s="1611" t="s">
        <v>2876</v>
      </c>
      <c r="J6" s="1611" t="s">
        <v>2877</v>
      </c>
      <c r="K6" s="1611" t="s">
        <v>2878</v>
      </c>
      <c r="L6" s="1611" t="s">
        <v>1387</v>
      </c>
      <c r="M6" s="1611" t="s">
        <v>2879</v>
      </c>
      <c r="N6" s="1611" t="s">
        <v>2736</v>
      </c>
      <c r="O6" s="1611" t="s">
        <v>1938</v>
      </c>
      <c r="P6" s="1611" t="s">
        <v>2875</v>
      </c>
      <c r="Q6" s="1612" t="n">
        <v>0.0</v>
      </c>
      <c r="R6" s="1612" t="n">
        <v>10.0</v>
      </c>
      <c r="S6" s="1612" t="n">
        <v>-10.0</v>
      </c>
    </row>
    <row r="7" ht="18.0" customHeight="true">
      <c r="A7" s="1611" t="s">
        <v>2866</v>
      </c>
      <c r="B7" s="1611" t="s">
        <v>2867</v>
      </c>
      <c r="C7" s="1611" t="s">
        <v>2880</v>
      </c>
      <c r="D7" s="1614" t="n">
        <v>1.1389868E7</v>
      </c>
      <c r="E7" s="1614" t="n">
        <v>203630.0</v>
      </c>
      <c r="F7" s="1614" t="s">
        <v>2869</v>
      </c>
      <c r="G7" s="1614" t="s">
        <v>2869</v>
      </c>
      <c r="H7" s="1611" t="s">
        <v>1938</v>
      </c>
      <c r="I7" s="1611" t="s">
        <v>2871</v>
      </c>
      <c r="J7" s="1611" t="s">
        <v>2872</v>
      </c>
      <c r="K7" s="1611" t="s">
        <v>2873</v>
      </c>
      <c r="L7" s="1611" t="s">
        <v>1737</v>
      </c>
      <c r="M7" s="1611" t="s">
        <v>2874</v>
      </c>
      <c r="N7" s="1611" t="s">
        <v>2736</v>
      </c>
      <c r="O7" s="1611" t="s">
        <v>1938</v>
      </c>
      <c r="P7" s="1611" t="s">
        <v>2875</v>
      </c>
      <c r="Q7" s="1612" t="n">
        <v>10.0</v>
      </c>
      <c r="R7" s="1612" t="n">
        <v>0.0</v>
      </c>
      <c r="S7" s="1612" t="n">
        <v>10.0</v>
      </c>
    </row>
    <row r="8" ht="18.0" customHeight="true">
      <c r="A8" s="1611" t="s">
        <v>2866</v>
      </c>
      <c r="B8" s="1611" t="s">
        <v>2867</v>
      </c>
      <c r="C8" s="1611" t="s">
        <v>2881</v>
      </c>
      <c r="D8" s="1614" t="n">
        <v>1.138987E7</v>
      </c>
      <c r="E8" s="1614" t="n">
        <v>0.0</v>
      </c>
      <c r="F8" s="1614" t="s">
        <v>1938</v>
      </c>
      <c r="G8" s="1614" t="s">
        <v>2870</v>
      </c>
      <c r="H8" s="1611" t="s">
        <v>1938</v>
      </c>
      <c r="I8" s="1611" t="s">
        <v>2876</v>
      </c>
      <c r="J8" s="1611" t="s">
        <v>2877</v>
      </c>
      <c r="K8" s="1611" t="s">
        <v>2878</v>
      </c>
      <c r="L8" s="1611" t="s">
        <v>1387</v>
      </c>
      <c r="M8" s="1611" t="s">
        <v>2879</v>
      </c>
      <c r="N8" s="1611" t="s">
        <v>2736</v>
      </c>
      <c r="O8" s="1611" t="s">
        <v>1938</v>
      </c>
      <c r="P8" s="1611" t="s">
        <v>2875</v>
      </c>
      <c r="Q8" s="1612" t="n">
        <v>10.0</v>
      </c>
      <c r="R8" s="1612" t="n">
        <v>0.0</v>
      </c>
      <c r="S8" s="1612" t="n">
        <v>10.0</v>
      </c>
    </row>
    <row r="9" ht="18.0" customHeight="true">
      <c r="A9" s="1611" t="s">
        <v>2866</v>
      </c>
      <c r="B9" s="1611" t="s">
        <v>2867</v>
      </c>
      <c r="C9" s="1611" t="s">
        <v>2881</v>
      </c>
      <c r="D9" s="1614" t="n">
        <v>1.1389871E7</v>
      </c>
      <c r="E9" s="1614" t="n">
        <v>0.0</v>
      </c>
      <c r="F9" s="1614" t="s">
        <v>1938</v>
      </c>
      <c r="G9" s="1614" t="s">
        <v>2870</v>
      </c>
      <c r="H9" s="1611" t="s">
        <v>1938</v>
      </c>
      <c r="I9" s="1611" t="s">
        <v>2871</v>
      </c>
      <c r="J9" s="1611" t="s">
        <v>2872</v>
      </c>
      <c r="K9" s="1611" t="s">
        <v>2873</v>
      </c>
      <c r="L9" s="1611" t="s">
        <v>1737</v>
      </c>
      <c r="M9" s="1611" t="s">
        <v>2874</v>
      </c>
      <c r="N9" s="1611" t="s">
        <v>2736</v>
      </c>
      <c r="O9" s="1611" t="s">
        <v>1938</v>
      </c>
      <c r="P9" s="1611" t="s">
        <v>2875</v>
      </c>
      <c r="Q9" s="1612" t="n">
        <v>0.0</v>
      </c>
      <c r="R9" s="1612" t="n">
        <v>10.0</v>
      </c>
      <c r="S9" s="1612" t="n">
        <v>-10.0</v>
      </c>
    </row>
    <row r="10" ht="18.0" customHeight="true">
      <c r="A10" s="1611" t="s">
        <v>2866</v>
      </c>
      <c r="B10" s="1611" t="s">
        <v>2867</v>
      </c>
      <c r="C10" s="1611" t="s">
        <v>2882</v>
      </c>
      <c r="D10" s="1614" t="n">
        <v>1.1446089E7</v>
      </c>
      <c r="E10" s="1614" t="n">
        <v>0.0</v>
      </c>
      <c r="F10" s="1614" t="s">
        <v>1938</v>
      </c>
      <c r="G10" s="1614" t="s">
        <v>2883</v>
      </c>
      <c r="H10" s="1611" t="s">
        <v>1938</v>
      </c>
      <c r="I10" s="1611" t="s">
        <v>2884</v>
      </c>
      <c r="J10" s="1611" t="s">
        <v>2885</v>
      </c>
      <c r="K10" s="1611" t="s">
        <v>2886</v>
      </c>
      <c r="L10" s="1611" t="s">
        <v>2885</v>
      </c>
      <c r="M10" s="1611" t="s">
        <v>2887</v>
      </c>
      <c r="N10" s="1611" t="s">
        <v>2888</v>
      </c>
      <c r="O10" s="1611" t="s">
        <v>1938</v>
      </c>
      <c r="P10" s="1611" t="s">
        <v>2875</v>
      </c>
      <c r="Q10" s="1612" t="n">
        <v>0.01</v>
      </c>
      <c r="R10" s="1612" t="n">
        <v>0.0</v>
      </c>
      <c r="S10" s="1612" t="n">
        <v>0.01</v>
      </c>
    </row>
    <row r="11" ht="18.0" customHeight="true">
      <c r="A11" s="1611" t="s">
        <v>2866</v>
      </c>
      <c r="B11" s="1611" t="s">
        <v>2867</v>
      </c>
      <c r="C11" s="1611" t="s">
        <v>2882</v>
      </c>
      <c r="D11" s="1614" t="n">
        <v>1.144609E7</v>
      </c>
      <c r="E11" s="1614" t="n">
        <v>0.0</v>
      </c>
      <c r="F11" s="1614" t="s">
        <v>1938</v>
      </c>
      <c r="G11" s="1614" t="s">
        <v>2883</v>
      </c>
      <c r="H11" s="1611" t="s">
        <v>1938</v>
      </c>
      <c r="I11" s="1611" t="s">
        <v>2889</v>
      </c>
      <c r="J11" s="1611" t="s">
        <v>584</v>
      </c>
      <c r="K11" s="1611" t="s">
        <v>2890</v>
      </c>
      <c r="L11" s="1611" t="s">
        <v>2891</v>
      </c>
      <c r="M11" s="1611" t="s">
        <v>2887</v>
      </c>
      <c r="N11" s="1611" t="s">
        <v>2888</v>
      </c>
      <c r="O11" s="1611" t="s">
        <v>1938</v>
      </c>
      <c r="P11" s="1611" t="s">
        <v>2875</v>
      </c>
      <c r="Q11" s="1612" t="n">
        <v>0.0</v>
      </c>
      <c r="R11" s="1612" t="n">
        <v>0.01</v>
      </c>
      <c r="S11" s="1612" t="n">
        <v>-0.01</v>
      </c>
    </row>
    <row r="12" ht="18.0" customHeight="true">
      <c r="A12" s="1616" t="s">
        <v>1938</v>
      </c>
      <c r="B12" s="1616" t="s">
        <v>1938</v>
      </c>
      <c r="C12" s="1616" t="s">
        <v>1938</v>
      </c>
      <c r="D12" s="1622"/>
      <c r="E12" s="1622"/>
      <c r="F12" s="1622" t="s">
        <v>1938</v>
      </c>
      <c r="G12" s="1622" t="s">
        <v>1938</v>
      </c>
      <c r="H12" s="1616" t="s">
        <v>1938</v>
      </c>
      <c r="I12" s="1616" t="s">
        <v>1938</v>
      </c>
      <c r="J12" s="1616" t="s">
        <v>1938</v>
      </c>
      <c r="K12" s="1616" t="s">
        <v>1938</v>
      </c>
      <c r="L12" s="1616" t="s">
        <v>1938</v>
      </c>
      <c r="M12" s="1616" t="s">
        <v>1938</v>
      </c>
      <c r="N12" s="1616" t="s">
        <v>1938</v>
      </c>
      <c r="O12" s="1616" t="s">
        <v>1938</v>
      </c>
      <c r="P12" s="1616" t="s">
        <v>1938</v>
      </c>
      <c r="Q12" s="1623"/>
      <c r="R12" s="1623"/>
      <c r="S12" s="1623"/>
    </row>
    <row r="13" ht="1.0" customHeight="true">
      <c r="A13" s="1613" t="s">
        <v>1938</v>
      </c>
      <c r="B13" s="1613" t="s">
        <v>1938</v>
      </c>
      <c r="C13" s="1613" t="s">
        <v>1938</v>
      </c>
      <c r="D13" s="1613" t="s">
        <v>1938</v>
      </c>
      <c r="E13" s="1613" t="s">
        <v>1938</v>
      </c>
      <c r="F13" s="1613" t="s">
        <v>1938</v>
      </c>
      <c r="G13" s="1613" t="s">
        <v>1938</v>
      </c>
      <c r="H13" s="1613" t="s">
        <v>1938</v>
      </c>
      <c r="I13" s="1613" t="s">
        <v>1938</v>
      </c>
      <c r="J13" s="1613" t="s">
        <v>1938</v>
      </c>
      <c r="K13" s="1613" t="s">
        <v>1938</v>
      </c>
      <c r="L13" s="1613" t="s">
        <v>1938</v>
      </c>
      <c r="M13" s="1613" t="s">
        <v>1938</v>
      </c>
      <c r="N13" s="1613" t="s">
        <v>1938</v>
      </c>
      <c r="O13" s="1613" t="s">
        <v>1938</v>
      </c>
      <c r="P13" s="1613" t="s">
        <v>1938</v>
      </c>
      <c r="Q13" s="1613" t="s">
        <v>1938</v>
      </c>
      <c r="R13" s="1613" t="s">
        <v>1938</v>
      </c>
      <c r="S13" s="1613" t="s">
        <v>1938</v>
      </c>
    </row>
  </sheetData>
  <mergeCells count="20">
    <mergeCell ref="A1:S1"/>
    <mergeCell ref="A2:A3"/>
    <mergeCell ref="B2:B3"/>
    <mergeCell ref="C2:C3"/>
    <mergeCell ref="D2:D3"/>
    <mergeCell ref="E2:E3"/>
    <mergeCell ref="F2:F3"/>
    <mergeCell ref="G2:G3"/>
    <mergeCell ref="H2:H3"/>
    <mergeCell ref="I2:I3"/>
    <mergeCell ref="J2:J3"/>
    <mergeCell ref="K2:K3"/>
    <mergeCell ref="L2:L3"/>
    <mergeCell ref="M2:M3"/>
    <mergeCell ref="N2:N3"/>
    <mergeCell ref="O2:O3"/>
    <mergeCell ref="P2:P3"/>
    <mergeCell ref="Q2:Q3"/>
    <mergeCell ref="R2:R3"/>
    <mergeCell ref="A13:S13"/>
  </mergeCells>
  <printOptions horizontalCentered="false" gridLines="false" verticalCentered="false"/>
  <pageMargins bottom="0.0" footer="0.0" header="0.0" left="0.0" right="0.0" top="0.0"/>
  <pageSetup paperSize="1" scale="100" firstPageNumber="1" fitToWidth="1" fitToHeight="1" pageOrder="downThenOver" orientation="portrait" usePrinterDefaults="true" blackAndWhite="false" draft="false" useFirstPageNumber="false" horizontalDpi="600" verticalDpi="600" copies="1"/>
  <headerFooter>
    <oddHeader/>
    <oddFooter/>
  </headerFooter>
</worksheet>
</file>

<file path=xl/worksheets/sheet108.xml><?xml version="1.0" encoding="utf-8"?>
<worksheet xmlns="http://schemas.openxmlformats.org/spreadsheetml/2006/main">
  <sheetData>
    <row r="1">
      <c r="A1" t="inlineStr">
        <is>
          <t>Key</t>
        </is>
      </c>
      <c r="B1" t="inlineStr">
        <is>
          <t>Code</t>
        </is>
      </c>
      <c r="C1" t="inlineStr">
        <is>
          <t>Description</t>
        </is>
      </c>
    </row>
    <row r="2">
      <c r="A2" t="inlineStr">
        <is>
          <t>ENTITY ID</t>
        </is>
      </c>
      <c r="B2" t="n">
        <v>7752.0</v>
      </c>
      <c r="C2" t="inlineStr">
        <is>
          <t>Paramount Knowledge Services</t>
        </is>
      </c>
    </row>
    <row r="3">
      <c r="A3" t="inlineStr">
        <is>
          <t>NATURE OF REPORT</t>
        </is>
      </c>
      <c r="B3" t="inlineStr">
        <is>
          <t>Standalone</t>
        </is>
      </c>
      <c r="C3" t="inlineStr">
        <is>
          <t>Standalone</t>
        </is>
      </c>
    </row>
    <row r="4">
      <c r="A4" t="inlineStr">
        <is>
          <t>SCENARIO</t>
        </is>
      </c>
      <c r="B4" t="inlineStr">
        <is>
          <t>Actual</t>
        </is>
      </c>
      <c r="C4" t="inlineStr">
        <is>
          <t>Actual</t>
        </is>
      </c>
    </row>
    <row r="5">
      <c r="A5" t="inlineStr">
        <is>
          <t>CURRENCY</t>
        </is>
      </c>
      <c r="B5" t="inlineStr">
        <is>
          <t>INR</t>
        </is>
      </c>
      <c r="C5" t="inlineStr">
        <is>
          <t>INR</t>
        </is>
      </c>
    </row>
    <row r="6">
      <c r="A6" t="inlineStr">
        <is>
          <t>TAXONOMY ID</t>
        </is>
      </c>
      <c r="B6" t="n">
        <v>189.0</v>
      </c>
      <c r="C6" t="inlineStr">
        <is>
          <t>IndAS</t>
        </is>
      </c>
    </row>
    <row r="7">
      <c r="A7" t="inlineStr">
        <is>
          <t>FILING PERIOD</t>
        </is>
      </c>
      <c r="B7" t="inlineStr">
        <is>
          <t>2023_M_PRD_3</t>
        </is>
      </c>
      <c r="C7" t="inlineStr">
        <is>
          <t>2023 Mar YTD</t>
        </is>
      </c>
    </row>
    <row r="8">
      <c r="A8" t="inlineStr">
        <is>
          <t>JOB ID</t>
        </is>
      </c>
      <c r="B8" t="n">
        <v>55513.0</v>
      </c>
      <c r="C8" t="inlineStr">
        <is>
          <t>PKS_MAR%2023%20%28YTD%29</t>
        </is>
      </c>
    </row>
    <row r="9">
      <c r="A9" t="inlineStr">
        <is>
          <t>REPORT TEMPLATE ID</t>
        </is>
      </c>
      <c r="B9" t="n">
        <v>3588.0</v>
      </c>
      <c r="C9" t="inlineStr">
        <is>
          <t>IndAS Financial statements</t>
        </is>
      </c>
    </row>
    <row r="10">
      <c r="A10" t="inlineStr">
        <is>
          <t>BASE URL</t>
        </is>
      </c>
      <c r="B10" t="inlineStr">
        <is>
          <t>https://devpatch.beyondsquare.com/</t>
        </is>
      </c>
    </row>
    <row r="11">
      <c r="A11" t="inlineStr">
        <is>
          <t>ENTITY NAME</t>
        </is>
      </c>
      <c r="B11" t="inlineStr">
        <is>
          <t>Paramount Knowledge Services</t>
        </is>
      </c>
      <c r="C11" t="inlineStr">
        <is>
          <t>PKS</t>
        </is>
      </c>
    </row>
    <row r="12">
      <c r="A12" t="inlineStr">
        <is>
          <t>CURRENT PERIOD</t>
        </is>
      </c>
      <c r="B12" t="inlineStr">
        <is>
          <t>2023_M_PRD_3</t>
        </is>
      </c>
      <c r="C12" t="inlineStr">
        <is>
          <t>2023 Mar YTD</t>
        </is>
      </c>
    </row>
    <row r="13">
      <c r="A13" t="inlineStr">
        <is>
          <t>CURRENT PERIOD MINUS ONE</t>
        </is>
      </c>
    </row>
    <row r="14">
      <c r="A14" t="inlineStr">
        <is>
          <t>CURRENT PERIOD MINUS TWO</t>
        </is>
      </c>
    </row>
    <row r="15">
      <c r="A15" t="inlineStr">
        <is>
          <t>CURRENT PERIOD MINUS THREE</t>
        </is>
      </c>
    </row>
    <row r="16">
      <c r="A16" t="inlineStr">
        <is>
          <t>CURRENT PERIOD MINUS FOUR</t>
        </is>
      </c>
    </row>
    <row r="17">
      <c r="A17" t="inlineStr">
        <is>
          <t>REPORT TEMPLATE TYPE</t>
        </is>
      </c>
      <c r="B17" t="inlineStr">
        <is>
          <t>ERG</t>
        </is>
      </c>
    </row>
    <row r="18">
      <c r="A18" t="inlineStr">
        <is>
          <t>REPORT TEMPLATE TIMESTAMP</t>
        </is>
      </c>
      <c r="B18" t="inlineStr">
        <is>
          <t>2026-03-05T06:19:46</t>
        </is>
      </c>
    </row>
    <row r="19">
      <c r="A19" t="inlineStr">
        <is>
          <t>LEVEL OF ROUNDING</t>
        </is>
      </c>
      <c r="B19" t="inlineStr">
        <is>
          <t>Lakhs</t>
        </is>
      </c>
    </row>
  </sheetData>
</worksheet>
</file>

<file path=xl/worksheets/sheet109.xml><?xml version="1.0" encoding="utf-8"?>
<worksheet xmlns="http://schemas.openxmlformats.org/spreadsheetml/2006/main">
  <sheetData>
    <row r="1">
      <c r="A1" t="inlineStr">
        <is>
          <t>Key</t>
        </is>
      </c>
      <c r="B1" t="inlineStr">
        <is>
          <t>Code</t>
        </is>
      </c>
      <c r="C1" t="inlineStr">
        <is>
          <t>Description</t>
        </is>
      </c>
    </row>
    <row r="2">
      <c r="A2" t="inlineStr">
        <is>
          <t>BOOK_ID</t>
        </is>
      </c>
      <c r="B2" t="n">
        <v>11908.0</v>
      </c>
    </row>
    <row r="3">
      <c r="A3" t="inlineStr">
        <is>
          <t>ENTITY</t>
        </is>
      </c>
      <c r="B3" t="n">
        <v>7752.0</v>
      </c>
      <c r="C3" t="inlineStr">
        <is>
          <t>Paramount Knowledge Services</t>
        </is>
      </c>
      <c r="D3" t="inlineStr">
        <is>
          <t>PKS</t>
        </is>
      </c>
      <c r="E3" t="inlineStr">
        <is>
          <t>KA</t>
        </is>
      </c>
      <c r="F3" t="inlineStr">
        <is>
          <t>India</t>
        </is>
      </c>
      <c r="G3" t="inlineStr">
        <is>
          <t>India</t>
        </is>
      </c>
    </row>
    <row r="4">
      <c r="A4" t="inlineStr">
        <is>
          <t>NATURE OF REPORT</t>
        </is>
      </c>
      <c r="B4" t="inlineStr">
        <is>
          <t>Standalone</t>
        </is>
      </c>
      <c r="C4" t="inlineStr">
        <is>
          <t>Standalone</t>
        </is>
      </c>
    </row>
    <row r="5">
      <c r="A5" t="inlineStr">
        <is>
          <t>SCENARIO</t>
        </is>
      </c>
      <c r="B5" t="inlineStr">
        <is>
          <t>Actual</t>
        </is>
      </c>
      <c r="C5" t="inlineStr">
        <is>
          <t>Actual</t>
        </is>
      </c>
    </row>
    <row r="6">
      <c r="A6" t="inlineStr">
        <is>
          <t>CURRENCY</t>
        </is>
      </c>
      <c r="B6" t="inlineStr">
        <is>
          <t>INR</t>
        </is>
      </c>
      <c r="C6" t="inlineStr">
        <is>
          <t>INR</t>
        </is>
      </c>
    </row>
    <row r="7">
      <c r="A7" t="inlineStr">
        <is>
          <t>TAXONOMY</t>
        </is>
      </c>
      <c r="B7" t="n">
        <v>189.0</v>
      </c>
      <c r="C7" t="inlineStr">
        <is>
          <t>IndAS</t>
        </is>
      </c>
    </row>
    <row r="8">
      <c r="A8" t="inlineStr">
        <is>
          <t>FILING PERIOD</t>
        </is>
      </c>
      <c r="B8" t="inlineStr">
        <is>
          <t>2023_M_PRD_3</t>
        </is>
      </c>
      <c r="C8" t="inlineStr">
        <is>
          <t>2023 Mar YTD</t>
        </is>
      </c>
    </row>
    <row r="9">
      <c r="A9" t="inlineStr">
        <is>
          <t>JOB</t>
        </is>
      </c>
      <c r="B9" t="n">
        <v>55513.0</v>
      </c>
      <c r="C9" t="inlineStr">
        <is>
          <t>PKS_MAR%2023%20%28YTD%29</t>
        </is>
      </c>
    </row>
    <row r="10">
      <c r="A10" t="inlineStr">
        <is>
          <t>OUTPUT REPORT TEMPLATE</t>
        </is>
      </c>
      <c r="B10" t="n">
        <v>3588.0</v>
      </c>
      <c r="C10" t="inlineStr">
        <is>
          <t>IndAS Financial statements</t>
        </is>
      </c>
      <c r="D10" t="inlineStr">
        <is>
          <t>ERG</t>
        </is>
      </c>
      <c r="E10" t="inlineStr">
        <is>
          <t>Linked Excel Report</t>
        </is>
      </c>
      <c r="F10" t="inlineStr">
        <is>
          <t>2026-03-05T06:19:46</t>
        </is>
      </c>
    </row>
    <row r="11">
      <c r="A11" t="inlineStr">
        <is>
          <t>BASE URL</t>
        </is>
      </c>
      <c r="B11" t="inlineStr">
        <is>
          <t>https://devpatch.beyondsquare.com/</t>
        </is>
      </c>
    </row>
    <row r="12">
      <c r="A12" t="inlineStr">
        <is>
          <t>REPORT GROUPS</t>
        </is>
      </c>
      <c r="B12" t="n">
        <v>68203.0</v>
      </c>
      <c r="C12" t="inlineStr">
        <is>
          <t>INDAS Financial Statement</t>
        </is>
      </c>
    </row>
    <row r="13">
      <c r="A13" t="inlineStr">
        <is>
          <t>REPORT TEMPLATES</t>
        </is>
      </c>
      <c r="B13" t="inlineStr">
        <is>
          <t>19565|15088|15091|15865|15190|15191|15093|15094|15095|15096|15216</t>
        </is>
      </c>
      <c r="C13" t="inlineStr">
        <is>
          <t>sample__19565|Balance Sheet__15088|Profit and Loss__15091|Cashflow__15865|BS Schedules__15190|PL Schedules__15191|SOCE Schedule__15093|PPE__15094|ROU__15095|Intangible Asset__15096|Changes in Inventory__15216</t>
        </is>
      </c>
    </row>
    <row r="14">
      <c r="B14" t="inlineStr">
        <is>
          <t>Period Id</t>
        </is>
      </c>
      <c r="C14" t="inlineStr">
        <is>
          <t>Period Name</t>
        </is>
      </c>
      <c r="D14" t="inlineStr">
        <is>
          <t>Balance Sheet CY Date</t>
        </is>
      </c>
      <c r="E14" t="inlineStr">
        <is>
          <t>Balance Sheet PY Date</t>
        </is>
      </c>
      <c r="F14" t="inlineStr">
        <is>
          <t>Balance Sheet PY Minus One Date</t>
        </is>
      </c>
      <c r="G14" t="inlineStr">
        <is>
          <t>Profit &amp; Loss CY</t>
        </is>
      </c>
      <c r="H14" t="inlineStr">
        <is>
          <t>Profit &amp; Loss PY</t>
        </is>
      </c>
      <c r="I14" t="inlineStr">
        <is>
          <t>Assessment Year</t>
        </is>
      </c>
      <c r="J14" t="inlineStr">
        <is>
          <t>Cover Sheet Date</t>
        </is>
      </c>
      <c r="K14" t="inlineStr">
        <is>
          <t>Custom Date Format</t>
        </is>
      </c>
      <c r="L14" t="inlineStr">
        <is>
          <t>Alternate Period Name</t>
        </is>
      </c>
      <c r="M14" t="inlineStr">
        <is>
          <t>Alternate From Date</t>
        </is>
      </c>
      <c r="N14" t="inlineStr">
        <is>
          <t>Alternate To Date</t>
        </is>
      </c>
    </row>
    <row r="15">
      <c r="A15" t="inlineStr">
        <is>
          <t>PERIOD_001</t>
        </is>
      </c>
      <c r="B15" t="inlineStr">
        <is>
          <t>2023_M_PRD_3</t>
        </is>
      </c>
      <c r="C15" t="inlineStr">
        <is>
          <t>MAR 23 (YTD)</t>
        </is>
      </c>
      <c r="D15" t="inlineStr">
        <is>
          <t>31st March 2023</t>
        </is>
      </c>
      <c r="E15" t="inlineStr">
        <is>
          <t>31st March 2022</t>
        </is>
      </c>
      <c r="F15" t="inlineStr">
        <is>
          <t>31st March 2021</t>
        </is>
      </c>
      <c r="G15" t="inlineStr">
        <is>
          <t>2022-23</t>
        </is>
      </c>
      <c r="H15" t="inlineStr">
        <is>
          <t>2021-22</t>
        </is>
      </c>
      <c r="I15" t="inlineStr">
        <is>
          <t>2020-21</t>
        </is>
      </c>
      <c r="J15" t="inlineStr">
        <is>
          <t>March-23</t>
        </is>
      </c>
    </row>
    <row r="16">
      <c r="A16" t="inlineStr">
        <is>
          <t>CIN</t>
        </is>
      </c>
    </row>
    <row r="17">
      <c r="A17" t="inlineStr">
        <is>
          <t>CASTING LEVEL OF ROUNDING</t>
        </is>
      </c>
      <c r="B17" t="inlineStr">
        <is>
          <t>Actual</t>
        </is>
      </c>
    </row>
    <row r="18">
      <c r="A18" t="inlineStr">
        <is>
          <t>CASTING PRECISION</t>
        </is>
      </c>
    </row>
    <row r="19">
      <c r="A19" t="inlineStr">
        <is>
          <t>REPORT GROUPS INFO</t>
        </is>
      </c>
      <c r="B19" t="inlineStr">
        <is>
          <t>{"INDAS Financial Statement":{"Profit and Loss":{"P":[],"R":["item_seq_id","reference_no","annotation"],"C":["period_id","currency_id","scenario_id","nr_id"],"rt_id":15091,"D":["ledger_type","fh_id","derived","fact_id","attribute","grouping_id","posting_key"],"parameter_data":"{\"show_total\":\"false\",\"currency_pattern\":\"###,###,###.##\",\"precision\":\"0\",\"sub_total\":\"top\",\"nr_id\":\"Standalone\",\"show_gl_drilldown\":\"1\"}"},"Changes in Inventory":{"P":[],"R":["item_seq_id"],"C":["period_id","currency_id","nr_id","scenario_id"],"rt_id":15216,"D":["ledger_type","fh_id","derived","fact_id","attribute","grouping_id","posting_key"],"parameter_data":"{\"nr_id\":\"Standalone\",\"show_total\":\"false\",\"precision\":\"0\",\"sub_total\":\"top\",\"currency_pattern\":\"###,###,###.##\"}"},"Cashflow":{"P":[],"R":["item_seq_id"],"C":["period_id","scenario_id"],"rt_id":15865,"D":["ledger_type","fh_id","derived","fact_id","attribute","grouping_id","posting_key"],"parameter_data":"{\"scenario_id\":\"Cashflow,CFCasting\",\"show_total\":\"false\",\"precision\":\"0\",\"sub_total\":\"top\",\"currency_pattern\":\"##,##,##,###.##\"}"},"BS Schedules":{"P":[],"R":["item_seq_id","annotation"],"C":["period_id","currency_id","scenario_id","nr_id"],"rt_id":15190,"D":["ledger_type","fh_id","derived","fact_id","attribute","grouping_id","posting_key"],"parameter_data":"{\"show_total\":\"false\",\"precision\":\"0\",\"sub_total\":\"top\",\"currency_pattern\":\"###.###.###,##\"}"},"PPE":{"P":[],"R":["item_seq_id","custom_d3"],"C":["custom_d4_key"],"rt_id":15094,"D":["fh_id","derived","fact_id","attribute","grouping_id"],"parameter_data":"{\"custom_d1\":\"133433\",\"custom_d2\":\"133425,133427\",\"custom_d4\":\"133404,133437,133405,133438,133407,133408,133409,133410,133411,133439,133412,133413,133414,133435,133415,133436,133416,133417,133418,133419,133420\",\"precision\":\"0\",\"sub_total\":\"bottom\",\"show_total\":\"true\",\"schedule_type\":\"FA Schedule\",\"currency_pattern\":\"###,###,###.##\",\"nature_of_report\":\"Standalone\",\"show_row_total\":\"true\"}"},"Intangible Asset":{"P":[],"R":["item_seq_id"],"C":["custom_d4_key"],"rt_id":15096,"D":["fh_id","derived","fact_id","attribute","grouping_id"],"parameter_data":"{\"custom_d1\": \"133430\", \"custom_d2\": \"133427,133425\", \"custom_d4\": \"133404,133437,133405,133438,133407,133408,133409,133410,133411,133439,133412,133413,133414,133435,133415,133436,133416,133417,133418,133419,133420\", \"precision\": \"0\", \"sub_total\": \"top\", \"show_total\": \"true\", \"schedule_type\": \"FA Schedule\", \"currency_pattern\": \"###,###,###.##\", \"nature_of_report\": \"Standalone\"}"},"ROU":{"P":[],"R":["item_seq_id"],"C":["custom_d4_key"],"rt_id":15095,"D":["fh_id","derived","fact_id","attribute","grouping_id"],"parameter_data":"{\"custom_d1\": \"133434\", \"custom_d2\": \"133425,133427\", \"custom_d4\": \"133404,133437,133405,133438,133407,133408,133409,133410,133411,133439,133412,133413,133414,133435,133415,133436,133416,133417,133418,133419,133420,133786\", \"precision\": \"0\", \"sub_total\": \"top\", \"show_total\": \"true\", \"period_group\": \"100040\", \"schedule_type\": \"FA Schedule\", \"currency_pattern\": \"##,##,##,###.##\", \"nature_of_report\": \"Standalone\"}"},"SOCE Schedule":{"P":[],"R":["item_seq_id"],"C":["custom_d1_key","custom_d2_key"],"rt_id":15093,"D":["fh_id","derived","fact_id","attribute","grouping_id"],"parameter_data":"{\"custom_d1\": \"133450,133451,133452,133453,133454,133455,133456,133457,133458,133459\", \"custom_d2\": \"133462,133461\", \"precision\": \"0\", \"sub_total\": \"bottom\", \"show_total\": \"true\", \"period_group\": \"100040\", \"schedule_type\": \"SOCE\", \"currency_pattern\": \"###,###,###.##\", \"nature_of_report\": \"Standalone\", \"level_of_rounding\": \"Actual\"}"},"PL Schedules":{"P":[],"R":["item_seq_id"],"C":["period_id","currency_id","scenario_id","nr_id"],"rt_id":15191,"D":["ledger_type","fh_id","derived","fact_id","attribute","grouping_id","posting_key"],"parameter_data":"{\"show_total\":\"false\",\"precision\":\"0\",\"sub_total\":\"top\",\"currency_pattern\":\"##,##,##,###.##\"}"},"sample":{"P":[],"R":["entity","document_type","journal_id","doc_line_item_id","doc_reversal_status","posting_date","document_date","document_category","gl_account","gl_account_desc","grouping_id","grouping_seq","gl_nature","doc_header_text","doc_line_item_text","export_status","debit","credit"],"C":[],"rt_id":19565,"D":["amount"],"parameter_data":"{\"book_level\":\"1\",\"period_type\":\"YTD\",\"show_total\":\"false\",\"sub_total\":\"top\"}"},"Balance Sheet":{"P":[],"R":["item_seq_id","reference_no"],"C":["period_id","currency_id","scenario_id","nr_id"],"rt_id":15088,"D":["ledger_type","fh_id","derived","fact_id","attribute","grouping_id","posting_key"],"parameter_data":"{\"precision\":\"0\",\"sub_total\":\"top\",\"currency_pattern\":\"##,##,##,###.##\"}"}}}</t>
        </is>
      </c>
    </row>
  </sheetData>
</worksheet>
</file>

<file path=xl/worksheets/sheet110.xml><?xml version="1.0" encoding="utf-8"?>
<worksheet xmlns="http://schemas.openxmlformats.org/spreadsheetml/2006/main">
  <sheetData>
    <row r="1">
      <c r="A1" t="inlineStr">
        <is>
          <t>Section Number</t>
        </is>
      </c>
      <c r="B1" t="inlineStr">
        <is>
          <t>Id</t>
        </is>
      </c>
      <c r="C1" t="inlineStr">
        <is>
          <t>Dsc Short Name</t>
        </is>
      </c>
      <c r="D1" t="inlineStr">
        <is>
          <t>Dsc Name</t>
        </is>
      </c>
      <c r="E1" t="inlineStr">
        <is>
          <t>Dsc Label</t>
        </is>
      </c>
      <c r="F1" t="inlineStr">
        <is>
          <t>Dsc Note Type</t>
        </is>
      </c>
      <c r="G1" t="inlineStr">
        <is>
          <t>Parent Id</t>
        </is>
      </c>
      <c r="H1" t="inlineStr">
        <is>
          <t>Order Seq No</t>
        </is>
      </c>
      <c r="I1" t="inlineStr">
        <is>
          <t>Applicable</t>
        </is>
      </c>
      <c r="J1" t="inlineStr">
        <is>
          <t>Group</t>
        </is>
      </c>
      <c r="K1" t="inlineStr">
        <is>
          <t>L1 Note Count</t>
        </is>
      </c>
      <c r="L1" t="inlineStr">
        <is>
          <t>L2 Note Count</t>
        </is>
      </c>
      <c r="M1" t="inlineStr">
        <is>
          <t>L3 Note Count</t>
        </is>
      </c>
      <c r="N1" t="inlineStr">
        <is>
          <t>Effective Number</t>
        </is>
      </c>
      <c r="O1" t="inlineStr">
        <is>
          <t>Current L1</t>
        </is>
      </c>
      <c r="P1" t="inlineStr">
        <is>
          <t>Current L2</t>
        </is>
      </c>
      <c r="Q1" t="inlineStr">
        <is>
          <t>Current L3</t>
        </is>
      </c>
    </row>
    <row r="2">
      <c r="B2" t="n">
        <v>47.0</v>
      </c>
      <c r="C2" t="inlineStr">
        <is>
          <t>corporate_information</t>
        </is>
      </c>
      <c r="D2" t="inlineStr">
        <is>
          <t>Corporate Information</t>
        </is>
      </c>
      <c r="E2" t="inlineStr">
        <is>
          <t>00.Corporate Information</t>
        </is>
      </c>
      <c r="F2" t="inlineStr">
        <is>
          <t>note</t>
        </is>
      </c>
      <c r="H2" t="n">
        <v>0.0</v>
      </c>
      <c r="I2" t="inlineStr">
        <is>
          <t>yes</t>
        </is>
      </c>
      <c r="J2" t="inlineStr">
        <is>
          <t>Corporate Information</t>
        </is>
      </c>
    </row>
    <row r="3">
      <c r="B3" t="n">
        <v>10.0</v>
      </c>
      <c r="C3" t="inlineStr">
        <is>
          <t>financial_highlights</t>
        </is>
      </c>
      <c r="D3" t="inlineStr">
        <is>
          <t>Financial Highlights</t>
        </is>
      </c>
      <c r="E3" t="inlineStr">
        <is>
          <t>01..Financial Highlights</t>
        </is>
      </c>
      <c r="F3" t="inlineStr">
        <is>
          <t>note</t>
        </is>
      </c>
      <c r="H3" t="n">
        <v>1.0</v>
      </c>
      <c r="I3" t="inlineStr">
        <is>
          <t>yes</t>
        </is>
      </c>
      <c r="J3" t="inlineStr">
        <is>
          <t>Corporate Information</t>
        </is>
      </c>
    </row>
    <row r="4">
      <c r="B4" t="n">
        <v>46.0</v>
      </c>
      <c r="C4" t="inlineStr">
        <is>
          <t>key_ratios</t>
        </is>
      </c>
      <c r="D4" t="inlineStr">
        <is>
          <t>Key ratios</t>
        </is>
      </c>
      <c r="E4" t="inlineStr">
        <is>
          <t>07.Key ratios</t>
        </is>
      </c>
      <c r="F4" t="inlineStr">
        <is>
          <t>note</t>
        </is>
      </c>
      <c r="H4" t="n">
        <v>2.0</v>
      </c>
      <c r="I4" t="inlineStr">
        <is>
          <t>yes</t>
        </is>
      </c>
      <c r="J4" t="inlineStr">
        <is>
          <t>Corporate Information</t>
        </is>
      </c>
    </row>
    <row r="5">
      <c r="B5" t="n">
        <v>11.0</v>
      </c>
      <c r="C5" t="inlineStr">
        <is>
          <t>notice_to_the_members</t>
        </is>
      </c>
      <c r="D5" t="inlineStr">
        <is>
          <t>Notice to the members</t>
        </is>
      </c>
      <c r="E5" t="inlineStr">
        <is>
          <t>02.Notice to the members</t>
        </is>
      </c>
      <c r="F5" t="inlineStr">
        <is>
          <t>note</t>
        </is>
      </c>
      <c r="H5" t="n">
        <v>3.0</v>
      </c>
      <c r="I5" t="inlineStr">
        <is>
          <t>yes</t>
        </is>
      </c>
      <c r="J5" t="inlineStr">
        <is>
          <t>Corporate Information</t>
        </is>
      </c>
    </row>
    <row r="6">
      <c r="B6" t="n">
        <v>12.0</v>
      </c>
      <c r="C6" t="inlineStr">
        <is>
          <t>independent_auditor_report</t>
        </is>
      </c>
      <c r="D6" t="inlineStr">
        <is>
          <t>Independent Auditor Report</t>
        </is>
      </c>
      <c r="E6" t="inlineStr">
        <is>
          <t>01.Independent Auditor Report</t>
        </is>
      </c>
      <c r="F6" t="inlineStr">
        <is>
          <t>note</t>
        </is>
      </c>
      <c r="H6" t="n">
        <v>4.0</v>
      </c>
      <c r="I6" t="inlineStr">
        <is>
          <t>yes</t>
        </is>
      </c>
      <c r="J6" t="inlineStr">
        <is>
          <t>Primary Financial Statements</t>
        </is>
      </c>
    </row>
    <row r="7">
      <c r="B7" t="n">
        <v>21.0</v>
      </c>
      <c r="C7" t="inlineStr">
        <is>
          <t>balance_sheet</t>
        </is>
      </c>
      <c r="D7" t="inlineStr">
        <is>
          <t>Balance Sheet</t>
        </is>
      </c>
      <c r="E7" t="inlineStr">
        <is>
          <t>02.Balance Sheet</t>
        </is>
      </c>
      <c r="F7" t="inlineStr">
        <is>
          <t>note</t>
        </is>
      </c>
      <c r="H7" t="n">
        <v>5.0</v>
      </c>
      <c r="I7" t="inlineStr">
        <is>
          <t>yes</t>
        </is>
      </c>
      <c r="J7" t="inlineStr">
        <is>
          <t>Primary Financial Statements</t>
        </is>
      </c>
    </row>
    <row r="8">
      <c r="B8" t="n">
        <v>22.0</v>
      </c>
      <c r="C8" t="inlineStr">
        <is>
          <t>statement_of_profit_and_loss</t>
        </is>
      </c>
      <c r="D8" t="inlineStr">
        <is>
          <t>Statement of Profit and Loss</t>
        </is>
      </c>
      <c r="E8" t="inlineStr">
        <is>
          <t>03.Statement of Profit and Loss</t>
        </is>
      </c>
      <c r="F8" t="inlineStr">
        <is>
          <t>note</t>
        </is>
      </c>
      <c r="H8" t="n">
        <v>6.0</v>
      </c>
      <c r="I8" t="inlineStr">
        <is>
          <t>yes</t>
        </is>
      </c>
      <c r="J8" t="inlineStr">
        <is>
          <t>Primary Financial Statements</t>
        </is>
      </c>
    </row>
    <row r="9">
      <c r="B9" t="n">
        <v>23.0</v>
      </c>
      <c r="C9" t="inlineStr">
        <is>
          <t>cashflow_statement</t>
        </is>
      </c>
      <c r="D9" t="inlineStr">
        <is>
          <t>Cashflow Statement</t>
        </is>
      </c>
      <c r="E9" t="inlineStr">
        <is>
          <t>04.Cashflow Statement</t>
        </is>
      </c>
      <c r="F9" t="inlineStr">
        <is>
          <t>note</t>
        </is>
      </c>
      <c r="H9" t="n">
        <v>7.0</v>
      </c>
      <c r="I9" t="inlineStr">
        <is>
          <t>yes</t>
        </is>
      </c>
      <c r="J9" t="inlineStr">
        <is>
          <t>Primary Financial Statements</t>
        </is>
      </c>
    </row>
    <row r="10">
      <c r="B10" t="n">
        <v>20.0</v>
      </c>
      <c r="C10" t="inlineStr">
        <is>
          <t>statement_of_change_in_equity</t>
        </is>
      </c>
      <c r="D10" t="inlineStr">
        <is>
          <t>Statement of Change in Equity</t>
        </is>
      </c>
      <c r="E10" t="inlineStr">
        <is>
          <t>05.Statement of Change in Equity</t>
        </is>
      </c>
      <c r="F10" t="inlineStr">
        <is>
          <t>note</t>
        </is>
      </c>
      <c r="H10" t="n">
        <v>8.0</v>
      </c>
      <c r="I10" t="inlineStr">
        <is>
          <t>yes</t>
        </is>
      </c>
      <c r="J10" t="inlineStr">
        <is>
          <t>Primary Financial Statements</t>
        </is>
      </c>
    </row>
    <row r="11">
      <c r="B11" t="n">
        <v>32.0</v>
      </c>
      <c r="C11" t="inlineStr">
        <is>
          <t>accounting_policies</t>
        </is>
      </c>
      <c r="D11" t="inlineStr">
        <is>
          <t>Accounting policies</t>
        </is>
      </c>
      <c r="E11" t="inlineStr">
        <is>
          <t>06.Accounting policies</t>
        </is>
      </c>
      <c r="F11" t="inlineStr">
        <is>
          <t>note</t>
        </is>
      </c>
      <c r="H11" t="n">
        <v>9.0</v>
      </c>
      <c r="I11" t="inlineStr">
        <is>
          <t>yes</t>
        </is>
      </c>
      <c r="J11" t="inlineStr">
        <is>
          <t>Primary Financial Statements</t>
        </is>
      </c>
    </row>
    <row r="12">
      <c r="B12" t="n">
        <v>31.0</v>
      </c>
      <c r="C12" t="inlineStr">
        <is>
          <t>notes_to_financial_statements</t>
        </is>
      </c>
      <c r="D12" t="inlineStr">
        <is>
          <t>Notes to Financial statements</t>
        </is>
      </c>
      <c r="E12" t="inlineStr">
        <is>
          <t>07.Notes to Financial statements</t>
        </is>
      </c>
      <c r="F12" t="inlineStr">
        <is>
          <t>note</t>
        </is>
      </c>
      <c r="H12" t="n">
        <v>10.0</v>
      </c>
      <c r="I12" t="inlineStr">
        <is>
          <t>yes</t>
        </is>
      </c>
      <c r="J12" t="inlineStr">
        <is>
          <t>Primary Financial Statements</t>
        </is>
      </c>
    </row>
    <row r="13">
      <c r="B13" t="n">
        <v>19.0</v>
      </c>
      <c r="C13" t="inlineStr">
        <is>
          <t>property_plant_and_equipment</t>
        </is>
      </c>
      <c r="D13" t="inlineStr">
        <is>
          <t>Property Plant and Equipment</t>
        </is>
      </c>
      <c r="E13" t="inlineStr">
        <is>
          <t>01.Property Plant and Equipment</t>
        </is>
      </c>
      <c r="F13" t="inlineStr">
        <is>
          <t>note</t>
        </is>
      </c>
      <c r="H13" t="n">
        <v>11.0</v>
      </c>
      <c r="I13" t="inlineStr">
        <is>
          <t>yes</t>
        </is>
      </c>
      <c r="J13" t="inlineStr">
        <is>
          <t>Note s to Financial statements</t>
        </is>
      </c>
    </row>
    <row r="14">
      <c r="B14" t="n">
        <v>38.0</v>
      </c>
      <c r="C14" t="inlineStr">
        <is>
          <t>right_to_use_assets</t>
        </is>
      </c>
      <c r="D14" t="inlineStr">
        <is>
          <t>Right to use Assets</t>
        </is>
      </c>
      <c r="E14" t="inlineStr">
        <is>
          <t>02.Right to use Assets</t>
        </is>
      </c>
      <c r="F14" t="inlineStr">
        <is>
          <t>note</t>
        </is>
      </c>
      <c r="H14" t="n">
        <v>12.0</v>
      </c>
      <c r="I14" t="inlineStr">
        <is>
          <t>yes</t>
        </is>
      </c>
      <c r="J14" t="inlineStr">
        <is>
          <t>Note s to Financial statements</t>
        </is>
      </c>
    </row>
    <row r="15">
      <c r="B15" t="n">
        <v>51.0</v>
      </c>
      <c r="C15" t="inlineStr">
        <is>
          <t>intangibles</t>
        </is>
      </c>
      <c r="D15" t="inlineStr">
        <is>
          <t>Intangibles</t>
        </is>
      </c>
      <c r="E15" t="inlineStr">
        <is>
          <t>03.Intangibles</t>
        </is>
      </c>
      <c r="F15" t="inlineStr">
        <is>
          <t>note</t>
        </is>
      </c>
      <c r="H15" t="n">
        <v>13.0</v>
      </c>
      <c r="I15" t="inlineStr">
        <is>
          <t>yes</t>
        </is>
      </c>
      <c r="J15" t="inlineStr">
        <is>
          <t>Note s to Financial statements</t>
        </is>
      </c>
    </row>
    <row r="16">
      <c r="B16" t="n">
        <v>52.0</v>
      </c>
      <c r="C16" t="inlineStr">
        <is>
          <t>bs_schedules</t>
        </is>
      </c>
      <c r="D16" t="inlineStr">
        <is>
          <t>BS Schedules</t>
        </is>
      </c>
      <c r="E16" t="inlineStr">
        <is>
          <t>04.BS Schedules Key value</t>
        </is>
      </c>
      <c r="F16" t="inlineStr">
        <is>
          <t>note</t>
        </is>
      </c>
      <c r="H16" t="n">
        <v>14.0</v>
      </c>
      <c r="I16" t="inlineStr">
        <is>
          <t>yes</t>
        </is>
      </c>
      <c r="J16" t="inlineStr">
        <is>
          <t>Note s to Financial statements</t>
        </is>
      </c>
    </row>
    <row r="17">
      <c r="B17" t="n">
        <v>26.0</v>
      </c>
      <c r="C17" t="inlineStr">
        <is>
          <t>loans_and_advances</t>
        </is>
      </c>
      <c r="D17" t="inlineStr">
        <is>
          <t>Loans and Advances</t>
        </is>
      </c>
      <c r="E17" t="inlineStr">
        <is>
          <t>04.BS Schedules</t>
        </is>
      </c>
      <c r="F17" t="inlineStr">
        <is>
          <t>note</t>
        </is>
      </c>
      <c r="H17" t="n">
        <v>15.0</v>
      </c>
      <c r="I17" t="inlineStr">
        <is>
          <t>yes</t>
        </is>
      </c>
      <c r="J17" t="inlineStr">
        <is>
          <t>Note s to Financial statements</t>
        </is>
      </c>
    </row>
    <row r="18">
      <c r="B18" t="n">
        <v>54.0</v>
      </c>
      <c r="C18" t="inlineStr">
        <is>
          <t>pl_schedules_value_tag</t>
        </is>
      </c>
      <c r="D18" t="inlineStr">
        <is>
          <t>PL Schedules Value Tag</t>
        </is>
      </c>
      <c r="E18" t="inlineStr">
        <is>
          <t>05.PL Schedules Value Tag</t>
        </is>
      </c>
      <c r="F18" t="inlineStr">
        <is>
          <t>note</t>
        </is>
      </c>
      <c r="H18" t="n">
        <v>16.0</v>
      </c>
      <c r="I18" t="inlineStr">
        <is>
          <t>yes</t>
        </is>
      </c>
      <c r="J18" t="inlineStr">
        <is>
          <t>Note s to Financial statements</t>
        </is>
      </c>
    </row>
    <row r="19">
      <c r="B19" t="n">
        <v>53.0</v>
      </c>
      <c r="C19" t="inlineStr">
        <is>
          <t>pl_schedules</t>
        </is>
      </c>
      <c r="D19" t="inlineStr">
        <is>
          <t>PL Schedules</t>
        </is>
      </c>
      <c r="E19" t="inlineStr">
        <is>
          <t>05.PL Schedules</t>
        </is>
      </c>
      <c r="F19" t="inlineStr">
        <is>
          <t>note</t>
        </is>
      </c>
      <c r="H19" t="n">
        <v>17.0</v>
      </c>
      <c r="I19" t="inlineStr">
        <is>
          <t>yes</t>
        </is>
      </c>
      <c r="J19" t="inlineStr">
        <is>
          <t>Note s to Financial statements</t>
        </is>
      </c>
    </row>
    <row r="20">
      <c r="B20" t="n">
        <v>48.0</v>
      </c>
      <c r="C20" t="inlineStr">
        <is>
          <t>rlp_name_of_related_parties</t>
        </is>
      </c>
      <c r="D20" t="inlineStr">
        <is>
          <t>RLP Name of related parties</t>
        </is>
      </c>
      <c r="E20" t="inlineStr">
        <is>
          <t>04.RLP Name of related parties</t>
        </is>
      </c>
      <c r="F20" t="inlineStr">
        <is>
          <t>note</t>
        </is>
      </c>
      <c r="H20" t="n">
        <v>18.0</v>
      </c>
      <c r="I20" t="inlineStr">
        <is>
          <t>yes</t>
        </is>
      </c>
      <c r="J20" t="inlineStr">
        <is>
          <t>Note s to Financial statements</t>
        </is>
      </c>
    </row>
    <row r="21">
      <c r="B21" t="n">
        <v>49.0</v>
      </c>
      <c r="C21" t="inlineStr">
        <is>
          <t>rlp_transaction_with_related_parties</t>
        </is>
      </c>
      <c r="D21" t="inlineStr">
        <is>
          <t>RLP transaction with related parties</t>
        </is>
      </c>
      <c r="E21" t="inlineStr">
        <is>
          <t>05.RLP transaction with related parties</t>
        </is>
      </c>
      <c r="F21" t="inlineStr">
        <is>
          <t>note</t>
        </is>
      </c>
      <c r="H21" t="n">
        <v>19.0</v>
      </c>
      <c r="I21" t="inlineStr">
        <is>
          <t>yes</t>
        </is>
      </c>
      <c r="J21" t="inlineStr">
        <is>
          <t>Note s to Financial statements</t>
        </is>
      </c>
    </row>
    <row r="22">
      <c r="B22" t="n">
        <v>50.0</v>
      </c>
      <c r="C22" t="inlineStr">
        <is>
          <t>rlp_balances_outstanding</t>
        </is>
      </c>
      <c r="D22" t="inlineStr">
        <is>
          <t>RLP balances outstanding</t>
        </is>
      </c>
      <c r="E22" t="inlineStr">
        <is>
          <t>06.RLP balances outstanding</t>
        </is>
      </c>
      <c r="F22" t="inlineStr">
        <is>
          <t>note</t>
        </is>
      </c>
      <c r="H22" t="n">
        <v>20.0</v>
      </c>
      <c r="I22" t="inlineStr">
        <is>
          <t>yes</t>
        </is>
      </c>
      <c r="J22" t="inlineStr">
        <is>
          <t>Note s to Financial statements</t>
        </is>
      </c>
    </row>
  </sheetData>
</worksheet>
</file>

<file path=xl/worksheets/sheet111.xml><?xml version="1.0" encoding="utf-8"?>
<worksheet xmlns="http://schemas.openxmlformats.org/spreadsheetml/2006/main">
  <sheetData>
    <row r="1">
      <c r="A1" t="inlineStr">
        <is>
          <t>Origin Type</t>
        </is>
      </c>
      <c r="B1" t="inlineStr">
        <is>
          <t>Token</t>
        </is>
      </c>
      <c r="C1" t="inlineStr">
        <is>
          <t>Range Name</t>
        </is>
      </c>
      <c r="D1" t="inlineStr">
        <is>
          <t>Data Type</t>
        </is>
      </c>
      <c r="E1" t="inlineStr">
        <is>
          <t>Linked Value</t>
        </is>
      </c>
      <c r="F1" t="inlineStr">
        <is>
          <t>Presentation Value</t>
        </is>
      </c>
    </row>
    <row r="2">
</row>
  </sheetData>
</worksheet>
</file>

<file path=xl/worksheets/sheet112.xml><?xml version="1.0" encoding="utf-8"?>
<worksheet xmlns="http://schemas.openxmlformats.org/spreadsheetml/2006/main">
  <sheetData>
    <row r="1">
      <c r="A1" t="inlineStr">
        <is>
          <t>Group</t>
        </is>
      </c>
      <c r="B1" t="inlineStr">
        <is>
          <t>Token</t>
        </is>
      </c>
      <c r="C1" t="inlineStr">
        <is>
          <t>Range Name</t>
        </is>
      </c>
      <c r="D1" t="inlineStr">
        <is>
          <t>Value</t>
        </is>
      </c>
      <c r="E1" t="inlineStr">
        <is>
          <t>Signatory Type</t>
        </is>
      </c>
    </row>
    <row r="2">
      <c r="A2" t="inlineStr">
        <is>
          <t>Signee1</t>
        </is>
      </c>
      <c r="B2" t="inlineStr">
        <is>
          <t>Signee1_Name</t>
        </is>
      </c>
      <c r="C2" t="inlineStr">
        <is>
          <t>Signee1_Name</t>
        </is>
      </c>
    </row>
    <row r="3">
      <c r="A3" t="inlineStr">
        <is>
          <t>Signee1</t>
        </is>
      </c>
      <c r="B3" t="inlineStr">
        <is>
          <t>Signee1_Designation</t>
        </is>
      </c>
      <c r="C3" t="inlineStr">
        <is>
          <t>Signee1_Designation</t>
        </is>
      </c>
    </row>
    <row r="4">
      <c r="A4" t="inlineStr">
        <is>
          <t>Signee1</t>
        </is>
      </c>
      <c r="B4" t="inlineStr">
        <is>
          <t>Signee1_DIN</t>
        </is>
      </c>
      <c r="C4" t="inlineStr">
        <is>
          <t>Signee1_DIN</t>
        </is>
      </c>
    </row>
    <row r="5">
      <c r="A5" t="inlineStr">
        <is>
          <t>Signee1</t>
        </is>
      </c>
      <c r="B5" t="inlineStr">
        <is>
          <t>Signee1_MembershipNo</t>
        </is>
      </c>
      <c r="C5" t="inlineStr">
        <is>
          <t>Signee1_MembershipNo</t>
        </is>
      </c>
    </row>
    <row r="6">
      <c r="A6" t="inlineStr">
        <is>
          <t>Signee1</t>
        </is>
      </c>
      <c r="B6" t="inlineStr">
        <is>
          <t>Signee1_Place</t>
        </is>
      </c>
      <c r="C6" t="inlineStr">
        <is>
          <t>Signee1_Place</t>
        </is>
      </c>
    </row>
    <row r="7">
      <c r="A7" t="inlineStr">
        <is>
          <t>Signee1</t>
        </is>
      </c>
      <c r="B7" t="inlineStr">
        <is>
          <t>Signee1_Date</t>
        </is>
      </c>
      <c r="C7" t="inlineStr">
        <is>
          <t>Signee1_Date</t>
        </is>
      </c>
    </row>
    <row r="8">
      <c r="A8" t="inlineStr">
        <is>
          <t>Signee2</t>
        </is>
      </c>
      <c r="B8" t="inlineStr">
        <is>
          <t>Signee2_Name</t>
        </is>
      </c>
      <c r="C8" t="inlineStr">
        <is>
          <t>Signee2_Name</t>
        </is>
      </c>
    </row>
    <row r="9">
      <c r="A9" t="inlineStr">
        <is>
          <t>Signee2</t>
        </is>
      </c>
      <c r="B9" t="inlineStr">
        <is>
          <t>Signee2_Designation</t>
        </is>
      </c>
      <c r="C9" t="inlineStr">
        <is>
          <t>Signee2_Designation</t>
        </is>
      </c>
    </row>
    <row r="10">
      <c r="A10" t="inlineStr">
        <is>
          <t>Signee2</t>
        </is>
      </c>
      <c r="B10" t="inlineStr">
        <is>
          <t>Signee2_DIN</t>
        </is>
      </c>
      <c r="C10" t="inlineStr">
        <is>
          <t>Signee2_DIN</t>
        </is>
      </c>
    </row>
    <row r="11">
      <c r="A11" t="inlineStr">
        <is>
          <t>Signee2</t>
        </is>
      </c>
      <c r="B11" t="inlineStr">
        <is>
          <t>Signee2_MembershipNo</t>
        </is>
      </c>
      <c r="C11" t="inlineStr">
        <is>
          <t>Signee2_MembershipNo</t>
        </is>
      </c>
    </row>
    <row r="12">
      <c r="A12" t="inlineStr">
        <is>
          <t>Signee2</t>
        </is>
      </c>
      <c r="B12" t="inlineStr">
        <is>
          <t>Signee2_Place</t>
        </is>
      </c>
      <c r="C12" t="inlineStr">
        <is>
          <t>Signee2_Place</t>
        </is>
      </c>
    </row>
    <row r="13">
      <c r="A13" t="inlineStr">
        <is>
          <t>Signee2</t>
        </is>
      </c>
      <c r="B13" t="inlineStr">
        <is>
          <t>Signee2_Date</t>
        </is>
      </c>
      <c r="C13" t="inlineStr">
        <is>
          <t>Signee2_Date</t>
        </is>
      </c>
    </row>
    <row r="14">
      <c r="A14" t="inlineStr">
        <is>
          <t>Signee3</t>
        </is>
      </c>
      <c r="B14" t="inlineStr">
        <is>
          <t>Signee3_Name</t>
        </is>
      </c>
      <c r="C14" t="inlineStr">
        <is>
          <t>Signee3_Name</t>
        </is>
      </c>
    </row>
    <row r="15">
      <c r="A15" t="inlineStr">
        <is>
          <t>Signee3</t>
        </is>
      </c>
      <c r="B15" t="inlineStr">
        <is>
          <t>Signee3_Designation</t>
        </is>
      </c>
      <c r="C15" t="inlineStr">
        <is>
          <t>Signee3_Designation</t>
        </is>
      </c>
    </row>
    <row r="16">
      <c r="A16" t="inlineStr">
        <is>
          <t>Signee3</t>
        </is>
      </c>
      <c r="B16" t="inlineStr">
        <is>
          <t>Signee3_DIN</t>
        </is>
      </c>
      <c r="C16" t="inlineStr">
        <is>
          <t>Signee3_DIN</t>
        </is>
      </c>
    </row>
    <row r="17">
      <c r="A17" t="inlineStr">
        <is>
          <t>Signee3</t>
        </is>
      </c>
      <c r="B17" t="inlineStr">
        <is>
          <t>Signee3_MembershipNo</t>
        </is>
      </c>
      <c r="C17" t="inlineStr">
        <is>
          <t>Signee3_MembershipNo</t>
        </is>
      </c>
    </row>
    <row r="18">
      <c r="A18" t="inlineStr">
        <is>
          <t>Signee3</t>
        </is>
      </c>
      <c r="B18" t="inlineStr">
        <is>
          <t>Signee3_Place</t>
        </is>
      </c>
      <c r="C18" t="inlineStr">
        <is>
          <t>Signee3_Place</t>
        </is>
      </c>
    </row>
    <row r="19">
      <c r="A19" t="inlineStr">
        <is>
          <t>Signee3</t>
        </is>
      </c>
      <c r="B19" t="inlineStr">
        <is>
          <t>Signee3_Date</t>
        </is>
      </c>
      <c r="C19" t="inlineStr">
        <is>
          <t>Signee3_Date</t>
        </is>
      </c>
    </row>
    <row r="20">
      <c r="A20" t="inlineStr">
        <is>
          <t>Auditor1</t>
        </is>
      </c>
      <c r="B20" t="inlineStr">
        <is>
          <t>Auditor1_Name</t>
        </is>
      </c>
      <c r="C20" t="inlineStr">
        <is>
          <t>Auditor1_Name</t>
        </is>
      </c>
    </row>
    <row r="21">
      <c r="A21" t="inlineStr">
        <is>
          <t>Auditor1</t>
        </is>
      </c>
      <c r="B21" t="inlineStr">
        <is>
          <t>Auditor1_Designation</t>
        </is>
      </c>
      <c r="C21" t="inlineStr">
        <is>
          <t>Auditor1_Designation</t>
        </is>
      </c>
    </row>
    <row r="22">
      <c r="A22" t="inlineStr">
        <is>
          <t>Auditor1</t>
        </is>
      </c>
      <c r="B22" t="inlineStr">
        <is>
          <t>Auditor1_FirmName</t>
        </is>
      </c>
      <c r="C22" t="inlineStr">
        <is>
          <t>Auditor1_FirmName</t>
        </is>
      </c>
    </row>
    <row r="23">
      <c r="A23" t="inlineStr">
        <is>
          <t>Auditor1</t>
        </is>
      </c>
      <c r="B23" t="inlineStr">
        <is>
          <t>Auditor1_MembershipNo</t>
        </is>
      </c>
      <c r="C23" t="inlineStr">
        <is>
          <t>Auditor1_MembershipNo</t>
        </is>
      </c>
    </row>
    <row r="24">
      <c r="A24" t="inlineStr">
        <is>
          <t>Auditor1</t>
        </is>
      </c>
      <c r="B24" t="inlineStr">
        <is>
          <t>Auditor1_Place</t>
        </is>
      </c>
      <c r="C24" t="inlineStr">
        <is>
          <t>Auditor1_Place</t>
        </is>
      </c>
    </row>
    <row r="25">
      <c r="A25" t="inlineStr">
        <is>
          <t>Auditor1</t>
        </is>
      </c>
      <c r="B25" t="inlineStr">
        <is>
          <t>Auditor1_Date</t>
        </is>
      </c>
      <c r="C25" t="inlineStr">
        <is>
          <t>Auditor1_Date</t>
        </is>
      </c>
    </row>
    <row r="26">
      <c r="A26" t="inlineStr">
        <is>
          <t>Auditor2</t>
        </is>
      </c>
      <c r="B26" t="inlineStr">
        <is>
          <t>Auditor2_Name</t>
        </is>
      </c>
      <c r="C26" t="inlineStr">
        <is>
          <t>Auditor2_Name</t>
        </is>
      </c>
    </row>
    <row r="27">
      <c r="A27" t="inlineStr">
        <is>
          <t>Auditor2</t>
        </is>
      </c>
      <c r="B27" t="inlineStr">
        <is>
          <t>Auditor2_Designation</t>
        </is>
      </c>
      <c r="C27" t="inlineStr">
        <is>
          <t>Auditor2_Designation</t>
        </is>
      </c>
    </row>
    <row r="28">
      <c r="A28" t="inlineStr">
        <is>
          <t>Auditor2</t>
        </is>
      </c>
      <c r="B28" t="inlineStr">
        <is>
          <t>Auditor2_FirmName</t>
        </is>
      </c>
      <c r="C28" t="inlineStr">
        <is>
          <t>Auditor2_FirmName</t>
        </is>
      </c>
    </row>
    <row r="29">
      <c r="A29" t="inlineStr">
        <is>
          <t>Auditor2</t>
        </is>
      </c>
      <c r="B29" t="inlineStr">
        <is>
          <t>Auditor2_MembershipNo</t>
        </is>
      </c>
      <c r="C29" t="inlineStr">
        <is>
          <t>Auditor2_MembershipNo</t>
        </is>
      </c>
    </row>
    <row r="30">
      <c r="A30" t="inlineStr">
        <is>
          <t>Auditor2</t>
        </is>
      </c>
      <c r="B30" t="inlineStr">
        <is>
          <t>Auditor2_Place</t>
        </is>
      </c>
      <c r="C30" t="inlineStr">
        <is>
          <t>Auditor2_Place</t>
        </is>
      </c>
    </row>
    <row r="31">
      <c r="A31" t="inlineStr">
        <is>
          <t>Auditor2</t>
        </is>
      </c>
      <c r="B31" t="inlineStr">
        <is>
          <t>Auditor2_Date</t>
        </is>
      </c>
      <c r="C31" t="inlineStr">
        <is>
          <t>Auditor2_Date</t>
        </is>
      </c>
    </row>
    <row r="32">
      <c r="A32" t="inlineStr">
        <is>
          <t>Auditor3</t>
        </is>
      </c>
      <c r="B32" t="inlineStr">
        <is>
          <t>Auditor3_Name</t>
        </is>
      </c>
      <c r="C32" t="inlineStr">
        <is>
          <t>Auditor3_Name</t>
        </is>
      </c>
    </row>
    <row r="33">
      <c r="A33" t="inlineStr">
        <is>
          <t>Auditor3</t>
        </is>
      </c>
      <c r="B33" t="inlineStr">
        <is>
          <t>Auditor3_Designation</t>
        </is>
      </c>
      <c r="C33" t="inlineStr">
        <is>
          <t>Auditor3_Designation</t>
        </is>
      </c>
    </row>
    <row r="34">
      <c r="A34" t="inlineStr">
        <is>
          <t>Auditor3</t>
        </is>
      </c>
      <c r="B34" t="inlineStr">
        <is>
          <t>Auditor3_FirmName</t>
        </is>
      </c>
      <c r="C34" t="inlineStr">
        <is>
          <t>Auditor3_FirmName</t>
        </is>
      </c>
    </row>
    <row r="35">
      <c r="A35" t="inlineStr">
        <is>
          <t>Auditor3</t>
        </is>
      </c>
      <c r="B35" t="inlineStr">
        <is>
          <t>Auditor3_MembershipNo</t>
        </is>
      </c>
      <c r="C35" t="inlineStr">
        <is>
          <t>Auditor3_MembershipNo</t>
        </is>
      </c>
    </row>
    <row r="36">
      <c r="A36" t="inlineStr">
        <is>
          <t>Auditor3</t>
        </is>
      </c>
      <c r="B36" t="inlineStr">
        <is>
          <t>Auditor3_Place</t>
        </is>
      </c>
      <c r="C36" t="inlineStr">
        <is>
          <t>Auditor3_Place</t>
        </is>
      </c>
    </row>
    <row r="37">
      <c r="A37" t="inlineStr">
        <is>
          <t>Auditor3</t>
        </is>
      </c>
      <c r="B37" t="inlineStr">
        <is>
          <t>Auditor3_Date</t>
        </is>
      </c>
      <c r="C37" t="inlineStr">
        <is>
          <t>Auditor3_Date</t>
        </is>
      </c>
    </row>
  </sheetData>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2023-12-31T04:47:40Z</dcterms:created>
  <dc:creator>Santosh Kumar-EXT-FINP</dc:creator>
  <cp:lastModifiedBy>rakshithaclientdemo</cp:lastModifiedBy>
  <dcterms:modified xsi:type="dcterms:W3CDTF">2026-02-16T11:47:53Z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nAlyzerVersion">
    <vt:lpwstr>3588|2026-03-05T06:19:46|</vt:lpwstr>
  </property>
  <property fmtid="{D5CDD505-2E9C-101B-9397-08002B2CF9AE}" pid="3" name="lastuploadedon">
    <vt:lpwstr>2026-04-08T09:30:05</vt:lpwstr>
  </property>
</Properties>
</file>